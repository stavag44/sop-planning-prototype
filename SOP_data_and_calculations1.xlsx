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8c30799446d3e4f6/Documents/75TH/Job-Search-Relocation/nextpower_sim/"/>
    </mc:Choice>
  </mc:AlternateContent>
  <xr:revisionPtr revIDLastSave="0" documentId="8_{889C3C58-E41F-4CC1-A132-B36E2D2BAB3B}" xr6:coauthVersionLast="47" xr6:coauthVersionMax="47" xr10:uidLastSave="{00000000-0000-0000-0000-000000000000}"/>
  <bookViews>
    <workbookView xWindow="-108" yWindow="-108" windowWidth="23256" windowHeight="13896" firstSheet="3" activeTab="6" xr2:uid="{00000000-000D-0000-FFFF-FFFF00000000}"/>
  </bookViews>
  <sheets>
    <sheet name="Contents" sheetId="1" r:id="rId1"/>
    <sheet name="Raw Orders" sheetId="2" r:id="rId2"/>
    <sheet name="Engineered Orders" sheetId="3" r:id="rId3"/>
    <sheet name="Monthly by Region" sheetId="4" r:id="rId4"/>
    <sheet name="Slip by Market" sheetId="5" r:id="rId5"/>
    <sheet name="Region vs Market" sheetId="6" r:id="rId6"/>
    <sheet name="Lookback" sheetId="7" r:id="rId7"/>
    <sheet name="Commitment" sheetId="8" r:id="rId8"/>
    <sheet name="MC Forward" sheetId="9" r:id="rId9"/>
    <sheet name="MC Calibration" sheetId="10" r:id="rId10"/>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10" l="1"/>
  <c r="I52" i="10"/>
  <c r="G52" i="10"/>
  <c r="H52" i="10" s="1"/>
  <c r="I51" i="10"/>
  <c r="G51" i="10"/>
  <c r="H51" i="10" s="1"/>
  <c r="I50" i="10"/>
  <c r="H50" i="10"/>
  <c r="G50" i="10"/>
  <c r="I49" i="10"/>
  <c r="G49" i="10"/>
  <c r="H49" i="10" s="1"/>
  <c r="I48" i="10"/>
  <c r="G48" i="10"/>
  <c r="H48" i="10" s="1"/>
  <c r="I47" i="10"/>
  <c r="G47" i="10"/>
  <c r="H47" i="10" s="1"/>
  <c r="I46" i="10"/>
  <c r="H46" i="10"/>
  <c r="G46" i="10"/>
  <c r="I45" i="10"/>
  <c r="G45" i="10"/>
  <c r="H45" i="10" s="1"/>
  <c r="I44" i="10"/>
  <c r="G44" i="10"/>
  <c r="H44" i="10" s="1"/>
  <c r="I43" i="10"/>
  <c r="G43" i="10"/>
  <c r="H43" i="10" s="1"/>
  <c r="I42" i="10"/>
  <c r="H42" i="10"/>
  <c r="G42" i="10"/>
  <c r="I41" i="10"/>
  <c r="G41" i="10"/>
  <c r="H41" i="10" s="1"/>
  <c r="I40" i="10"/>
  <c r="G40" i="10"/>
  <c r="H40" i="10" s="1"/>
  <c r="I39" i="10"/>
  <c r="G39" i="10"/>
  <c r="H39" i="10" s="1"/>
  <c r="I38" i="10"/>
  <c r="H38" i="10"/>
  <c r="G38" i="10"/>
  <c r="I37" i="10"/>
  <c r="G37" i="10"/>
  <c r="H37" i="10" s="1"/>
  <c r="I36" i="10"/>
  <c r="G36" i="10"/>
  <c r="H36" i="10" s="1"/>
  <c r="I35" i="10"/>
  <c r="G35" i="10"/>
  <c r="H35" i="10" s="1"/>
  <c r="I34" i="10"/>
  <c r="H34" i="10"/>
  <c r="G34" i="10"/>
  <c r="I33" i="10"/>
  <c r="G33" i="10"/>
  <c r="H33" i="10" s="1"/>
  <c r="I32" i="10"/>
  <c r="G32" i="10"/>
  <c r="H32" i="10" s="1"/>
  <c r="I31" i="10"/>
  <c r="G31" i="10"/>
  <c r="H31" i="10" s="1"/>
  <c r="I30" i="10"/>
  <c r="H30" i="10"/>
  <c r="G30" i="10"/>
  <c r="I29" i="10"/>
  <c r="G29" i="10"/>
  <c r="H29" i="10" s="1"/>
  <c r="I28" i="10"/>
  <c r="G28" i="10"/>
  <c r="H28" i="10" s="1"/>
  <c r="I27" i="10"/>
  <c r="G27" i="10"/>
  <c r="H27" i="10" s="1"/>
  <c r="I26" i="10"/>
  <c r="H26" i="10"/>
  <c r="G26" i="10"/>
  <c r="I25" i="10"/>
  <c r="G25" i="10"/>
  <c r="H25" i="10" s="1"/>
  <c r="I24" i="10"/>
  <c r="G24" i="10"/>
  <c r="H24" i="10" s="1"/>
  <c r="I23" i="10"/>
  <c r="G23" i="10"/>
  <c r="H23" i="10" s="1"/>
  <c r="I22" i="10"/>
  <c r="H22" i="10"/>
  <c r="G22" i="10"/>
  <c r="I21" i="10"/>
  <c r="G21" i="10"/>
  <c r="H21" i="10" s="1"/>
  <c r="I20" i="10"/>
  <c r="G20" i="10"/>
  <c r="H20" i="10" s="1"/>
  <c r="I19" i="10"/>
  <c r="G19" i="10"/>
  <c r="H19" i="10" s="1"/>
  <c r="I18" i="10"/>
  <c r="H18" i="10"/>
  <c r="G18" i="10"/>
  <c r="I17" i="10"/>
  <c r="G17" i="10"/>
  <c r="H17" i="10" s="1"/>
  <c r="I16" i="10"/>
  <c r="G16" i="10"/>
  <c r="H16" i="10" s="1"/>
  <c r="I15" i="10"/>
  <c r="G15" i="10"/>
  <c r="H15" i="10" s="1"/>
  <c r="I14" i="10"/>
  <c r="H14" i="10"/>
  <c r="G14" i="10"/>
  <c r="I13" i="10"/>
  <c r="G13" i="10"/>
  <c r="H13" i="10" s="1"/>
  <c r="I12" i="10"/>
  <c r="G12" i="10"/>
  <c r="H12" i="10" s="1"/>
  <c r="I11" i="10"/>
  <c r="G11" i="10"/>
  <c r="H11" i="10" s="1"/>
  <c r="I10" i="10"/>
  <c r="H10" i="10"/>
  <c r="G10" i="10"/>
  <c r="I9" i="10"/>
  <c r="G9" i="10"/>
  <c r="H9" i="10" s="1"/>
  <c r="I8" i="10"/>
  <c r="G8" i="10"/>
  <c r="H8" i="10" s="1"/>
  <c r="I7" i="10"/>
  <c r="G7" i="10"/>
  <c r="H7" i="10" s="1"/>
  <c r="I6" i="10"/>
  <c r="H6" i="10"/>
  <c r="G6" i="10"/>
  <c r="I5" i="10"/>
  <c r="C61" i="10" s="1"/>
  <c r="G5" i="10"/>
  <c r="H5" i="10" s="1"/>
  <c r="J16" i="9"/>
  <c r="G16" i="9"/>
  <c r="J15" i="9"/>
  <c r="G15" i="9"/>
  <c r="J14" i="9"/>
  <c r="G14" i="9"/>
  <c r="J13" i="9"/>
  <c r="G13" i="9"/>
  <c r="J12" i="9"/>
  <c r="G12" i="9"/>
  <c r="J11" i="9"/>
  <c r="G11" i="9"/>
  <c r="J10" i="9"/>
  <c r="G10" i="9"/>
  <c r="J9" i="9"/>
  <c r="G9" i="9"/>
  <c r="J8" i="9"/>
  <c r="G8" i="9"/>
  <c r="J7" i="9"/>
  <c r="G7" i="9"/>
  <c r="J6" i="9"/>
  <c r="G6" i="9"/>
  <c r="J5" i="9"/>
  <c r="G5" i="9"/>
  <c r="B8" i="8"/>
  <c r="I8" i="8" s="1"/>
  <c r="C7" i="8"/>
  <c r="B7" i="8"/>
  <c r="I7" i="8" s="1"/>
  <c r="D6" i="8"/>
  <c r="B6" i="8"/>
  <c r="C6" i="8" s="1"/>
  <c r="B5" i="8"/>
  <c r="E5" i="8" s="1"/>
  <c r="D100" i="7"/>
  <c r="F100" i="7" s="1"/>
  <c r="C100" i="7"/>
  <c r="E100" i="7" s="1"/>
  <c r="E99" i="7"/>
  <c r="D99" i="7"/>
  <c r="F99" i="7" s="1"/>
  <c r="C99" i="7"/>
  <c r="F98" i="7"/>
  <c r="D98" i="7"/>
  <c r="C98" i="7"/>
  <c r="E98" i="7" s="1"/>
  <c r="D97" i="7"/>
  <c r="C97" i="7"/>
  <c r="F97" i="7" s="1"/>
  <c r="E96" i="7"/>
  <c r="D96" i="7"/>
  <c r="F96" i="7" s="1"/>
  <c r="C96" i="7"/>
  <c r="E95" i="7"/>
  <c r="D95" i="7"/>
  <c r="F95" i="7" s="1"/>
  <c r="C95" i="7"/>
  <c r="F94" i="7"/>
  <c r="E94" i="7"/>
  <c r="D94" i="7"/>
  <c r="C94" i="7"/>
  <c r="D93" i="7"/>
  <c r="F93" i="7" s="1"/>
  <c r="C93" i="7"/>
  <c r="E93" i="7" s="1"/>
  <c r="D92" i="7"/>
  <c r="F92" i="7" s="1"/>
  <c r="C92" i="7"/>
  <c r="E92" i="7" s="1"/>
  <c r="F91" i="7"/>
  <c r="E91" i="7"/>
  <c r="D91" i="7"/>
  <c r="C91" i="7"/>
  <c r="D90" i="7"/>
  <c r="F90" i="7" s="1"/>
  <c r="C90" i="7"/>
  <c r="E90" i="7" s="1"/>
  <c r="D89" i="7"/>
  <c r="C89" i="7"/>
  <c r="F89" i="7" s="1"/>
  <c r="F88" i="7"/>
  <c r="E88" i="7"/>
  <c r="D88" i="7"/>
  <c r="C88" i="7"/>
  <c r="D87" i="7"/>
  <c r="F87" i="7" s="1"/>
  <c r="C87" i="7"/>
  <c r="E87" i="7" s="1"/>
  <c r="D86" i="7"/>
  <c r="F86" i="7" s="1"/>
  <c r="C86" i="7"/>
  <c r="E85" i="7"/>
  <c r="D85" i="7"/>
  <c r="F85" i="7" s="1"/>
  <c r="C85" i="7"/>
  <c r="F84" i="7"/>
  <c r="D84" i="7"/>
  <c r="C84" i="7"/>
  <c r="E84" i="7" s="1"/>
  <c r="F83" i="7"/>
  <c r="D83" i="7"/>
  <c r="C83" i="7"/>
  <c r="E83" i="7" s="1"/>
  <c r="D82" i="7"/>
  <c r="F82" i="7" s="1"/>
  <c r="C82" i="7"/>
  <c r="E82" i="7" s="1"/>
  <c r="E81" i="7"/>
  <c r="D81" i="7"/>
  <c r="C81" i="7"/>
  <c r="F81" i="7" s="1"/>
  <c r="F80" i="7"/>
  <c r="E80" i="7"/>
  <c r="D80" i="7"/>
  <c r="C80" i="7"/>
  <c r="D79" i="7"/>
  <c r="F79" i="7" s="1"/>
  <c r="C79" i="7"/>
  <c r="E79" i="7" s="1"/>
  <c r="D78" i="7"/>
  <c r="F78" i="7" s="1"/>
  <c r="C78" i="7"/>
  <c r="E78" i="7" s="1"/>
  <c r="E77" i="7"/>
  <c r="D77" i="7"/>
  <c r="F77" i="7" s="1"/>
  <c r="C77" i="7"/>
  <c r="F76" i="7"/>
  <c r="E76" i="7"/>
  <c r="D76" i="7"/>
  <c r="C76" i="7"/>
  <c r="F75" i="7"/>
  <c r="D75" i="7"/>
  <c r="C75" i="7"/>
  <c r="E75" i="7" s="1"/>
  <c r="D74" i="7"/>
  <c r="F74" i="7" s="1"/>
  <c r="C74" i="7"/>
  <c r="E74" i="7" s="1"/>
  <c r="D73" i="7"/>
  <c r="F73" i="7" s="1"/>
  <c r="C73" i="7"/>
  <c r="F72" i="7"/>
  <c r="E72" i="7"/>
  <c r="D72" i="7"/>
  <c r="C72" i="7"/>
  <c r="D71" i="7"/>
  <c r="C71" i="7"/>
  <c r="F71" i="7" s="1"/>
  <c r="D70" i="7"/>
  <c r="F70" i="7" s="1"/>
  <c r="C70" i="7"/>
  <c r="E70" i="7" s="1"/>
  <c r="E69" i="7"/>
  <c r="D69" i="7"/>
  <c r="F69" i="7" s="1"/>
  <c r="C69" i="7"/>
  <c r="F68" i="7"/>
  <c r="E68" i="7"/>
  <c r="D68" i="7"/>
  <c r="C68" i="7"/>
  <c r="F67" i="7"/>
  <c r="D67" i="7"/>
  <c r="C67" i="7"/>
  <c r="E67" i="7" s="1"/>
  <c r="D66" i="7"/>
  <c r="F66" i="7" s="1"/>
  <c r="C66" i="7"/>
  <c r="E66" i="7" s="1"/>
  <c r="D65" i="7"/>
  <c r="F65" i="7" s="1"/>
  <c r="C65" i="7"/>
  <c r="F64" i="7"/>
  <c r="E64" i="7"/>
  <c r="D64" i="7"/>
  <c r="C64" i="7"/>
  <c r="D63" i="7"/>
  <c r="C63" i="7"/>
  <c r="F63" i="7" s="1"/>
  <c r="D62" i="7"/>
  <c r="F62" i="7" s="1"/>
  <c r="C62" i="7"/>
  <c r="E62" i="7" s="1"/>
  <c r="E61" i="7"/>
  <c r="D61" i="7"/>
  <c r="F61" i="7" s="1"/>
  <c r="C61" i="7"/>
  <c r="F60" i="7"/>
  <c r="E60" i="7"/>
  <c r="D60" i="7"/>
  <c r="C60" i="7"/>
  <c r="F59" i="7"/>
  <c r="D59" i="7"/>
  <c r="C59" i="7"/>
  <c r="E59" i="7" s="1"/>
  <c r="D58" i="7"/>
  <c r="F58" i="7" s="1"/>
  <c r="C58" i="7"/>
  <c r="E58" i="7" s="1"/>
  <c r="E57" i="7"/>
  <c r="D57" i="7"/>
  <c r="F57" i="7" s="1"/>
  <c r="C57" i="7"/>
  <c r="F56" i="7"/>
  <c r="E56" i="7"/>
  <c r="D56" i="7"/>
  <c r="C56" i="7"/>
  <c r="D55" i="7"/>
  <c r="C55" i="7"/>
  <c r="F55" i="7" s="1"/>
  <c r="D54" i="7"/>
  <c r="F54" i="7" s="1"/>
  <c r="C54" i="7"/>
  <c r="E54" i="7" s="1"/>
  <c r="E53" i="7"/>
  <c r="D53" i="7"/>
  <c r="F53" i="7" s="1"/>
  <c r="C53" i="7"/>
  <c r="F52" i="7"/>
  <c r="E52" i="7"/>
  <c r="D52" i="7"/>
  <c r="C52" i="7"/>
  <c r="F51" i="7"/>
  <c r="D51" i="7"/>
  <c r="C51" i="7"/>
  <c r="E51" i="7" s="1"/>
  <c r="D50" i="7"/>
  <c r="F50" i="7" s="1"/>
  <c r="C50" i="7"/>
  <c r="E50" i="7" s="1"/>
  <c r="D49" i="7"/>
  <c r="F49" i="7" s="1"/>
  <c r="C49" i="7"/>
  <c r="F48" i="7"/>
  <c r="E48" i="7"/>
  <c r="D48" i="7"/>
  <c r="C48" i="7"/>
  <c r="D47" i="7"/>
  <c r="C47" i="7"/>
  <c r="F47" i="7" s="1"/>
  <c r="D46" i="7"/>
  <c r="F46" i="7" s="1"/>
  <c r="C46" i="7"/>
  <c r="E46" i="7" s="1"/>
  <c r="E45" i="7"/>
  <c r="D45" i="7"/>
  <c r="F45" i="7" s="1"/>
  <c r="C45" i="7"/>
  <c r="F44" i="7"/>
  <c r="E44" i="7"/>
  <c r="D44" i="7"/>
  <c r="C44" i="7"/>
  <c r="F43" i="7"/>
  <c r="D43" i="7"/>
  <c r="C43" i="7"/>
  <c r="E43" i="7" s="1"/>
  <c r="D42" i="7"/>
  <c r="F42" i="7" s="1"/>
  <c r="C42" i="7"/>
  <c r="E42" i="7" s="1"/>
  <c r="D41" i="7"/>
  <c r="F41" i="7" s="1"/>
  <c r="C41" i="7"/>
  <c r="F40" i="7"/>
  <c r="E40" i="7"/>
  <c r="D40" i="7"/>
  <c r="C40" i="7"/>
  <c r="D39" i="7"/>
  <c r="C39" i="7"/>
  <c r="F39" i="7" s="1"/>
  <c r="D38" i="7"/>
  <c r="F38" i="7" s="1"/>
  <c r="C38" i="7"/>
  <c r="E38" i="7" s="1"/>
  <c r="E37" i="7"/>
  <c r="D37" i="7"/>
  <c r="F37" i="7" s="1"/>
  <c r="C37" i="7"/>
  <c r="F36" i="7"/>
  <c r="E36" i="7"/>
  <c r="D36" i="7"/>
  <c r="C36" i="7"/>
  <c r="F35" i="7"/>
  <c r="D35" i="7"/>
  <c r="C35" i="7"/>
  <c r="E35" i="7" s="1"/>
  <c r="D34" i="7"/>
  <c r="F34" i="7" s="1"/>
  <c r="C34" i="7"/>
  <c r="E34" i="7" s="1"/>
  <c r="E33" i="7"/>
  <c r="D33" i="7"/>
  <c r="F33" i="7" s="1"/>
  <c r="C33" i="7"/>
  <c r="F32" i="7"/>
  <c r="E32" i="7"/>
  <c r="D32" i="7"/>
  <c r="C32" i="7"/>
  <c r="D31" i="7"/>
  <c r="C31" i="7"/>
  <c r="F31" i="7" s="1"/>
  <c r="D30" i="7"/>
  <c r="F30" i="7" s="1"/>
  <c r="C30" i="7"/>
  <c r="E30" i="7" s="1"/>
  <c r="E29" i="7"/>
  <c r="D29" i="7"/>
  <c r="F29" i="7" s="1"/>
  <c r="C29" i="7"/>
  <c r="F28" i="7"/>
  <c r="E28" i="7"/>
  <c r="D28" i="7"/>
  <c r="C28" i="7"/>
  <c r="F27" i="7"/>
  <c r="D27" i="7"/>
  <c r="C27" i="7"/>
  <c r="E27" i="7" s="1"/>
  <c r="D26" i="7"/>
  <c r="F26" i="7" s="1"/>
  <c r="C26" i="7"/>
  <c r="E26" i="7" s="1"/>
  <c r="D25" i="7"/>
  <c r="F25" i="7" s="1"/>
  <c r="C25" i="7"/>
  <c r="F24" i="7"/>
  <c r="E24" i="7"/>
  <c r="D24" i="7"/>
  <c r="C24" i="7"/>
  <c r="D23" i="7"/>
  <c r="C23" i="7"/>
  <c r="F23" i="7" s="1"/>
  <c r="D22" i="7"/>
  <c r="F22" i="7" s="1"/>
  <c r="C22" i="7"/>
  <c r="E22" i="7" s="1"/>
  <c r="E21" i="7"/>
  <c r="D21" i="7"/>
  <c r="F21" i="7" s="1"/>
  <c r="C21" i="7"/>
  <c r="F20" i="7"/>
  <c r="E20" i="7"/>
  <c r="D20" i="7"/>
  <c r="C20" i="7"/>
  <c r="F19" i="7"/>
  <c r="D19" i="7"/>
  <c r="C19" i="7"/>
  <c r="E19" i="7" s="1"/>
  <c r="D18" i="7"/>
  <c r="F18" i="7" s="1"/>
  <c r="C18" i="7"/>
  <c r="E18" i="7" s="1"/>
  <c r="D17" i="7"/>
  <c r="F17" i="7" s="1"/>
  <c r="C17" i="7"/>
  <c r="F16" i="7"/>
  <c r="E16" i="7"/>
  <c r="D16" i="7"/>
  <c r="C16" i="7"/>
  <c r="D15" i="7"/>
  <c r="C15" i="7"/>
  <c r="F15" i="7" s="1"/>
  <c r="D14" i="7"/>
  <c r="F14" i="7" s="1"/>
  <c r="C14" i="7"/>
  <c r="E14" i="7" s="1"/>
  <c r="E13" i="7"/>
  <c r="D13" i="7"/>
  <c r="F13" i="7" s="1"/>
  <c r="C13" i="7"/>
  <c r="F12" i="7"/>
  <c r="E12" i="7"/>
  <c r="D12" i="7"/>
  <c r="C12" i="7"/>
  <c r="F11" i="7"/>
  <c r="D11" i="7"/>
  <c r="C11" i="7"/>
  <c r="E11" i="7" s="1"/>
  <c r="D10" i="7"/>
  <c r="F10" i="7" s="1"/>
  <c r="C10" i="7"/>
  <c r="E10" i="7" s="1"/>
  <c r="E9" i="7"/>
  <c r="D9" i="7"/>
  <c r="F9" i="7" s="1"/>
  <c r="C9" i="7"/>
  <c r="F8" i="7"/>
  <c r="E8" i="7"/>
  <c r="D8" i="7"/>
  <c r="C8" i="7"/>
  <c r="D7" i="7"/>
  <c r="C7" i="7"/>
  <c r="F7" i="7" s="1"/>
  <c r="D6" i="7"/>
  <c r="F6" i="7" s="1"/>
  <c r="C6" i="7"/>
  <c r="E6" i="7" s="1"/>
  <c r="E5" i="7"/>
  <c r="D5" i="7"/>
  <c r="F5" i="7" s="1"/>
  <c r="C5" i="7"/>
  <c r="D10" i="6" a="1"/>
  <c r="D10" i="6" s="1"/>
  <c r="B10" i="6" a="1"/>
  <c r="B10" i="6" s="1"/>
  <c r="D9" i="6" a="1"/>
  <c r="D9" i="6" s="1"/>
  <c r="E9" i="6" s="1"/>
  <c r="B9" i="6" a="1"/>
  <c r="B9" i="6"/>
  <c r="D8" i="6" a="1"/>
  <c r="D8" i="6" s="1"/>
  <c r="B8" i="6" a="1"/>
  <c r="B8" i="6" s="1"/>
  <c r="D7" i="6" a="1"/>
  <c r="D7" i="6" s="1"/>
  <c r="B7" i="6" a="1"/>
  <c r="B7" i="6" s="1"/>
  <c r="D6" i="6" a="1"/>
  <c r="D6" i="6" s="1"/>
  <c r="E6" i="6" s="1"/>
  <c r="B6" i="6" a="1"/>
  <c r="B6" i="6" s="1"/>
  <c r="D5" i="6" a="1"/>
  <c r="D5" i="6" s="1"/>
  <c r="E5" i="6" s="1"/>
  <c r="B5" i="6" a="1"/>
  <c r="B5" i="6"/>
  <c r="G10" i="5"/>
  <c r="F10" i="5" a="1"/>
  <c r="F10" i="5" s="1"/>
  <c r="E10" i="5" a="1"/>
  <c r="E10" i="5"/>
  <c r="D10" i="5" a="1"/>
  <c r="D10" i="5" s="1"/>
  <c r="C10" i="5"/>
  <c r="G9" i="5"/>
  <c r="F9" i="5" a="1"/>
  <c r="F9" i="5" s="1"/>
  <c r="E9" i="5" a="1"/>
  <c r="E9" i="5" s="1"/>
  <c r="D9" i="5" a="1"/>
  <c r="D9" i="5" s="1"/>
  <c r="C9" i="5"/>
  <c r="G8" i="5"/>
  <c r="F8" i="5" a="1"/>
  <c r="F8" i="5" s="1"/>
  <c r="E8" i="5" a="1"/>
  <c r="E8" i="5" s="1"/>
  <c r="D8" i="5" a="1"/>
  <c r="D8" i="5" s="1"/>
  <c r="C8" i="5"/>
  <c r="G7" i="5"/>
  <c r="F7" i="5" a="1"/>
  <c r="F7" i="5" s="1"/>
  <c r="E7" i="5" a="1"/>
  <c r="E7" i="5" s="1"/>
  <c r="D7" i="5" a="1"/>
  <c r="D7" i="5" s="1"/>
  <c r="C7" i="5"/>
  <c r="G6" i="5"/>
  <c r="F6" i="5" a="1"/>
  <c r="F6" i="5" s="1"/>
  <c r="E6" i="5" a="1"/>
  <c r="E6" i="5" s="1"/>
  <c r="D6" i="5" a="1"/>
  <c r="D6" i="5" s="1"/>
  <c r="C6" i="5"/>
  <c r="G5" i="5"/>
  <c r="F5" i="5" a="1"/>
  <c r="F5" i="5" s="1"/>
  <c r="E5" i="5" a="1"/>
  <c r="E5" i="5" s="1"/>
  <c r="D5" i="5" a="1"/>
  <c r="D5" i="5" s="1"/>
  <c r="C5" i="5"/>
  <c r="I100" i="4"/>
  <c r="G100" i="4"/>
  <c r="F100" i="4"/>
  <c r="H100" i="4" s="1"/>
  <c r="E100" i="4"/>
  <c r="D100" i="4"/>
  <c r="C100" i="4"/>
  <c r="G99" i="4"/>
  <c r="I99" i="4" s="1"/>
  <c r="F99" i="4"/>
  <c r="E99" i="4"/>
  <c r="H99" i="4" s="1"/>
  <c r="D99" i="4"/>
  <c r="C99" i="4"/>
  <c r="H98" i="4"/>
  <c r="G98" i="4"/>
  <c r="I98" i="4" s="1"/>
  <c r="F98" i="4"/>
  <c r="E98" i="4"/>
  <c r="D98" i="4"/>
  <c r="C98" i="4"/>
  <c r="G97" i="4"/>
  <c r="I97" i="4" s="1"/>
  <c r="F97" i="4"/>
  <c r="E97" i="4"/>
  <c r="D97" i="4"/>
  <c r="C97" i="4"/>
  <c r="I96" i="4"/>
  <c r="G96" i="4"/>
  <c r="F96" i="4"/>
  <c r="H96" i="4" s="1"/>
  <c r="E96" i="4"/>
  <c r="D96" i="4"/>
  <c r="C96" i="4"/>
  <c r="I95" i="4"/>
  <c r="G95" i="4"/>
  <c r="F95" i="4"/>
  <c r="E95" i="4"/>
  <c r="H95" i="4" s="1"/>
  <c r="D95" i="4"/>
  <c r="C95" i="4"/>
  <c r="I94" i="4"/>
  <c r="H94" i="4"/>
  <c r="G94" i="4"/>
  <c r="F94" i="4"/>
  <c r="E94" i="4"/>
  <c r="D94" i="4"/>
  <c r="C94" i="4"/>
  <c r="G93" i="4"/>
  <c r="I93" i="4" s="1"/>
  <c r="F93" i="4"/>
  <c r="E93" i="4"/>
  <c r="H93" i="4" s="1"/>
  <c r="D93" i="4"/>
  <c r="C93" i="4"/>
  <c r="I92" i="4"/>
  <c r="G92" i="4"/>
  <c r="F92" i="4"/>
  <c r="H92" i="4" s="1"/>
  <c r="E92" i="4"/>
  <c r="D92" i="4"/>
  <c r="C92" i="4"/>
  <c r="I91" i="4"/>
  <c r="H91" i="4"/>
  <c r="G91" i="4"/>
  <c r="F91" i="4"/>
  <c r="E91" i="4"/>
  <c r="D91" i="4"/>
  <c r="C91" i="4"/>
  <c r="H90" i="4"/>
  <c r="G90" i="4"/>
  <c r="I90" i="4" s="1"/>
  <c r="F90" i="4"/>
  <c r="E90" i="4"/>
  <c r="D90" i="4"/>
  <c r="C90" i="4"/>
  <c r="G89" i="4"/>
  <c r="I89" i="4" s="1"/>
  <c r="F89" i="4"/>
  <c r="E89" i="4"/>
  <c r="D89" i="4"/>
  <c r="C89" i="4"/>
  <c r="I88" i="4"/>
  <c r="G88" i="4"/>
  <c r="F88" i="4"/>
  <c r="H88" i="4" s="1"/>
  <c r="E88" i="4"/>
  <c r="D88" i="4"/>
  <c r="C88" i="4"/>
  <c r="I87" i="4"/>
  <c r="G87" i="4"/>
  <c r="F87" i="4"/>
  <c r="E87" i="4"/>
  <c r="H87" i="4" s="1"/>
  <c r="D87" i="4"/>
  <c r="C87" i="4"/>
  <c r="I86" i="4"/>
  <c r="H86" i="4"/>
  <c r="G86" i="4"/>
  <c r="F86" i="4"/>
  <c r="E86" i="4"/>
  <c r="D86" i="4"/>
  <c r="C86" i="4"/>
  <c r="I85" i="4"/>
  <c r="H85" i="4"/>
  <c r="G85" i="4"/>
  <c r="F85" i="4"/>
  <c r="E85" i="4"/>
  <c r="D85" i="4"/>
  <c r="C85" i="4"/>
  <c r="I84" i="4"/>
  <c r="H84" i="4"/>
  <c r="G84" i="4"/>
  <c r="F84" i="4"/>
  <c r="E84" i="4"/>
  <c r="D84" i="4"/>
  <c r="C84" i="4"/>
  <c r="H83" i="4"/>
  <c r="G83" i="4"/>
  <c r="I83" i="4" s="1"/>
  <c r="F83" i="4"/>
  <c r="E83" i="4"/>
  <c r="D83" i="4"/>
  <c r="C83" i="4"/>
  <c r="G82" i="4"/>
  <c r="I82" i="4" s="1"/>
  <c r="F82" i="4"/>
  <c r="H82" i="4" s="1"/>
  <c r="E82" i="4"/>
  <c r="D82" i="4"/>
  <c r="C82" i="4"/>
  <c r="I81" i="4"/>
  <c r="G81" i="4"/>
  <c r="F81" i="4"/>
  <c r="H81" i="4" s="1"/>
  <c r="E81" i="4"/>
  <c r="D81" i="4"/>
  <c r="C81" i="4"/>
  <c r="I80" i="4"/>
  <c r="H80" i="4"/>
  <c r="G80" i="4"/>
  <c r="F80" i="4"/>
  <c r="E80" i="4"/>
  <c r="D80" i="4"/>
  <c r="C80" i="4"/>
  <c r="I79" i="4"/>
  <c r="H79" i="4"/>
  <c r="G79" i="4"/>
  <c r="F79" i="4"/>
  <c r="E79" i="4"/>
  <c r="D79" i="4"/>
  <c r="C79" i="4"/>
  <c r="I78" i="4"/>
  <c r="H78" i="4"/>
  <c r="G78" i="4"/>
  <c r="F78" i="4"/>
  <c r="E78" i="4"/>
  <c r="D78" i="4"/>
  <c r="C78" i="4"/>
  <c r="G77" i="4"/>
  <c r="I77" i="4" s="1"/>
  <c r="F77" i="4"/>
  <c r="H77" i="4" s="1"/>
  <c r="E77" i="4"/>
  <c r="D77" i="4"/>
  <c r="C77" i="4"/>
  <c r="I76" i="4"/>
  <c r="G76" i="4"/>
  <c r="F76" i="4"/>
  <c r="H76" i="4" s="1"/>
  <c r="E76" i="4"/>
  <c r="D76" i="4"/>
  <c r="C76" i="4"/>
  <c r="I75" i="4"/>
  <c r="G75" i="4"/>
  <c r="F75" i="4"/>
  <c r="E75" i="4"/>
  <c r="H75" i="4" s="1"/>
  <c r="D75" i="4"/>
  <c r="C75" i="4"/>
  <c r="G74" i="4"/>
  <c r="I74" i="4" s="1"/>
  <c r="F74" i="4"/>
  <c r="E74" i="4"/>
  <c r="H74" i="4" s="1"/>
  <c r="D74" i="4"/>
  <c r="C74" i="4"/>
  <c r="I73" i="4"/>
  <c r="G73" i="4"/>
  <c r="F73" i="4"/>
  <c r="E73" i="4"/>
  <c r="D73" i="4"/>
  <c r="C73" i="4"/>
  <c r="I72" i="4"/>
  <c r="H72" i="4"/>
  <c r="G72" i="4"/>
  <c r="F72" i="4"/>
  <c r="E72" i="4"/>
  <c r="D72" i="4"/>
  <c r="C72" i="4"/>
  <c r="H71" i="4"/>
  <c r="G71" i="4"/>
  <c r="I71" i="4" s="1"/>
  <c r="F71" i="4"/>
  <c r="E71" i="4"/>
  <c r="D71" i="4"/>
  <c r="C71" i="4"/>
  <c r="G70" i="4"/>
  <c r="I70" i="4" s="1"/>
  <c r="F70" i="4"/>
  <c r="H70" i="4" s="1"/>
  <c r="E70" i="4"/>
  <c r="D70" i="4"/>
  <c r="C70" i="4"/>
  <c r="I69" i="4"/>
  <c r="G69" i="4"/>
  <c r="F69" i="4"/>
  <c r="H69" i="4" s="1"/>
  <c r="E69" i="4"/>
  <c r="D69" i="4"/>
  <c r="C69" i="4"/>
  <c r="I68" i="4"/>
  <c r="H68" i="4"/>
  <c r="G68" i="4"/>
  <c r="F68" i="4"/>
  <c r="E68" i="4"/>
  <c r="D68" i="4"/>
  <c r="C68" i="4"/>
  <c r="G67" i="4"/>
  <c r="I67" i="4" s="1"/>
  <c r="F67" i="4"/>
  <c r="E67" i="4"/>
  <c r="H67" i="4" s="1"/>
  <c r="D67" i="4"/>
  <c r="C67" i="4"/>
  <c r="H66" i="4"/>
  <c r="G66" i="4"/>
  <c r="I66" i="4" s="1"/>
  <c r="F66" i="4"/>
  <c r="E66" i="4"/>
  <c r="D66" i="4"/>
  <c r="C66" i="4"/>
  <c r="G65" i="4"/>
  <c r="I65" i="4" s="1"/>
  <c r="F65" i="4"/>
  <c r="H65" i="4" s="1"/>
  <c r="E65" i="4"/>
  <c r="D65" i="4"/>
  <c r="C65" i="4"/>
  <c r="I64" i="4"/>
  <c r="G64" i="4"/>
  <c r="F64" i="4"/>
  <c r="E64" i="4"/>
  <c r="D64" i="4"/>
  <c r="C64" i="4"/>
  <c r="I63" i="4"/>
  <c r="G63" i="4"/>
  <c r="F63" i="4"/>
  <c r="E63" i="4"/>
  <c r="H63" i="4" s="1"/>
  <c r="D63" i="4"/>
  <c r="C63" i="4"/>
  <c r="I62" i="4"/>
  <c r="H62" i="4"/>
  <c r="G62" i="4"/>
  <c r="F62" i="4"/>
  <c r="E62" i="4"/>
  <c r="D62" i="4"/>
  <c r="C62" i="4"/>
  <c r="G61" i="4"/>
  <c r="I61" i="4" s="1"/>
  <c r="F61" i="4"/>
  <c r="E61" i="4"/>
  <c r="H61" i="4" s="1"/>
  <c r="D61" i="4"/>
  <c r="C61" i="4"/>
  <c r="I60" i="4"/>
  <c r="G60" i="4"/>
  <c r="F60" i="4"/>
  <c r="H60" i="4" s="1"/>
  <c r="E60" i="4"/>
  <c r="D60" i="4"/>
  <c r="C60" i="4"/>
  <c r="I59" i="4"/>
  <c r="H59" i="4"/>
  <c r="G59" i="4"/>
  <c r="F59" i="4"/>
  <c r="E59" i="4"/>
  <c r="D59" i="4"/>
  <c r="C59" i="4"/>
  <c r="G58" i="4"/>
  <c r="I58" i="4" s="1"/>
  <c r="F58" i="4"/>
  <c r="H58" i="4" s="1"/>
  <c r="E58" i="4"/>
  <c r="D58" i="4"/>
  <c r="C58" i="4"/>
  <c r="G57" i="4"/>
  <c r="I57" i="4" s="1"/>
  <c r="F57" i="4"/>
  <c r="H57" i="4" s="1"/>
  <c r="E57" i="4"/>
  <c r="D57" i="4"/>
  <c r="C57" i="4"/>
  <c r="I56" i="4"/>
  <c r="H56" i="4"/>
  <c r="G56" i="4"/>
  <c r="F56" i="4"/>
  <c r="E56" i="4"/>
  <c r="D56" i="4"/>
  <c r="C56" i="4"/>
  <c r="H55" i="4"/>
  <c r="G55" i="4"/>
  <c r="I55" i="4" s="1"/>
  <c r="F55" i="4"/>
  <c r="E55" i="4"/>
  <c r="D55" i="4"/>
  <c r="C55" i="4"/>
  <c r="G54" i="4"/>
  <c r="I54" i="4" s="1"/>
  <c r="F54" i="4"/>
  <c r="H54" i="4" s="1"/>
  <c r="E54" i="4"/>
  <c r="D54" i="4"/>
  <c r="C54" i="4"/>
  <c r="I53" i="4"/>
  <c r="H53" i="4"/>
  <c r="G53" i="4"/>
  <c r="F53" i="4"/>
  <c r="E53" i="4"/>
  <c r="D53" i="4"/>
  <c r="C53" i="4"/>
  <c r="G52" i="4"/>
  <c r="I52" i="4" s="1"/>
  <c r="F52" i="4"/>
  <c r="E52" i="4"/>
  <c r="H52" i="4" s="1"/>
  <c r="D52" i="4"/>
  <c r="C52" i="4"/>
  <c r="G51" i="4"/>
  <c r="I51" i="4" s="1"/>
  <c r="F51" i="4"/>
  <c r="H51" i="4" s="1"/>
  <c r="E51" i="4"/>
  <c r="D51" i="4"/>
  <c r="C51" i="4"/>
  <c r="G50" i="4"/>
  <c r="I50" i="4" s="1"/>
  <c r="F50" i="4"/>
  <c r="H50" i="4" s="1"/>
  <c r="E50" i="4"/>
  <c r="D50" i="4"/>
  <c r="C50" i="4"/>
  <c r="G49" i="4"/>
  <c r="I49" i="4" s="1"/>
  <c r="F49" i="4"/>
  <c r="E49" i="4"/>
  <c r="D49" i="4"/>
  <c r="C49" i="4"/>
  <c r="I48" i="4"/>
  <c r="G48" i="4"/>
  <c r="F48" i="4"/>
  <c r="H48" i="4" s="1"/>
  <c r="E48" i="4"/>
  <c r="D48" i="4"/>
  <c r="C48" i="4"/>
  <c r="I47" i="4"/>
  <c r="G47" i="4"/>
  <c r="F47" i="4"/>
  <c r="E47" i="4"/>
  <c r="H47" i="4" s="1"/>
  <c r="D47" i="4"/>
  <c r="C47" i="4"/>
  <c r="H46" i="4"/>
  <c r="G46" i="4"/>
  <c r="I46" i="4" s="1"/>
  <c r="F46" i="4"/>
  <c r="E46" i="4"/>
  <c r="D46" i="4"/>
  <c r="C46" i="4"/>
  <c r="G45" i="4"/>
  <c r="I45" i="4" s="1"/>
  <c r="F45" i="4"/>
  <c r="H45" i="4" s="1"/>
  <c r="E45" i="4"/>
  <c r="D45" i="4"/>
  <c r="C45" i="4"/>
  <c r="G44" i="4"/>
  <c r="I44" i="4" s="1"/>
  <c r="F44" i="4"/>
  <c r="E44" i="4"/>
  <c r="D44" i="4"/>
  <c r="C44" i="4"/>
  <c r="I43" i="4"/>
  <c r="G43" i="4"/>
  <c r="F43" i="4"/>
  <c r="E43" i="4"/>
  <c r="D43" i="4"/>
  <c r="C43" i="4"/>
  <c r="H42" i="4"/>
  <c r="G42" i="4"/>
  <c r="I42" i="4" s="1"/>
  <c r="F42" i="4"/>
  <c r="E42" i="4"/>
  <c r="D42" i="4"/>
  <c r="C42" i="4"/>
  <c r="I41" i="4"/>
  <c r="G41" i="4"/>
  <c r="F41" i="4"/>
  <c r="E41" i="4"/>
  <c r="D41" i="4"/>
  <c r="C41" i="4"/>
  <c r="I40" i="4"/>
  <c r="G40" i="4"/>
  <c r="F40" i="4"/>
  <c r="E40" i="4"/>
  <c r="H40" i="4" s="1"/>
  <c r="D40" i="4"/>
  <c r="C40" i="4"/>
  <c r="H39" i="4"/>
  <c r="G39" i="4"/>
  <c r="I39" i="4" s="1"/>
  <c r="F39" i="4"/>
  <c r="E39" i="4"/>
  <c r="D39" i="4"/>
  <c r="C39" i="4"/>
  <c r="G38" i="4"/>
  <c r="I38" i="4" s="1"/>
  <c r="F38" i="4"/>
  <c r="H38" i="4" s="1"/>
  <c r="E38" i="4"/>
  <c r="D38" i="4"/>
  <c r="C38" i="4"/>
  <c r="I37" i="4"/>
  <c r="G37" i="4"/>
  <c r="F37" i="4"/>
  <c r="E37" i="4"/>
  <c r="D37" i="4"/>
  <c r="C37" i="4"/>
  <c r="I36" i="4"/>
  <c r="H36" i="4"/>
  <c r="G36" i="4"/>
  <c r="F36" i="4"/>
  <c r="E36" i="4"/>
  <c r="D36" i="4"/>
  <c r="C36" i="4"/>
  <c r="H35" i="4"/>
  <c r="G35" i="4"/>
  <c r="I35" i="4" s="1"/>
  <c r="F35" i="4"/>
  <c r="E35" i="4"/>
  <c r="D35" i="4"/>
  <c r="C35" i="4"/>
  <c r="H34" i="4"/>
  <c r="G34" i="4"/>
  <c r="I34" i="4" s="1"/>
  <c r="F34" i="4"/>
  <c r="E34" i="4"/>
  <c r="D34" i="4"/>
  <c r="C34" i="4"/>
  <c r="G33" i="4"/>
  <c r="I33" i="4" s="1"/>
  <c r="F33" i="4"/>
  <c r="H33" i="4" s="1"/>
  <c r="E33" i="4"/>
  <c r="D33" i="4"/>
  <c r="C33" i="4"/>
  <c r="G32" i="4"/>
  <c r="I32" i="4" s="1"/>
  <c r="F32" i="4"/>
  <c r="H32" i="4" s="1"/>
  <c r="E32" i="4"/>
  <c r="D32" i="4"/>
  <c r="C32" i="4"/>
  <c r="I31" i="4"/>
  <c r="G31" i="4"/>
  <c r="F31" i="4"/>
  <c r="H31" i="4" s="1"/>
  <c r="E31" i="4"/>
  <c r="D31" i="4"/>
  <c r="C31" i="4"/>
  <c r="I30" i="4"/>
  <c r="H30" i="4"/>
  <c r="G30" i="4"/>
  <c r="F30" i="4"/>
  <c r="E30" i="4"/>
  <c r="D30" i="4"/>
  <c r="C30" i="4"/>
  <c r="H29" i="4"/>
  <c r="G29" i="4"/>
  <c r="I29" i="4" s="1"/>
  <c r="F29" i="4"/>
  <c r="E29" i="4"/>
  <c r="D29" i="4"/>
  <c r="C29" i="4"/>
  <c r="G28" i="4"/>
  <c r="I28" i="4" s="1"/>
  <c r="F28" i="4"/>
  <c r="H28" i="4" s="1"/>
  <c r="E28" i="4"/>
  <c r="D28" i="4"/>
  <c r="C28" i="4"/>
  <c r="I27" i="4"/>
  <c r="H27" i="4"/>
  <c r="G27" i="4"/>
  <c r="F27" i="4"/>
  <c r="E27" i="4"/>
  <c r="D27" i="4"/>
  <c r="C27" i="4"/>
  <c r="H26" i="4"/>
  <c r="G26" i="4"/>
  <c r="I26" i="4" s="1"/>
  <c r="F26" i="4"/>
  <c r="E26" i="4"/>
  <c r="D26" i="4"/>
  <c r="C26" i="4"/>
  <c r="G25" i="4"/>
  <c r="I25" i="4" s="1"/>
  <c r="F25" i="4"/>
  <c r="H25" i="4" s="1"/>
  <c r="E25" i="4"/>
  <c r="D25" i="4"/>
  <c r="C25" i="4"/>
  <c r="G24" i="4"/>
  <c r="I24" i="4" s="1"/>
  <c r="F24" i="4"/>
  <c r="E24" i="4"/>
  <c r="H24" i="4" s="1"/>
  <c r="D24" i="4"/>
  <c r="C24" i="4"/>
  <c r="I23" i="4"/>
  <c r="G23" i="4"/>
  <c r="F23" i="4"/>
  <c r="H23" i="4" s="1"/>
  <c r="E23" i="4"/>
  <c r="D23" i="4"/>
  <c r="C23" i="4"/>
  <c r="I22" i="4"/>
  <c r="H22" i="4"/>
  <c r="G22" i="4"/>
  <c r="F22" i="4"/>
  <c r="E22" i="4"/>
  <c r="D22" i="4"/>
  <c r="C22" i="4"/>
  <c r="G21" i="4"/>
  <c r="I21" i="4" s="1"/>
  <c r="F21" i="4"/>
  <c r="E21" i="4"/>
  <c r="H21" i="4" s="1"/>
  <c r="D21" i="4"/>
  <c r="C21" i="4"/>
  <c r="G20" i="4"/>
  <c r="I20" i="4" s="1"/>
  <c r="F20" i="4"/>
  <c r="H20" i="4" s="1"/>
  <c r="E20" i="4"/>
  <c r="D20" i="4"/>
  <c r="C20" i="4"/>
  <c r="I19" i="4"/>
  <c r="G19" i="4"/>
  <c r="F19" i="4"/>
  <c r="H19" i="4" s="1"/>
  <c r="E19" i="4"/>
  <c r="D19" i="4"/>
  <c r="C19" i="4"/>
  <c r="H18" i="4"/>
  <c r="G18" i="4"/>
  <c r="I18" i="4" s="1"/>
  <c r="F18" i="4"/>
  <c r="E18" i="4"/>
  <c r="D18" i="4"/>
  <c r="C18" i="4"/>
  <c r="I17" i="4"/>
  <c r="G17" i="4"/>
  <c r="F17" i="4"/>
  <c r="H17" i="4" s="1"/>
  <c r="E17" i="4"/>
  <c r="D17" i="4"/>
  <c r="C17" i="4"/>
  <c r="G16" i="4"/>
  <c r="I16" i="4" s="1"/>
  <c r="F16" i="4"/>
  <c r="H16" i="4" s="1"/>
  <c r="E16" i="4"/>
  <c r="D16" i="4"/>
  <c r="C16" i="4"/>
  <c r="I15" i="4"/>
  <c r="G15" i="4"/>
  <c r="F15" i="4"/>
  <c r="E15" i="4"/>
  <c r="D15" i="4"/>
  <c r="C15" i="4"/>
  <c r="I14" i="4"/>
  <c r="G14" i="4"/>
  <c r="F14" i="4"/>
  <c r="E14" i="4"/>
  <c r="H14" i="4" s="1"/>
  <c r="D14" i="4"/>
  <c r="C14" i="4"/>
  <c r="H13" i="4"/>
  <c r="G13" i="4"/>
  <c r="I13" i="4" s="1"/>
  <c r="F13" i="4"/>
  <c r="E13" i="4"/>
  <c r="D13" i="4"/>
  <c r="C13" i="4"/>
  <c r="G12" i="4"/>
  <c r="I12" i="4" s="1"/>
  <c r="F12" i="4"/>
  <c r="H12" i="4" s="1"/>
  <c r="E12" i="4"/>
  <c r="D12" i="4"/>
  <c r="C12" i="4"/>
  <c r="I11" i="4"/>
  <c r="G11" i="4"/>
  <c r="F11" i="4"/>
  <c r="E11" i="4"/>
  <c r="D11" i="4"/>
  <c r="C11" i="4"/>
  <c r="G10" i="4"/>
  <c r="I10" i="4" s="1"/>
  <c r="F10" i="4"/>
  <c r="E10" i="4"/>
  <c r="H10" i="4" s="1"/>
  <c r="D10" i="4"/>
  <c r="C10" i="4"/>
  <c r="I9" i="4"/>
  <c r="G9" i="4"/>
  <c r="F9" i="4"/>
  <c r="H9" i="4" s="1"/>
  <c r="E9" i="4"/>
  <c r="D9" i="4"/>
  <c r="C9" i="4"/>
  <c r="H8" i="4"/>
  <c r="G8" i="4"/>
  <c r="I8" i="4" s="1"/>
  <c r="F8" i="4"/>
  <c r="E8" i="4"/>
  <c r="D8" i="4"/>
  <c r="C8" i="4"/>
  <c r="G7" i="4"/>
  <c r="I7" i="4" s="1"/>
  <c r="F7" i="4"/>
  <c r="H7" i="4" s="1"/>
  <c r="E7" i="4"/>
  <c r="D7" i="4"/>
  <c r="C7" i="4"/>
  <c r="I6" i="4"/>
  <c r="G6" i="4"/>
  <c r="F6" i="4"/>
  <c r="H6" i="4" s="1"/>
  <c r="E6" i="4"/>
  <c r="D6" i="4"/>
  <c r="C6" i="4"/>
  <c r="H5" i="4"/>
  <c r="G5" i="4"/>
  <c r="I5" i="4" s="1"/>
  <c r="F5" i="4"/>
  <c r="E5" i="4"/>
  <c r="D5" i="4"/>
  <c r="C5" i="4"/>
  <c r="L899" i="3"/>
  <c r="K899" i="3"/>
  <c r="J899" i="3"/>
  <c r="I899" i="3"/>
  <c r="H899" i="3"/>
  <c r="G899" i="3"/>
  <c r="F899" i="3"/>
  <c r="E899" i="3"/>
  <c r="D899" i="3"/>
  <c r="C899" i="3"/>
  <c r="B899" i="3"/>
  <c r="A899" i="3"/>
  <c r="K898" i="3"/>
  <c r="L898" i="3" s="1"/>
  <c r="J898" i="3"/>
  <c r="I898" i="3"/>
  <c r="H898" i="3"/>
  <c r="G898" i="3"/>
  <c r="F898" i="3"/>
  <c r="E898" i="3"/>
  <c r="D898" i="3"/>
  <c r="C898" i="3"/>
  <c r="B898" i="3"/>
  <c r="A898" i="3"/>
  <c r="K897" i="3"/>
  <c r="J897" i="3"/>
  <c r="I897" i="3"/>
  <c r="H897" i="3"/>
  <c r="G897" i="3"/>
  <c r="F897" i="3"/>
  <c r="L897" i="3" s="1"/>
  <c r="E897" i="3"/>
  <c r="D897" i="3"/>
  <c r="C897" i="3"/>
  <c r="B897" i="3"/>
  <c r="A897" i="3"/>
  <c r="K896" i="3"/>
  <c r="L896" i="3" s="1"/>
  <c r="J896" i="3"/>
  <c r="I896" i="3"/>
  <c r="H896" i="3"/>
  <c r="G896" i="3"/>
  <c r="F896" i="3"/>
  <c r="E896" i="3"/>
  <c r="D896" i="3"/>
  <c r="C896" i="3"/>
  <c r="B896" i="3"/>
  <c r="A896" i="3"/>
  <c r="K895" i="3"/>
  <c r="J895" i="3"/>
  <c r="I895" i="3"/>
  <c r="H895" i="3"/>
  <c r="G895" i="3"/>
  <c r="F895" i="3"/>
  <c r="L895" i="3" s="1"/>
  <c r="E895" i="3"/>
  <c r="D895" i="3"/>
  <c r="C895" i="3"/>
  <c r="B895" i="3"/>
  <c r="A895" i="3"/>
  <c r="K894" i="3"/>
  <c r="L894" i="3" s="1"/>
  <c r="J894" i="3"/>
  <c r="I894" i="3"/>
  <c r="H894" i="3"/>
  <c r="G894" i="3"/>
  <c r="F894" i="3"/>
  <c r="E894" i="3"/>
  <c r="D894" i="3"/>
  <c r="C894" i="3"/>
  <c r="B894" i="3"/>
  <c r="A894" i="3"/>
  <c r="L893" i="3"/>
  <c r="K893" i="3"/>
  <c r="J893" i="3"/>
  <c r="I893" i="3"/>
  <c r="H893" i="3"/>
  <c r="G893" i="3"/>
  <c r="F893" i="3"/>
  <c r="E893" i="3"/>
  <c r="D893" i="3"/>
  <c r="C893" i="3"/>
  <c r="B893" i="3"/>
  <c r="A893" i="3"/>
  <c r="K892" i="3"/>
  <c r="J892" i="3"/>
  <c r="I892" i="3"/>
  <c r="H892" i="3"/>
  <c r="G892" i="3"/>
  <c r="F892" i="3"/>
  <c r="E892" i="3"/>
  <c r="D892" i="3"/>
  <c r="C892" i="3"/>
  <c r="B892" i="3"/>
  <c r="A892" i="3"/>
  <c r="K891" i="3"/>
  <c r="L891" i="3" s="1"/>
  <c r="J891" i="3"/>
  <c r="I891" i="3"/>
  <c r="H891" i="3"/>
  <c r="G891" i="3"/>
  <c r="F891" i="3"/>
  <c r="E891" i="3"/>
  <c r="D891" i="3"/>
  <c r="C891" i="3"/>
  <c r="B891" i="3"/>
  <c r="A891" i="3"/>
  <c r="K890" i="3"/>
  <c r="L890" i="3" s="1"/>
  <c r="J890" i="3"/>
  <c r="I890" i="3"/>
  <c r="H890" i="3"/>
  <c r="G890" i="3"/>
  <c r="F890" i="3"/>
  <c r="E890" i="3"/>
  <c r="D890" i="3"/>
  <c r="C890" i="3"/>
  <c r="B890" i="3"/>
  <c r="A890" i="3"/>
  <c r="K889" i="3"/>
  <c r="L889" i="3" s="1"/>
  <c r="J889" i="3"/>
  <c r="I889" i="3"/>
  <c r="H889" i="3"/>
  <c r="G889" i="3"/>
  <c r="F889" i="3"/>
  <c r="E889" i="3"/>
  <c r="D889" i="3"/>
  <c r="C889" i="3"/>
  <c r="B889" i="3"/>
  <c r="A889" i="3"/>
  <c r="K888" i="3"/>
  <c r="L888" i="3" s="1"/>
  <c r="J888" i="3"/>
  <c r="I888" i="3"/>
  <c r="H888" i="3"/>
  <c r="G888" i="3"/>
  <c r="F888" i="3"/>
  <c r="E888" i="3"/>
  <c r="D888" i="3"/>
  <c r="C888" i="3"/>
  <c r="B888" i="3"/>
  <c r="A888" i="3"/>
  <c r="K887" i="3"/>
  <c r="L887" i="3" s="1"/>
  <c r="J887" i="3"/>
  <c r="I887" i="3"/>
  <c r="H887" i="3"/>
  <c r="G887" i="3"/>
  <c r="F887" i="3"/>
  <c r="E887" i="3"/>
  <c r="D887" i="3"/>
  <c r="C887" i="3"/>
  <c r="B887" i="3"/>
  <c r="A887" i="3"/>
  <c r="K886" i="3"/>
  <c r="L886" i="3" s="1"/>
  <c r="J886" i="3"/>
  <c r="I886" i="3"/>
  <c r="H886" i="3"/>
  <c r="G886" i="3"/>
  <c r="F886" i="3"/>
  <c r="E886" i="3"/>
  <c r="D886" i="3"/>
  <c r="C886" i="3"/>
  <c r="B886" i="3"/>
  <c r="A886" i="3"/>
  <c r="K885" i="3"/>
  <c r="L885" i="3" s="1"/>
  <c r="J885" i="3"/>
  <c r="I885" i="3"/>
  <c r="H885" i="3"/>
  <c r="G885" i="3"/>
  <c r="F885" i="3"/>
  <c r="E885" i="3"/>
  <c r="D885" i="3"/>
  <c r="C885" i="3"/>
  <c r="B885" i="3"/>
  <c r="A885" i="3"/>
  <c r="K884" i="3"/>
  <c r="L884" i="3" s="1"/>
  <c r="J884" i="3"/>
  <c r="I884" i="3"/>
  <c r="H884" i="3"/>
  <c r="G884" i="3"/>
  <c r="F884" i="3"/>
  <c r="E884" i="3"/>
  <c r="D884" i="3"/>
  <c r="C884" i="3"/>
  <c r="B884" i="3"/>
  <c r="A884" i="3"/>
  <c r="L883" i="3"/>
  <c r="K883" i="3"/>
  <c r="J883" i="3"/>
  <c r="I883" i="3"/>
  <c r="H883" i="3"/>
  <c r="G883" i="3"/>
  <c r="F883" i="3"/>
  <c r="E883" i="3"/>
  <c r="D883" i="3"/>
  <c r="C883" i="3"/>
  <c r="B883" i="3"/>
  <c r="A883" i="3"/>
  <c r="K882" i="3"/>
  <c r="L882" i="3" s="1"/>
  <c r="J882" i="3"/>
  <c r="I882" i="3"/>
  <c r="H882" i="3"/>
  <c r="G882" i="3"/>
  <c r="F882" i="3"/>
  <c r="E882" i="3"/>
  <c r="D882" i="3"/>
  <c r="C882" i="3"/>
  <c r="B882" i="3"/>
  <c r="A882" i="3"/>
  <c r="L881" i="3"/>
  <c r="K881" i="3"/>
  <c r="J881" i="3"/>
  <c r="I881" i="3"/>
  <c r="H881" i="3"/>
  <c r="G881" i="3"/>
  <c r="F881" i="3"/>
  <c r="E881" i="3"/>
  <c r="D881" i="3"/>
  <c r="C881" i="3"/>
  <c r="B881" i="3"/>
  <c r="A881" i="3"/>
  <c r="K880" i="3"/>
  <c r="L880" i="3" s="1"/>
  <c r="J880" i="3"/>
  <c r="I880" i="3"/>
  <c r="H880" i="3"/>
  <c r="G880" i="3"/>
  <c r="F880" i="3"/>
  <c r="E880" i="3"/>
  <c r="D880" i="3"/>
  <c r="C880" i="3"/>
  <c r="B880" i="3"/>
  <c r="A880" i="3"/>
  <c r="L879" i="3"/>
  <c r="K879" i="3"/>
  <c r="J879" i="3"/>
  <c r="I879" i="3"/>
  <c r="H879" i="3"/>
  <c r="G879" i="3"/>
  <c r="F879" i="3"/>
  <c r="E879" i="3"/>
  <c r="D879" i="3"/>
  <c r="C879" i="3"/>
  <c r="B879" i="3"/>
  <c r="A879" i="3"/>
  <c r="K878" i="3"/>
  <c r="L878" i="3" s="1"/>
  <c r="J878" i="3"/>
  <c r="I878" i="3"/>
  <c r="H878" i="3"/>
  <c r="G878" i="3"/>
  <c r="F878" i="3"/>
  <c r="E878" i="3"/>
  <c r="D878" i="3"/>
  <c r="C878" i="3"/>
  <c r="B878" i="3"/>
  <c r="A878" i="3"/>
  <c r="L877" i="3"/>
  <c r="K877" i="3"/>
  <c r="J877" i="3"/>
  <c r="I877" i="3"/>
  <c r="H877" i="3"/>
  <c r="G877" i="3"/>
  <c r="F877" i="3"/>
  <c r="E877" i="3"/>
  <c r="D877" i="3"/>
  <c r="C877" i="3"/>
  <c r="B877" i="3"/>
  <c r="A877" i="3"/>
  <c r="K876" i="3"/>
  <c r="L876" i="3" s="1"/>
  <c r="J876" i="3"/>
  <c r="I876" i="3"/>
  <c r="H876" i="3"/>
  <c r="G876" i="3"/>
  <c r="F876" i="3"/>
  <c r="E876" i="3"/>
  <c r="D876" i="3"/>
  <c r="C876" i="3"/>
  <c r="B876" i="3"/>
  <c r="A876" i="3"/>
  <c r="K875" i="3"/>
  <c r="L875" i="3" s="1"/>
  <c r="J875" i="3"/>
  <c r="I875" i="3"/>
  <c r="H875" i="3"/>
  <c r="G875" i="3"/>
  <c r="F875" i="3"/>
  <c r="E875" i="3"/>
  <c r="D875" i="3"/>
  <c r="C875" i="3"/>
  <c r="B875" i="3"/>
  <c r="A875" i="3"/>
  <c r="K874" i="3"/>
  <c r="L874" i="3" s="1"/>
  <c r="J874" i="3"/>
  <c r="I874" i="3"/>
  <c r="H874" i="3"/>
  <c r="G874" i="3"/>
  <c r="F874" i="3"/>
  <c r="E874" i="3"/>
  <c r="D874" i="3"/>
  <c r="C874" i="3"/>
  <c r="B874" i="3"/>
  <c r="A874" i="3"/>
  <c r="K873" i="3"/>
  <c r="L873" i="3" s="1"/>
  <c r="J873" i="3"/>
  <c r="I873" i="3"/>
  <c r="H873" i="3"/>
  <c r="G873" i="3"/>
  <c r="F873" i="3"/>
  <c r="E873" i="3"/>
  <c r="D873" i="3"/>
  <c r="C873" i="3"/>
  <c r="B873" i="3"/>
  <c r="A873" i="3"/>
  <c r="K872" i="3"/>
  <c r="L872" i="3" s="1"/>
  <c r="J872" i="3"/>
  <c r="I872" i="3"/>
  <c r="H872" i="3"/>
  <c r="G872" i="3"/>
  <c r="F872" i="3"/>
  <c r="E872" i="3"/>
  <c r="D872" i="3"/>
  <c r="C872" i="3"/>
  <c r="B872" i="3"/>
  <c r="A872" i="3"/>
  <c r="K871" i="3"/>
  <c r="L871" i="3" s="1"/>
  <c r="J871" i="3"/>
  <c r="I871" i="3"/>
  <c r="H871" i="3"/>
  <c r="G871" i="3"/>
  <c r="F871" i="3"/>
  <c r="E871" i="3"/>
  <c r="D871" i="3"/>
  <c r="C871" i="3"/>
  <c r="B871" i="3"/>
  <c r="A871" i="3"/>
  <c r="K870" i="3"/>
  <c r="L870" i="3" s="1"/>
  <c r="J870" i="3"/>
  <c r="I870" i="3"/>
  <c r="H870" i="3"/>
  <c r="G870" i="3"/>
  <c r="F870" i="3"/>
  <c r="E870" i="3"/>
  <c r="D870" i="3"/>
  <c r="C870" i="3"/>
  <c r="B870" i="3"/>
  <c r="A870" i="3"/>
  <c r="K869" i="3"/>
  <c r="L869" i="3" s="1"/>
  <c r="J869" i="3"/>
  <c r="I869" i="3"/>
  <c r="H869" i="3"/>
  <c r="G869" i="3"/>
  <c r="F869" i="3"/>
  <c r="E869" i="3"/>
  <c r="D869" i="3"/>
  <c r="C869" i="3"/>
  <c r="B869" i="3"/>
  <c r="A869" i="3"/>
  <c r="K868" i="3"/>
  <c r="L868" i="3" s="1"/>
  <c r="J868" i="3"/>
  <c r="I868" i="3"/>
  <c r="H868" i="3"/>
  <c r="G868" i="3"/>
  <c r="F868" i="3"/>
  <c r="E868" i="3"/>
  <c r="D868" i="3"/>
  <c r="C868" i="3"/>
  <c r="B868" i="3"/>
  <c r="A868" i="3"/>
  <c r="L867" i="3"/>
  <c r="K867" i="3"/>
  <c r="J867" i="3"/>
  <c r="I867" i="3"/>
  <c r="H867" i="3"/>
  <c r="G867" i="3"/>
  <c r="F867" i="3"/>
  <c r="E867" i="3"/>
  <c r="D867" i="3"/>
  <c r="C867" i="3"/>
  <c r="B867" i="3"/>
  <c r="A867" i="3"/>
  <c r="K866" i="3"/>
  <c r="L866" i="3" s="1"/>
  <c r="J866" i="3"/>
  <c r="I866" i="3"/>
  <c r="H866" i="3"/>
  <c r="G866" i="3"/>
  <c r="F866" i="3"/>
  <c r="E866" i="3"/>
  <c r="D866" i="3"/>
  <c r="C866" i="3"/>
  <c r="B866" i="3"/>
  <c r="A866" i="3"/>
  <c r="L865" i="3"/>
  <c r="K865" i="3"/>
  <c r="J865" i="3"/>
  <c r="I865" i="3"/>
  <c r="H865" i="3"/>
  <c r="G865" i="3"/>
  <c r="F865" i="3"/>
  <c r="E865" i="3"/>
  <c r="D865" i="3"/>
  <c r="C865" i="3"/>
  <c r="B865" i="3"/>
  <c r="A865" i="3"/>
  <c r="K864" i="3"/>
  <c r="L864" i="3" s="1"/>
  <c r="J864" i="3"/>
  <c r="I864" i="3"/>
  <c r="H864" i="3"/>
  <c r="G864" i="3"/>
  <c r="F864" i="3"/>
  <c r="E864" i="3"/>
  <c r="D864" i="3"/>
  <c r="C864" i="3"/>
  <c r="B864" i="3"/>
  <c r="A864" i="3"/>
  <c r="L863" i="3"/>
  <c r="K863" i="3"/>
  <c r="J863" i="3"/>
  <c r="I863" i="3"/>
  <c r="H863" i="3"/>
  <c r="G863" i="3"/>
  <c r="F863" i="3"/>
  <c r="E863" i="3"/>
  <c r="D863" i="3"/>
  <c r="C863" i="3"/>
  <c r="B863" i="3"/>
  <c r="A863" i="3"/>
  <c r="K862" i="3"/>
  <c r="L862" i="3" s="1"/>
  <c r="J862" i="3"/>
  <c r="I862" i="3"/>
  <c r="H862" i="3"/>
  <c r="G862" i="3"/>
  <c r="F862" i="3"/>
  <c r="E862" i="3"/>
  <c r="D862" i="3"/>
  <c r="C862" i="3"/>
  <c r="B862" i="3"/>
  <c r="A862" i="3"/>
  <c r="K861" i="3"/>
  <c r="L861" i="3" s="1"/>
  <c r="J861" i="3"/>
  <c r="I861" i="3"/>
  <c r="H861" i="3"/>
  <c r="G861" i="3"/>
  <c r="F861" i="3"/>
  <c r="E861" i="3"/>
  <c r="D861" i="3"/>
  <c r="C861" i="3"/>
  <c r="B861" i="3"/>
  <c r="A861" i="3"/>
  <c r="K860" i="3"/>
  <c r="J860" i="3"/>
  <c r="I860" i="3"/>
  <c r="H860" i="3"/>
  <c r="G860" i="3"/>
  <c r="F860" i="3"/>
  <c r="E860" i="3"/>
  <c r="D860" i="3"/>
  <c r="C860" i="3"/>
  <c r="B860" i="3"/>
  <c r="A860" i="3"/>
  <c r="K859" i="3"/>
  <c r="L859" i="3" s="1"/>
  <c r="J859" i="3"/>
  <c r="I859" i="3"/>
  <c r="H859" i="3"/>
  <c r="G859" i="3"/>
  <c r="F859" i="3"/>
  <c r="E859" i="3"/>
  <c r="D859" i="3"/>
  <c r="C859" i="3"/>
  <c r="B859" i="3"/>
  <c r="A859" i="3"/>
  <c r="K858" i="3"/>
  <c r="L858" i="3" s="1"/>
  <c r="J858" i="3"/>
  <c r="I858" i="3"/>
  <c r="H858" i="3"/>
  <c r="G858" i="3"/>
  <c r="F858" i="3"/>
  <c r="E858" i="3"/>
  <c r="D858" i="3"/>
  <c r="C858" i="3"/>
  <c r="B858" i="3"/>
  <c r="A858" i="3"/>
  <c r="K857" i="3"/>
  <c r="L857" i="3" s="1"/>
  <c r="J857" i="3"/>
  <c r="I857" i="3"/>
  <c r="H857" i="3"/>
  <c r="G857" i="3"/>
  <c r="F857" i="3"/>
  <c r="E857" i="3"/>
  <c r="D857" i="3"/>
  <c r="C857" i="3"/>
  <c r="B857" i="3"/>
  <c r="A857" i="3"/>
  <c r="K856" i="3"/>
  <c r="L856" i="3" s="1"/>
  <c r="J856" i="3"/>
  <c r="I856" i="3"/>
  <c r="H856" i="3"/>
  <c r="G856" i="3"/>
  <c r="F856" i="3"/>
  <c r="E856" i="3"/>
  <c r="D856" i="3"/>
  <c r="C856" i="3"/>
  <c r="B856" i="3"/>
  <c r="A856" i="3"/>
  <c r="K855" i="3"/>
  <c r="L855" i="3" s="1"/>
  <c r="J855" i="3"/>
  <c r="I855" i="3"/>
  <c r="H855" i="3"/>
  <c r="G855" i="3"/>
  <c r="F855" i="3"/>
  <c r="E855" i="3"/>
  <c r="D855" i="3"/>
  <c r="C855" i="3"/>
  <c r="B855" i="3"/>
  <c r="A855" i="3"/>
  <c r="K854" i="3"/>
  <c r="L854" i="3" s="1"/>
  <c r="J854" i="3"/>
  <c r="I854" i="3"/>
  <c r="H854" i="3"/>
  <c r="G854" i="3"/>
  <c r="F854" i="3"/>
  <c r="E854" i="3"/>
  <c r="D854" i="3"/>
  <c r="C854" i="3"/>
  <c r="B854" i="3"/>
  <c r="A854" i="3"/>
  <c r="K853" i="3"/>
  <c r="L853" i="3" s="1"/>
  <c r="J853" i="3"/>
  <c r="I853" i="3"/>
  <c r="H853" i="3"/>
  <c r="G853" i="3"/>
  <c r="F853" i="3"/>
  <c r="E853" i="3"/>
  <c r="D853" i="3"/>
  <c r="C853" i="3"/>
  <c r="B853" i="3"/>
  <c r="A853" i="3"/>
  <c r="K852" i="3"/>
  <c r="L852" i="3" s="1"/>
  <c r="J852" i="3"/>
  <c r="I852" i="3"/>
  <c r="H852" i="3"/>
  <c r="G852" i="3"/>
  <c r="F852" i="3"/>
  <c r="E852" i="3"/>
  <c r="D852" i="3"/>
  <c r="C852" i="3"/>
  <c r="B852" i="3"/>
  <c r="A852" i="3"/>
  <c r="K851" i="3"/>
  <c r="J851" i="3"/>
  <c r="I851" i="3"/>
  <c r="H851" i="3"/>
  <c r="G851" i="3"/>
  <c r="F851" i="3"/>
  <c r="L851" i="3" s="1"/>
  <c r="E851" i="3"/>
  <c r="D851" i="3"/>
  <c r="C851" i="3"/>
  <c r="B851" i="3"/>
  <c r="A851" i="3"/>
  <c r="K850" i="3"/>
  <c r="L850" i="3" s="1"/>
  <c r="J850" i="3"/>
  <c r="I850" i="3"/>
  <c r="H850" i="3"/>
  <c r="G850" i="3"/>
  <c r="F850" i="3"/>
  <c r="E850" i="3"/>
  <c r="D850" i="3"/>
  <c r="C850" i="3"/>
  <c r="B850" i="3"/>
  <c r="A850" i="3"/>
  <c r="L849" i="3"/>
  <c r="K849" i="3"/>
  <c r="J849" i="3"/>
  <c r="I849" i="3"/>
  <c r="H849" i="3"/>
  <c r="G849" i="3"/>
  <c r="F849" i="3"/>
  <c r="E849" i="3"/>
  <c r="D849" i="3"/>
  <c r="C849" i="3"/>
  <c r="B849" i="3"/>
  <c r="A849" i="3"/>
  <c r="K848" i="3"/>
  <c r="L848" i="3" s="1"/>
  <c r="J848" i="3"/>
  <c r="I848" i="3"/>
  <c r="H848" i="3"/>
  <c r="G848" i="3"/>
  <c r="F848" i="3"/>
  <c r="E848" i="3"/>
  <c r="D848" i="3"/>
  <c r="C848" i="3"/>
  <c r="B848" i="3"/>
  <c r="A848" i="3"/>
  <c r="L847" i="3"/>
  <c r="K847" i="3"/>
  <c r="J847" i="3"/>
  <c r="I847" i="3"/>
  <c r="H847" i="3"/>
  <c r="G847" i="3"/>
  <c r="F847" i="3"/>
  <c r="E847" i="3"/>
  <c r="D847" i="3"/>
  <c r="C847" i="3"/>
  <c r="B847" i="3"/>
  <c r="A847" i="3"/>
  <c r="K846" i="3"/>
  <c r="L846" i="3" s="1"/>
  <c r="J846" i="3"/>
  <c r="I846" i="3"/>
  <c r="H846" i="3"/>
  <c r="G846" i="3"/>
  <c r="F846" i="3"/>
  <c r="E846" i="3"/>
  <c r="D846" i="3"/>
  <c r="C846" i="3"/>
  <c r="B846" i="3"/>
  <c r="A846" i="3"/>
  <c r="L845" i="3"/>
  <c r="K845" i="3"/>
  <c r="J845" i="3"/>
  <c r="I845" i="3"/>
  <c r="H845" i="3"/>
  <c r="G845" i="3"/>
  <c r="F845" i="3"/>
  <c r="E845" i="3"/>
  <c r="D845" i="3"/>
  <c r="C845" i="3"/>
  <c r="B845" i="3"/>
  <c r="A845" i="3"/>
  <c r="K844" i="3"/>
  <c r="L844" i="3" s="1"/>
  <c r="J844" i="3"/>
  <c r="I844" i="3"/>
  <c r="H844" i="3"/>
  <c r="G844" i="3"/>
  <c r="F844" i="3"/>
  <c r="E844" i="3"/>
  <c r="D844" i="3"/>
  <c r="C844" i="3"/>
  <c r="B844" i="3"/>
  <c r="A844" i="3"/>
  <c r="L843" i="3"/>
  <c r="K843" i="3"/>
  <c r="J843" i="3"/>
  <c r="I843" i="3"/>
  <c r="H843" i="3"/>
  <c r="G843" i="3"/>
  <c r="F843" i="3"/>
  <c r="E843" i="3"/>
  <c r="D843" i="3"/>
  <c r="C843" i="3"/>
  <c r="B843" i="3"/>
  <c r="A843" i="3"/>
  <c r="K842" i="3"/>
  <c r="L842" i="3" s="1"/>
  <c r="J842" i="3"/>
  <c r="I842" i="3"/>
  <c r="H842" i="3"/>
  <c r="G842" i="3"/>
  <c r="F842" i="3"/>
  <c r="E842" i="3"/>
  <c r="D842" i="3"/>
  <c r="C842" i="3"/>
  <c r="B842" i="3"/>
  <c r="A842" i="3"/>
  <c r="K841" i="3"/>
  <c r="L841" i="3" s="1"/>
  <c r="J841" i="3"/>
  <c r="I841" i="3"/>
  <c r="H841" i="3"/>
  <c r="G841" i="3"/>
  <c r="F841" i="3"/>
  <c r="E841" i="3"/>
  <c r="D841" i="3"/>
  <c r="C841" i="3"/>
  <c r="B841" i="3"/>
  <c r="A841" i="3"/>
  <c r="K840" i="3"/>
  <c r="L840" i="3" s="1"/>
  <c r="J840" i="3"/>
  <c r="I840" i="3"/>
  <c r="H840" i="3"/>
  <c r="G840" i="3"/>
  <c r="F840" i="3"/>
  <c r="E840" i="3"/>
  <c r="D840" i="3"/>
  <c r="C840" i="3"/>
  <c r="B840" i="3"/>
  <c r="A840" i="3"/>
  <c r="K839" i="3"/>
  <c r="L839" i="3" s="1"/>
  <c r="J839" i="3"/>
  <c r="I839" i="3"/>
  <c r="H839" i="3"/>
  <c r="G839" i="3"/>
  <c r="F839" i="3"/>
  <c r="E839" i="3"/>
  <c r="D839" i="3"/>
  <c r="C839" i="3"/>
  <c r="B839" i="3"/>
  <c r="A839" i="3"/>
  <c r="K838" i="3"/>
  <c r="L838" i="3" s="1"/>
  <c r="J838" i="3"/>
  <c r="I838" i="3"/>
  <c r="H838" i="3"/>
  <c r="G838" i="3"/>
  <c r="F838" i="3"/>
  <c r="E838" i="3"/>
  <c r="D838" i="3"/>
  <c r="C838" i="3"/>
  <c r="B838" i="3"/>
  <c r="A838" i="3"/>
  <c r="K837" i="3"/>
  <c r="L837" i="3" s="1"/>
  <c r="J837" i="3"/>
  <c r="I837" i="3"/>
  <c r="H837" i="3"/>
  <c r="G837" i="3"/>
  <c r="F837" i="3"/>
  <c r="E837" i="3"/>
  <c r="D837" i="3"/>
  <c r="C837" i="3"/>
  <c r="B837" i="3"/>
  <c r="A837" i="3"/>
  <c r="K836" i="3"/>
  <c r="L836" i="3" s="1"/>
  <c r="J836" i="3"/>
  <c r="I836" i="3"/>
  <c r="H836" i="3"/>
  <c r="G836" i="3"/>
  <c r="F836" i="3"/>
  <c r="E836" i="3"/>
  <c r="D836" i="3"/>
  <c r="C836" i="3"/>
  <c r="B836" i="3"/>
  <c r="A836" i="3"/>
  <c r="L835" i="3"/>
  <c r="K835" i="3"/>
  <c r="J835" i="3"/>
  <c r="I835" i="3"/>
  <c r="H835" i="3"/>
  <c r="G835" i="3"/>
  <c r="F835" i="3"/>
  <c r="E835" i="3"/>
  <c r="D835" i="3"/>
  <c r="C835" i="3"/>
  <c r="B835" i="3"/>
  <c r="A835" i="3"/>
  <c r="K834" i="3"/>
  <c r="L834" i="3" s="1"/>
  <c r="J834" i="3"/>
  <c r="I834" i="3"/>
  <c r="H834" i="3"/>
  <c r="G834" i="3"/>
  <c r="F834" i="3"/>
  <c r="E834" i="3"/>
  <c r="D834" i="3"/>
  <c r="C834" i="3"/>
  <c r="B834" i="3"/>
  <c r="A834" i="3"/>
  <c r="L833" i="3"/>
  <c r="K833" i="3"/>
  <c r="J833" i="3"/>
  <c r="I833" i="3"/>
  <c r="H833" i="3"/>
  <c r="G833" i="3"/>
  <c r="F833" i="3"/>
  <c r="E833" i="3"/>
  <c r="D833" i="3"/>
  <c r="C833" i="3"/>
  <c r="B833" i="3"/>
  <c r="A833" i="3"/>
  <c r="K832" i="3"/>
  <c r="L832" i="3" s="1"/>
  <c r="J832" i="3"/>
  <c r="I832" i="3"/>
  <c r="H832" i="3"/>
  <c r="G832" i="3"/>
  <c r="F832" i="3"/>
  <c r="E832" i="3"/>
  <c r="D832" i="3"/>
  <c r="C832" i="3"/>
  <c r="B832" i="3"/>
  <c r="A832" i="3"/>
  <c r="L831" i="3"/>
  <c r="K831" i="3"/>
  <c r="J831" i="3"/>
  <c r="I831" i="3"/>
  <c r="H831" i="3"/>
  <c r="G831" i="3"/>
  <c r="F831" i="3"/>
  <c r="E831" i="3"/>
  <c r="D831" i="3"/>
  <c r="C831" i="3"/>
  <c r="B831" i="3"/>
  <c r="A831" i="3"/>
  <c r="K830" i="3"/>
  <c r="L830" i="3" s="1"/>
  <c r="J830" i="3"/>
  <c r="I830" i="3"/>
  <c r="H830" i="3"/>
  <c r="G830" i="3"/>
  <c r="F830" i="3"/>
  <c r="E830" i="3"/>
  <c r="D830" i="3"/>
  <c r="C830" i="3"/>
  <c r="B830" i="3"/>
  <c r="A830" i="3"/>
  <c r="K829" i="3"/>
  <c r="L829" i="3" s="1"/>
  <c r="J829" i="3"/>
  <c r="I829" i="3"/>
  <c r="H829" i="3"/>
  <c r="G829" i="3"/>
  <c r="F829" i="3"/>
  <c r="E829" i="3"/>
  <c r="D829" i="3"/>
  <c r="C829" i="3"/>
  <c r="B829" i="3"/>
  <c r="A829" i="3"/>
  <c r="K828" i="3"/>
  <c r="L828" i="3" s="1"/>
  <c r="J828" i="3"/>
  <c r="I828" i="3"/>
  <c r="H828" i="3"/>
  <c r="G828" i="3"/>
  <c r="F828" i="3"/>
  <c r="E828" i="3"/>
  <c r="D828" i="3"/>
  <c r="C828" i="3"/>
  <c r="B828" i="3"/>
  <c r="A828" i="3"/>
  <c r="K827" i="3"/>
  <c r="L827" i="3" s="1"/>
  <c r="J827" i="3"/>
  <c r="I827" i="3"/>
  <c r="H827" i="3"/>
  <c r="G827" i="3"/>
  <c r="F827" i="3"/>
  <c r="E827" i="3"/>
  <c r="D827" i="3"/>
  <c r="C827" i="3"/>
  <c r="B827" i="3"/>
  <c r="A827" i="3"/>
  <c r="K826" i="3"/>
  <c r="L826" i="3" s="1"/>
  <c r="J826" i="3"/>
  <c r="I826" i="3"/>
  <c r="H826" i="3"/>
  <c r="G826" i="3"/>
  <c r="F826" i="3"/>
  <c r="E826" i="3"/>
  <c r="D826" i="3"/>
  <c r="C826" i="3"/>
  <c r="B826" i="3"/>
  <c r="A826" i="3"/>
  <c r="K825" i="3"/>
  <c r="L825" i="3" s="1"/>
  <c r="J825" i="3"/>
  <c r="I825" i="3"/>
  <c r="H825" i="3"/>
  <c r="G825" i="3"/>
  <c r="F825" i="3"/>
  <c r="E825" i="3"/>
  <c r="D825" i="3"/>
  <c r="C825" i="3"/>
  <c r="B825" i="3"/>
  <c r="A825" i="3"/>
  <c r="K824" i="3"/>
  <c r="L824" i="3" s="1"/>
  <c r="J824" i="3"/>
  <c r="I824" i="3"/>
  <c r="H824" i="3"/>
  <c r="G824" i="3"/>
  <c r="F824" i="3"/>
  <c r="E824" i="3"/>
  <c r="D824" i="3"/>
  <c r="C824" i="3"/>
  <c r="B824" i="3"/>
  <c r="A824" i="3"/>
  <c r="K823" i="3"/>
  <c r="L823" i="3" s="1"/>
  <c r="J823" i="3"/>
  <c r="I823" i="3"/>
  <c r="H823" i="3"/>
  <c r="G823" i="3"/>
  <c r="F823" i="3"/>
  <c r="E823" i="3"/>
  <c r="D823" i="3"/>
  <c r="C823" i="3"/>
  <c r="B823" i="3"/>
  <c r="A823" i="3"/>
  <c r="K822" i="3"/>
  <c r="L822" i="3" s="1"/>
  <c r="J822" i="3"/>
  <c r="I822" i="3"/>
  <c r="H822" i="3"/>
  <c r="G822" i="3"/>
  <c r="F822" i="3"/>
  <c r="E822" i="3"/>
  <c r="D822" i="3"/>
  <c r="C822" i="3"/>
  <c r="B822" i="3"/>
  <c r="A822" i="3"/>
  <c r="K821" i="3"/>
  <c r="L821" i="3" s="1"/>
  <c r="J821" i="3"/>
  <c r="I821" i="3"/>
  <c r="H821" i="3"/>
  <c r="G821" i="3"/>
  <c r="F821" i="3"/>
  <c r="E821" i="3"/>
  <c r="D821" i="3"/>
  <c r="C821" i="3"/>
  <c r="B821" i="3"/>
  <c r="A821" i="3"/>
  <c r="K820" i="3"/>
  <c r="L820" i="3" s="1"/>
  <c r="J820" i="3"/>
  <c r="I820" i="3"/>
  <c r="H820" i="3"/>
  <c r="G820" i="3"/>
  <c r="F820" i="3"/>
  <c r="E820" i="3"/>
  <c r="D820" i="3"/>
  <c r="C820" i="3"/>
  <c r="B820" i="3"/>
  <c r="A820" i="3"/>
  <c r="L819" i="3"/>
  <c r="K819" i="3"/>
  <c r="J819" i="3"/>
  <c r="I819" i="3"/>
  <c r="H819" i="3"/>
  <c r="G819" i="3"/>
  <c r="F819" i="3"/>
  <c r="E819" i="3"/>
  <c r="D819" i="3"/>
  <c r="C819" i="3"/>
  <c r="B819" i="3"/>
  <c r="A819" i="3"/>
  <c r="K818" i="3"/>
  <c r="L818" i="3" s="1"/>
  <c r="J818" i="3"/>
  <c r="I818" i="3"/>
  <c r="H818" i="3"/>
  <c r="G818" i="3"/>
  <c r="F818" i="3"/>
  <c r="E818" i="3"/>
  <c r="D818" i="3"/>
  <c r="C818" i="3"/>
  <c r="B818" i="3"/>
  <c r="A818" i="3"/>
  <c r="L817" i="3"/>
  <c r="K817" i="3"/>
  <c r="J817" i="3"/>
  <c r="I817" i="3"/>
  <c r="H817" i="3"/>
  <c r="G817" i="3"/>
  <c r="F817" i="3"/>
  <c r="E817" i="3"/>
  <c r="D817" i="3"/>
  <c r="C817" i="3"/>
  <c r="B817" i="3"/>
  <c r="A817" i="3"/>
  <c r="K816" i="3"/>
  <c r="L816" i="3" s="1"/>
  <c r="J816" i="3"/>
  <c r="I816" i="3"/>
  <c r="H816" i="3"/>
  <c r="G816" i="3"/>
  <c r="F816" i="3"/>
  <c r="E816" i="3"/>
  <c r="D816" i="3"/>
  <c r="C816" i="3"/>
  <c r="B816" i="3"/>
  <c r="A816" i="3"/>
  <c r="L815" i="3"/>
  <c r="K815" i="3"/>
  <c r="J815" i="3"/>
  <c r="I815" i="3"/>
  <c r="H815" i="3"/>
  <c r="G815" i="3"/>
  <c r="F815" i="3"/>
  <c r="E815" i="3"/>
  <c r="D815" i="3"/>
  <c r="C815" i="3"/>
  <c r="B815" i="3"/>
  <c r="A815" i="3"/>
  <c r="K814" i="3"/>
  <c r="L814" i="3" s="1"/>
  <c r="J814" i="3"/>
  <c r="I814" i="3"/>
  <c r="H814" i="3"/>
  <c r="G814" i="3"/>
  <c r="F814" i="3"/>
  <c r="E814" i="3"/>
  <c r="D814" i="3"/>
  <c r="C814" i="3"/>
  <c r="B814" i="3"/>
  <c r="A814" i="3"/>
  <c r="L813" i="3"/>
  <c r="K813" i="3"/>
  <c r="J813" i="3"/>
  <c r="I813" i="3"/>
  <c r="H813" i="3"/>
  <c r="G813" i="3"/>
  <c r="F813" i="3"/>
  <c r="E813" i="3"/>
  <c r="D813" i="3"/>
  <c r="C813" i="3"/>
  <c r="B813" i="3"/>
  <c r="A813" i="3"/>
  <c r="K812" i="3"/>
  <c r="L812" i="3" s="1"/>
  <c r="J812" i="3"/>
  <c r="I812" i="3"/>
  <c r="H812" i="3"/>
  <c r="G812" i="3"/>
  <c r="F812" i="3"/>
  <c r="E812" i="3"/>
  <c r="D812" i="3"/>
  <c r="C812" i="3"/>
  <c r="B812" i="3"/>
  <c r="A812" i="3"/>
  <c r="K811" i="3"/>
  <c r="L811" i="3" s="1"/>
  <c r="J811" i="3"/>
  <c r="I811" i="3"/>
  <c r="H811" i="3"/>
  <c r="G811" i="3"/>
  <c r="F811" i="3"/>
  <c r="E811" i="3"/>
  <c r="D811" i="3"/>
  <c r="C811" i="3"/>
  <c r="B811" i="3"/>
  <c r="A811" i="3"/>
  <c r="K810" i="3"/>
  <c r="L810" i="3" s="1"/>
  <c r="J810" i="3"/>
  <c r="I810" i="3"/>
  <c r="H810" i="3"/>
  <c r="G810" i="3"/>
  <c r="F810" i="3"/>
  <c r="E810" i="3"/>
  <c r="D810" i="3"/>
  <c r="C810" i="3"/>
  <c r="B810" i="3"/>
  <c r="A810" i="3"/>
  <c r="K809" i="3"/>
  <c r="L809" i="3" s="1"/>
  <c r="J809" i="3"/>
  <c r="I809" i="3"/>
  <c r="H809" i="3"/>
  <c r="G809" i="3"/>
  <c r="F809" i="3"/>
  <c r="E809" i="3"/>
  <c r="D809" i="3"/>
  <c r="C809" i="3"/>
  <c r="B809" i="3"/>
  <c r="A809" i="3"/>
  <c r="K808" i="3"/>
  <c r="L808" i="3" s="1"/>
  <c r="J808" i="3"/>
  <c r="I808" i="3"/>
  <c r="H808" i="3"/>
  <c r="G808" i="3"/>
  <c r="F808" i="3"/>
  <c r="E808" i="3"/>
  <c r="D808" i="3"/>
  <c r="C808" i="3"/>
  <c r="B808" i="3"/>
  <c r="A808" i="3"/>
  <c r="K807" i="3"/>
  <c r="L807" i="3" s="1"/>
  <c r="J807" i="3"/>
  <c r="I807" i="3"/>
  <c r="H807" i="3"/>
  <c r="G807" i="3"/>
  <c r="F807" i="3"/>
  <c r="E807" i="3"/>
  <c r="D807" i="3"/>
  <c r="C807" i="3"/>
  <c r="B807" i="3"/>
  <c r="A807" i="3"/>
  <c r="K806" i="3"/>
  <c r="L806" i="3" s="1"/>
  <c r="J806" i="3"/>
  <c r="I806" i="3"/>
  <c r="H806" i="3"/>
  <c r="G806" i="3"/>
  <c r="F806" i="3"/>
  <c r="E806" i="3"/>
  <c r="D806" i="3"/>
  <c r="C806" i="3"/>
  <c r="B806" i="3"/>
  <c r="A806" i="3"/>
  <c r="K805" i="3"/>
  <c r="L805" i="3" s="1"/>
  <c r="J805" i="3"/>
  <c r="I805" i="3"/>
  <c r="H805" i="3"/>
  <c r="G805" i="3"/>
  <c r="F805" i="3"/>
  <c r="E805" i="3"/>
  <c r="D805" i="3"/>
  <c r="C805" i="3"/>
  <c r="B805" i="3"/>
  <c r="A805" i="3"/>
  <c r="K804" i="3"/>
  <c r="L804" i="3" s="1"/>
  <c r="J804" i="3"/>
  <c r="I804" i="3"/>
  <c r="H804" i="3"/>
  <c r="G804" i="3"/>
  <c r="F804" i="3"/>
  <c r="E804" i="3"/>
  <c r="D804" i="3"/>
  <c r="C804" i="3"/>
  <c r="B804" i="3"/>
  <c r="A804" i="3"/>
  <c r="L803" i="3"/>
  <c r="K803" i="3"/>
  <c r="J803" i="3"/>
  <c r="I803" i="3"/>
  <c r="H803" i="3"/>
  <c r="G803" i="3"/>
  <c r="F803" i="3"/>
  <c r="E803" i="3"/>
  <c r="D803" i="3"/>
  <c r="C803" i="3"/>
  <c r="B803" i="3"/>
  <c r="A803" i="3"/>
  <c r="K802" i="3"/>
  <c r="L802" i="3" s="1"/>
  <c r="J802" i="3"/>
  <c r="I802" i="3"/>
  <c r="H802" i="3"/>
  <c r="G802" i="3"/>
  <c r="F802" i="3"/>
  <c r="E802" i="3"/>
  <c r="D802" i="3"/>
  <c r="C802" i="3"/>
  <c r="B802" i="3"/>
  <c r="A802" i="3"/>
  <c r="K801" i="3"/>
  <c r="J801" i="3"/>
  <c r="I801" i="3"/>
  <c r="H801" i="3"/>
  <c r="G801" i="3"/>
  <c r="F801" i="3"/>
  <c r="E801" i="3"/>
  <c r="D801" i="3"/>
  <c r="C801" i="3"/>
  <c r="B801" i="3"/>
  <c r="A801" i="3"/>
  <c r="K800" i="3"/>
  <c r="L800" i="3" s="1"/>
  <c r="J800" i="3"/>
  <c r="I800" i="3"/>
  <c r="H800" i="3"/>
  <c r="G800" i="3"/>
  <c r="F800" i="3"/>
  <c r="E800" i="3"/>
  <c r="D800" i="3"/>
  <c r="C800" i="3"/>
  <c r="B800" i="3"/>
  <c r="A800" i="3"/>
  <c r="L799" i="3"/>
  <c r="K799" i="3"/>
  <c r="J799" i="3"/>
  <c r="I799" i="3"/>
  <c r="H799" i="3"/>
  <c r="G799" i="3"/>
  <c r="F799" i="3"/>
  <c r="E799" i="3"/>
  <c r="D799" i="3"/>
  <c r="C799" i="3"/>
  <c r="B799" i="3"/>
  <c r="A799" i="3"/>
  <c r="K798" i="3"/>
  <c r="L798" i="3" s="1"/>
  <c r="J798" i="3"/>
  <c r="I798" i="3"/>
  <c r="H798" i="3"/>
  <c r="G798" i="3"/>
  <c r="F798" i="3"/>
  <c r="E798" i="3"/>
  <c r="D798" i="3"/>
  <c r="C798" i="3"/>
  <c r="B798" i="3"/>
  <c r="A798" i="3"/>
  <c r="K797" i="3"/>
  <c r="L797" i="3" s="1"/>
  <c r="J797" i="3"/>
  <c r="I797" i="3"/>
  <c r="H797" i="3"/>
  <c r="G797" i="3"/>
  <c r="F797" i="3"/>
  <c r="E797" i="3"/>
  <c r="D797" i="3"/>
  <c r="C797" i="3"/>
  <c r="B797" i="3"/>
  <c r="A797" i="3"/>
  <c r="K796" i="3"/>
  <c r="L796" i="3" s="1"/>
  <c r="J796" i="3"/>
  <c r="I796" i="3"/>
  <c r="H796" i="3"/>
  <c r="G796" i="3"/>
  <c r="F796" i="3"/>
  <c r="E796" i="3"/>
  <c r="D796" i="3"/>
  <c r="C796" i="3"/>
  <c r="B796" i="3"/>
  <c r="A796" i="3"/>
  <c r="K795" i="3"/>
  <c r="L795" i="3" s="1"/>
  <c r="J795" i="3"/>
  <c r="I795" i="3"/>
  <c r="H795" i="3"/>
  <c r="G795" i="3"/>
  <c r="F795" i="3"/>
  <c r="E795" i="3"/>
  <c r="D795" i="3"/>
  <c r="C795" i="3"/>
  <c r="B795" i="3"/>
  <c r="A795" i="3"/>
  <c r="K794" i="3"/>
  <c r="J794" i="3"/>
  <c r="I794" i="3"/>
  <c r="H794" i="3"/>
  <c r="G794" i="3"/>
  <c r="F794" i="3"/>
  <c r="E794" i="3"/>
  <c r="D794" i="3"/>
  <c r="C794" i="3"/>
  <c r="B794" i="3"/>
  <c r="A794" i="3"/>
  <c r="K793" i="3"/>
  <c r="L793" i="3" s="1"/>
  <c r="J793" i="3"/>
  <c r="I793" i="3"/>
  <c r="H793" i="3"/>
  <c r="G793" i="3"/>
  <c r="F793" i="3"/>
  <c r="E793" i="3"/>
  <c r="D793" i="3"/>
  <c r="C793" i="3"/>
  <c r="B793" i="3"/>
  <c r="A793" i="3"/>
  <c r="K792" i="3"/>
  <c r="L792" i="3" s="1"/>
  <c r="J792" i="3"/>
  <c r="I792" i="3"/>
  <c r="H792" i="3"/>
  <c r="G792" i="3"/>
  <c r="F792" i="3"/>
  <c r="E792" i="3"/>
  <c r="D792" i="3"/>
  <c r="C792" i="3"/>
  <c r="B792" i="3"/>
  <c r="A792" i="3"/>
  <c r="K791" i="3"/>
  <c r="L791" i="3" s="1"/>
  <c r="J791" i="3"/>
  <c r="I791" i="3"/>
  <c r="H791" i="3"/>
  <c r="G791" i="3"/>
  <c r="F791" i="3"/>
  <c r="E791" i="3"/>
  <c r="D791" i="3"/>
  <c r="C791" i="3"/>
  <c r="B791" i="3"/>
  <c r="A791" i="3"/>
  <c r="K790" i="3"/>
  <c r="L790" i="3" s="1"/>
  <c r="J790" i="3"/>
  <c r="I790" i="3"/>
  <c r="H790" i="3"/>
  <c r="G790" i="3"/>
  <c r="F790" i="3"/>
  <c r="E790" i="3"/>
  <c r="D790" i="3"/>
  <c r="C790" i="3"/>
  <c r="B790" i="3"/>
  <c r="A790" i="3"/>
  <c r="K789" i="3"/>
  <c r="L789" i="3" s="1"/>
  <c r="J789" i="3"/>
  <c r="I789" i="3"/>
  <c r="H789" i="3"/>
  <c r="G789" i="3"/>
  <c r="F789" i="3"/>
  <c r="E789" i="3"/>
  <c r="D789" i="3"/>
  <c r="C789" i="3"/>
  <c r="B789" i="3"/>
  <c r="A789" i="3"/>
  <c r="K788" i="3"/>
  <c r="L788" i="3" s="1"/>
  <c r="J788" i="3"/>
  <c r="I788" i="3"/>
  <c r="H788" i="3"/>
  <c r="G788" i="3"/>
  <c r="F788" i="3"/>
  <c r="E788" i="3"/>
  <c r="D788" i="3"/>
  <c r="C788" i="3"/>
  <c r="B788" i="3"/>
  <c r="A788" i="3"/>
  <c r="L787" i="3"/>
  <c r="K787" i="3"/>
  <c r="J787" i="3"/>
  <c r="I787" i="3"/>
  <c r="H787" i="3"/>
  <c r="G787" i="3"/>
  <c r="F787" i="3"/>
  <c r="E787" i="3"/>
  <c r="D787" i="3"/>
  <c r="C787" i="3"/>
  <c r="B787" i="3"/>
  <c r="A787" i="3"/>
  <c r="K786" i="3"/>
  <c r="L786" i="3" s="1"/>
  <c r="J786" i="3"/>
  <c r="I786" i="3"/>
  <c r="H786" i="3"/>
  <c r="G786" i="3"/>
  <c r="F786" i="3"/>
  <c r="E786" i="3"/>
  <c r="D786" i="3"/>
  <c r="C786" i="3"/>
  <c r="B786" i="3"/>
  <c r="A786" i="3"/>
  <c r="K785" i="3"/>
  <c r="L785" i="3" s="1"/>
  <c r="J785" i="3"/>
  <c r="I785" i="3"/>
  <c r="H785" i="3"/>
  <c r="G785" i="3"/>
  <c r="F785" i="3"/>
  <c r="E785" i="3"/>
  <c r="D785" i="3"/>
  <c r="C785" i="3"/>
  <c r="B785" i="3"/>
  <c r="A785" i="3"/>
  <c r="K784" i="3"/>
  <c r="L784" i="3" s="1"/>
  <c r="J784" i="3"/>
  <c r="I784" i="3"/>
  <c r="H784" i="3"/>
  <c r="G784" i="3"/>
  <c r="F784" i="3"/>
  <c r="E784" i="3"/>
  <c r="D784" i="3"/>
  <c r="C784" i="3"/>
  <c r="B784" i="3"/>
  <c r="A784" i="3"/>
  <c r="L783" i="3"/>
  <c r="K783" i="3"/>
  <c r="J783" i="3"/>
  <c r="I783" i="3"/>
  <c r="H783" i="3"/>
  <c r="G783" i="3"/>
  <c r="F783" i="3"/>
  <c r="E783" i="3"/>
  <c r="D783" i="3"/>
  <c r="C783" i="3"/>
  <c r="B783" i="3"/>
  <c r="A783" i="3"/>
  <c r="K782" i="3"/>
  <c r="L782" i="3" s="1"/>
  <c r="J782" i="3"/>
  <c r="I782" i="3"/>
  <c r="H782" i="3"/>
  <c r="G782" i="3"/>
  <c r="F782" i="3"/>
  <c r="E782" i="3"/>
  <c r="D782" i="3"/>
  <c r="C782" i="3"/>
  <c r="B782" i="3"/>
  <c r="A782" i="3"/>
  <c r="K781" i="3"/>
  <c r="L781" i="3" s="1"/>
  <c r="J781" i="3"/>
  <c r="I781" i="3"/>
  <c r="H781" i="3"/>
  <c r="G781" i="3"/>
  <c r="F781" i="3"/>
  <c r="E781" i="3"/>
  <c r="D781" i="3"/>
  <c r="C781" i="3"/>
  <c r="B781" i="3"/>
  <c r="A781" i="3"/>
  <c r="K780" i="3"/>
  <c r="J780" i="3"/>
  <c r="I780" i="3"/>
  <c r="H780" i="3"/>
  <c r="G780" i="3"/>
  <c r="F780" i="3"/>
  <c r="E780" i="3"/>
  <c r="D780" i="3"/>
  <c r="C780" i="3"/>
  <c r="B780" i="3"/>
  <c r="A780" i="3"/>
  <c r="K779" i="3"/>
  <c r="L779" i="3" s="1"/>
  <c r="J779" i="3"/>
  <c r="I779" i="3"/>
  <c r="H779" i="3"/>
  <c r="G779" i="3"/>
  <c r="F779" i="3"/>
  <c r="E779" i="3"/>
  <c r="D779" i="3"/>
  <c r="C779" i="3"/>
  <c r="B779" i="3"/>
  <c r="A779" i="3"/>
  <c r="K778" i="3"/>
  <c r="L778" i="3" s="1"/>
  <c r="J778" i="3"/>
  <c r="I778" i="3"/>
  <c r="H778" i="3"/>
  <c r="G778" i="3"/>
  <c r="F778" i="3"/>
  <c r="E778" i="3"/>
  <c r="D778" i="3"/>
  <c r="C778" i="3"/>
  <c r="B778" i="3"/>
  <c r="A778" i="3"/>
  <c r="K777" i="3"/>
  <c r="L777" i="3" s="1"/>
  <c r="J777" i="3"/>
  <c r="I777" i="3"/>
  <c r="H777" i="3"/>
  <c r="G777" i="3"/>
  <c r="F777" i="3"/>
  <c r="E777" i="3"/>
  <c r="D777" i="3"/>
  <c r="C777" i="3"/>
  <c r="B777" i="3"/>
  <c r="A777" i="3"/>
  <c r="K776" i="3"/>
  <c r="L776" i="3" s="1"/>
  <c r="J776" i="3"/>
  <c r="I776" i="3"/>
  <c r="H776" i="3"/>
  <c r="G776" i="3"/>
  <c r="F776" i="3"/>
  <c r="E776" i="3"/>
  <c r="D776" i="3"/>
  <c r="C776" i="3"/>
  <c r="B776" i="3"/>
  <c r="A776" i="3"/>
  <c r="K775" i="3"/>
  <c r="L775" i="3" s="1"/>
  <c r="J775" i="3"/>
  <c r="I775" i="3"/>
  <c r="H775" i="3"/>
  <c r="G775" i="3"/>
  <c r="F775" i="3"/>
  <c r="E775" i="3"/>
  <c r="D775" i="3"/>
  <c r="C775" i="3"/>
  <c r="B775" i="3"/>
  <c r="A775" i="3"/>
  <c r="K774" i="3"/>
  <c r="L774" i="3" s="1"/>
  <c r="J774" i="3"/>
  <c r="I774" i="3"/>
  <c r="H774" i="3"/>
  <c r="G774" i="3"/>
  <c r="F774" i="3"/>
  <c r="E774" i="3"/>
  <c r="D774" i="3"/>
  <c r="C774" i="3"/>
  <c r="B774" i="3"/>
  <c r="A774" i="3"/>
  <c r="L773" i="3"/>
  <c r="K773" i="3"/>
  <c r="J773" i="3"/>
  <c r="I773" i="3"/>
  <c r="H773" i="3"/>
  <c r="G773" i="3"/>
  <c r="F773" i="3"/>
  <c r="E773" i="3"/>
  <c r="D773" i="3"/>
  <c r="C773" i="3"/>
  <c r="B773" i="3"/>
  <c r="A773" i="3"/>
  <c r="K772" i="3"/>
  <c r="L772" i="3" s="1"/>
  <c r="J772" i="3"/>
  <c r="I772" i="3"/>
  <c r="H772" i="3"/>
  <c r="G772" i="3"/>
  <c r="F772" i="3"/>
  <c r="E772" i="3"/>
  <c r="D772" i="3"/>
  <c r="C772" i="3"/>
  <c r="B772" i="3"/>
  <c r="A772" i="3"/>
  <c r="K771" i="3"/>
  <c r="L771" i="3" s="1"/>
  <c r="J771" i="3"/>
  <c r="I771" i="3"/>
  <c r="H771" i="3"/>
  <c r="G771" i="3"/>
  <c r="F771" i="3"/>
  <c r="E771" i="3"/>
  <c r="D771" i="3"/>
  <c r="C771" i="3"/>
  <c r="B771" i="3"/>
  <c r="A771" i="3"/>
  <c r="K770" i="3"/>
  <c r="L770" i="3" s="1"/>
  <c r="J770" i="3"/>
  <c r="I770" i="3"/>
  <c r="H770" i="3"/>
  <c r="G770" i="3"/>
  <c r="F770" i="3"/>
  <c r="E770" i="3"/>
  <c r="D770" i="3"/>
  <c r="C770" i="3"/>
  <c r="B770" i="3"/>
  <c r="A770" i="3"/>
  <c r="K769" i="3"/>
  <c r="L769" i="3" s="1"/>
  <c r="J769" i="3"/>
  <c r="I769" i="3"/>
  <c r="H769" i="3"/>
  <c r="G769" i="3"/>
  <c r="F769" i="3"/>
  <c r="E769" i="3"/>
  <c r="D769" i="3"/>
  <c r="C769" i="3"/>
  <c r="B769" i="3"/>
  <c r="A769" i="3"/>
  <c r="K768" i="3"/>
  <c r="L768" i="3" s="1"/>
  <c r="J768" i="3"/>
  <c r="I768" i="3"/>
  <c r="H768" i="3"/>
  <c r="G768" i="3"/>
  <c r="F768" i="3"/>
  <c r="E768" i="3"/>
  <c r="D768" i="3"/>
  <c r="C768" i="3"/>
  <c r="B768" i="3"/>
  <c r="A768" i="3"/>
  <c r="K767" i="3"/>
  <c r="L767" i="3" s="1"/>
  <c r="J767" i="3"/>
  <c r="I767" i="3"/>
  <c r="H767" i="3"/>
  <c r="G767" i="3"/>
  <c r="F767" i="3"/>
  <c r="E767" i="3"/>
  <c r="D767" i="3"/>
  <c r="C767" i="3"/>
  <c r="B767" i="3"/>
  <c r="A767" i="3"/>
  <c r="K766" i="3"/>
  <c r="L766" i="3" s="1"/>
  <c r="J766" i="3"/>
  <c r="I766" i="3"/>
  <c r="H766" i="3"/>
  <c r="G766" i="3"/>
  <c r="F766" i="3"/>
  <c r="E766" i="3"/>
  <c r="D766" i="3"/>
  <c r="C766" i="3"/>
  <c r="B766" i="3"/>
  <c r="A766" i="3"/>
  <c r="K765" i="3"/>
  <c r="L765" i="3" s="1"/>
  <c r="J765" i="3"/>
  <c r="I765" i="3"/>
  <c r="H765" i="3"/>
  <c r="G765" i="3"/>
  <c r="F765" i="3"/>
  <c r="E765" i="3"/>
  <c r="D765" i="3"/>
  <c r="C765" i="3"/>
  <c r="B765" i="3"/>
  <c r="A765" i="3"/>
  <c r="K764" i="3"/>
  <c r="L764" i="3" s="1"/>
  <c r="J764" i="3"/>
  <c r="I764" i="3"/>
  <c r="H764" i="3"/>
  <c r="G764" i="3"/>
  <c r="F764" i="3"/>
  <c r="E764" i="3"/>
  <c r="D764" i="3"/>
  <c r="C764" i="3"/>
  <c r="B764" i="3"/>
  <c r="A764" i="3"/>
  <c r="K763" i="3"/>
  <c r="L763" i="3" s="1"/>
  <c r="J763" i="3"/>
  <c r="I763" i="3"/>
  <c r="H763" i="3"/>
  <c r="G763" i="3"/>
  <c r="F763" i="3"/>
  <c r="E763" i="3"/>
  <c r="D763" i="3"/>
  <c r="C763" i="3"/>
  <c r="B763" i="3"/>
  <c r="A763" i="3"/>
  <c r="K762" i="3"/>
  <c r="L762" i="3" s="1"/>
  <c r="J762" i="3"/>
  <c r="I762" i="3"/>
  <c r="H762" i="3"/>
  <c r="G762" i="3"/>
  <c r="F762" i="3"/>
  <c r="E762" i="3"/>
  <c r="D762" i="3"/>
  <c r="C762" i="3"/>
  <c r="B762" i="3"/>
  <c r="A762" i="3"/>
  <c r="K761" i="3"/>
  <c r="L761" i="3" s="1"/>
  <c r="J761" i="3"/>
  <c r="I761" i="3"/>
  <c r="H761" i="3"/>
  <c r="G761" i="3"/>
  <c r="F761" i="3"/>
  <c r="E761" i="3"/>
  <c r="D761" i="3"/>
  <c r="C761" i="3"/>
  <c r="B761" i="3"/>
  <c r="A761" i="3"/>
  <c r="L760" i="3"/>
  <c r="K760" i="3"/>
  <c r="J760" i="3"/>
  <c r="I760" i="3"/>
  <c r="H760" i="3"/>
  <c r="G760" i="3"/>
  <c r="F760" i="3"/>
  <c r="E760" i="3"/>
  <c r="D760" i="3"/>
  <c r="C760" i="3"/>
  <c r="B760" i="3"/>
  <c r="A760" i="3"/>
  <c r="K759" i="3"/>
  <c r="L759" i="3" s="1"/>
  <c r="J759" i="3"/>
  <c r="I759" i="3"/>
  <c r="H759" i="3"/>
  <c r="G759" i="3"/>
  <c r="F759" i="3"/>
  <c r="E759" i="3"/>
  <c r="D759" i="3"/>
  <c r="C759" i="3"/>
  <c r="B759" i="3"/>
  <c r="A759" i="3"/>
  <c r="K758" i="3"/>
  <c r="L758" i="3" s="1"/>
  <c r="J758" i="3"/>
  <c r="I758" i="3"/>
  <c r="H758" i="3"/>
  <c r="G758" i="3"/>
  <c r="F758" i="3"/>
  <c r="E758" i="3"/>
  <c r="D758" i="3"/>
  <c r="C758" i="3"/>
  <c r="B758" i="3"/>
  <c r="A758" i="3"/>
  <c r="K757" i="3"/>
  <c r="L757" i="3" s="1"/>
  <c r="J757" i="3"/>
  <c r="I757" i="3"/>
  <c r="H757" i="3"/>
  <c r="G757" i="3"/>
  <c r="F757" i="3"/>
  <c r="E757" i="3"/>
  <c r="D757" i="3"/>
  <c r="C757" i="3"/>
  <c r="B757" i="3"/>
  <c r="A757" i="3"/>
  <c r="K756" i="3"/>
  <c r="L756" i="3" s="1"/>
  <c r="J756" i="3"/>
  <c r="I756" i="3"/>
  <c r="H756" i="3"/>
  <c r="G756" i="3"/>
  <c r="F756" i="3"/>
  <c r="E756" i="3"/>
  <c r="D756" i="3"/>
  <c r="C756" i="3"/>
  <c r="B756" i="3"/>
  <c r="A756" i="3"/>
  <c r="K755" i="3"/>
  <c r="L755" i="3" s="1"/>
  <c r="J755" i="3"/>
  <c r="I755" i="3"/>
  <c r="H755" i="3"/>
  <c r="G755" i="3"/>
  <c r="F755" i="3"/>
  <c r="E755" i="3"/>
  <c r="D755" i="3"/>
  <c r="C755" i="3"/>
  <c r="B755" i="3"/>
  <c r="A755" i="3"/>
  <c r="L754" i="3"/>
  <c r="K754" i="3"/>
  <c r="J754" i="3"/>
  <c r="I754" i="3"/>
  <c r="H754" i="3"/>
  <c r="G754" i="3"/>
  <c r="F754" i="3"/>
  <c r="E754" i="3"/>
  <c r="D754" i="3"/>
  <c r="C754" i="3"/>
  <c r="B754" i="3"/>
  <c r="A754" i="3"/>
  <c r="K753" i="3"/>
  <c r="L753" i="3" s="1"/>
  <c r="J753" i="3"/>
  <c r="I753" i="3"/>
  <c r="H753" i="3"/>
  <c r="G753" i="3"/>
  <c r="F753" i="3"/>
  <c r="E753" i="3"/>
  <c r="D753" i="3"/>
  <c r="C753" i="3"/>
  <c r="B753" i="3"/>
  <c r="A753" i="3"/>
  <c r="K752" i="3"/>
  <c r="L752" i="3" s="1"/>
  <c r="J752" i="3"/>
  <c r="I752" i="3"/>
  <c r="H752" i="3"/>
  <c r="G752" i="3"/>
  <c r="F752" i="3"/>
  <c r="E752" i="3"/>
  <c r="D752" i="3"/>
  <c r="C752" i="3"/>
  <c r="B752" i="3"/>
  <c r="A752" i="3"/>
  <c r="K751" i="3"/>
  <c r="L751" i="3" s="1"/>
  <c r="J751" i="3"/>
  <c r="I751" i="3"/>
  <c r="H751" i="3"/>
  <c r="G751" i="3"/>
  <c r="F751" i="3"/>
  <c r="E751" i="3"/>
  <c r="D751" i="3"/>
  <c r="C751" i="3"/>
  <c r="B751" i="3"/>
  <c r="A751" i="3"/>
  <c r="K750" i="3"/>
  <c r="L750" i="3" s="1"/>
  <c r="J750" i="3"/>
  <c r="I750" i="3"/>
  <c r="H750" i="3"/>
  <c r="G750" i="3"/>
  <c r="F750" i="3"/>
  <c r="E750" i="3"/>
  <c r="D750" i="3"/>
  <c r="C750" i="3"/>
  <c r="B750" i="3"/>
  <c r="A750" i="3"/>
  <c r="K749" i="3"/>
  <c r="L749" i="3" s="1"/>
  <c r="J749" i="3"/>
  <c r="I749" i="3"/>
  <c r="H749" i="3"/>
  <c r="G749" i="3"/>
  <c r="F749" i="3"/>
  <c r="E749" i="3"/>
  <c r="D749" i="3"/>
  <c r="C749" i="3"/>
  <c r="B749" i="3"/>
  <c r="A749" i="3"/>
  <c r="K748" i="3"/>
  <c r="L748" i="3" s="1"/>
  <c r="J748" i="3"/>
  <c r="I748" i="3"/>
  <c r="H748" i="3"/>
  <c r="G748" i="3"/>
  <c r="F748" i="3"/>
  <c r="E748" i="3"/>
  <c r="D748" i="3"/>
  <c r="C748" i="3"/>
  <c r="B748" i="3"/>
  <c r="A748" i="3"/>
  <c r="K747" i="3"/>
  <c r="L747" i="3" s="1"/>
  <c r="J747" i="3"/>
  <c r="I747" i="3"/>
  <c r="H747" i="3"/>
  <c r="G747" i="3"/>
  <c r="F747" i="3"/>
  <c r="E747" i="3"/>
  <c r="D747" i="3"/>
  <c r="C747" i="3"/>
  <c r="B747" i="3"/>
  <c r="A747" i="3"/>
  <c r="K746" i="3"/>
  <c r="L746" i="3" s="1"/>
  <c r="J746" i="3"/>
  <c r="I746" i="3"/>
  <c r="H746" i="3"/>
  <c r="G746" i="3"/>
  <c r="F746" i="3"/>
  <c r="E746" i="3"/>
  <c r="D746" i="3"/>
  <c r="C746" i="3"/>
  <c r="B746" i="3"/>
  <c r="A746" i="3"/>
  <c r="K745" i="3"/>
  <c r="L745" i="3" s="1"/>
  <c r="J745" i="3"/>
  <c r="I745" i="3"/>
  <c r="H745" i="3"/>
  <c r="G745" i="3"/>
  <c r="F745" i="3"/>
  <c r="E745" i="3"/>
  <c r="D745" i="3"/>
  <c r="C745" i="3"/>
  <c r="B745" i="3"/>
  <c r="A745" i="3"/>
  <c r="L744" i="3"/>
  <c r="K744" i="3"/>
  <c r="J744" i="3"/>
  <c r="I744" i="3"/>
  <c r="H744" i="3"/>
  <c r="G744" i="3"/>
  <c r="F744" i="3"/>
  <c r="E744" i="3"/>
  <c r="D744" i="3"/>
  <c r="C744" i="3"/>
  <c r="B744" i="3"/>
  <c r="A744" i="3"/>
  <c r="K743" i="3"/>
  <c r="L743" i="3" s="1"/>
  <c r="J743" i="3"/>
  <c r="I743" i="3"/>
  <c r="H743" i="3"/>
  <c r="G743" i="3"/>
  <c r="F743" i="3"/>
  <c r="E743" i="3"/>
  <c r="D743" i="3"/>
  <c r="C743" i="3"/>
  <c r="B743" i="3"/>
  <c r="A743" i="3"/>
  <c r="K742" i="3"/>
  <c r="J742" i="3"/>
  <c r="I742" i="3"/>
  <c r="H742" i="3"/>
  <c r="G742" i="3"/>
  <c r="F742" i="3"/>
  <c r="E742" i="3"/>
  <c r="D742" i="3"/>
  <c r="C742" i="3"/>
  <c r="B742" i="3"/>
  <c r="A742" i="3"/>
  <c r="K741" i="3"/>
  <c r="L741" i="3" s="1"/>
  <c r="J741" i="3"/>
  <c r="I741" i="3"/>
  <c r="H741" i="3"/>
  <c r="G741" i="3"/>
  <c r="F741" i="3"/>
  <c r="E741" i="3"/>
  <c r="D741" i="3"/>
  <c r="C741" i="3"/>
  <c r="B741" i="3"/>
  <c r="A741" i="3"/>
  <c r="K740" i="3"/>
  <c r="L740" i="3" s="1"/>
  <c r="J740" i="3"/>
  <c r="I740" i="3"/>
  <c r="H740" i="3"/>
  <c r="G740" i="3"/>
  <c r="F740" i="3"/>
  <c r="E740" i="3"/>
  <c r="D740" i="3"/>
  <c r="C740" i="3"/>
  <c r="B740" i="3"/>
  <c r="A740" i="3"/>
  <c r="K739" i="3"/>
  <c r="L739" i="3" s="1"/>
  <c r="J739" i="3"/>
  <c r="I739" i="3"/>
  <c r="H739" i="3"/>
  <c r="G739" i="3"/>
  <c r="F739" i="3"/>
  <c r="E739" i="3"/>
  <c r="D739" i="3"/>
  <c r="C739" i="3"/>
  <c r="B739" i="3"/>
  <c r="A739" i="3"/>
  <c r="L738" i="3"/>
  <c r="K738" i="3"/>
  <c r="J738" i="3"/>
  <c r="I738" i="3"/>
  <c r="H738" i="3"/>
  <c r="G738" i="3"/>
  <c r="F738" i="3"/>
  <c r="E738" i="3"/>
  <c r="D738" i="3"/>
  <c r="C738" i="3"/>
  <c r="B738" i="3"/>
  <c r="A738" i="3"/>
  <c r="K737" i="3"/>
  <c r="L737" i="3" s="1"/>
  <c r="J737" i="3"/>
  <c r="I737" i="3"/>
  <c r="H737" i="3"/>
  <c r="G737" i="3"/>
  <c r="F737" i="3"/>
  <c r="E737" i="3"/>
  <c r="D737" i="3"/>
  <c r="C737" i="3"/>
  <c r="B737" i="3"/>
  <c r="A737" i="3"/>
  <c r="L736" i="3"/>
  <c r="K736" i="3"/>
  <c r="J736" i="3"/>
  <c r="I736" i="3"/>
  <c r="H736" i="3"/>
  <c r="G736" i="3"/>
  <c r="F736" i="3"/>
  <c r="E736" i="3"/>
  <c r="D736" i="3"/>
  <c r="C736" i="3"/>
  <c r="B736" i="3"/>
  <c r="A736" i="3"/>
  <c r="K735" i="3"/>
  <c r="L735" i="3" s="1"/>
  <c r="J735" i="3"/>
  <c r="I735" i="3"/>
  <c r="H735" i="3"/>
  <c r="G735" i="3"/>
  <c r="F735" i="3"/>
  <c r="E735" i="3"/>
  <c r="D735" i="3"/>
  <c r="C735" i="3"/>
  <c r="B735" i="3"/>
  <c r="A735" i="3"/>
  <c r="K734" i="3"/>
  <c r="L734" i="3" s="1"/>
  <c r="J734" i="3"/>
  <c r="I734" i="3"/>
  <c r="H734" i="3"/>
  <c r="G734" i="3"/>
  <c r="F734" i="3"/>
  <c r="E734" i="3"/>
  <c r="D734" i="3"/>
  <c r="C734" i="3"/>
  <c r="B734" i="3"/>
  <c r="A734" i="3"/>
  <c r="K733" i="3"/>
  <c r="L733" i="3" s="1"/>
  <c r="J733" i="3"/>
  <c r="I733" i="3"/>
  <c r="H733" i="3"/>
  <c r="G733" i="3"/>
  <c r="F733" i="3"/>
  <c r="E733" i="3"/>
  <c r="D733" i="3"/>
  <c r="C733" i="3"/>
  <c r="B733" i="3"/>
  <c r="A733" i="3"/>
  <c r="K732" i="3"/>
  <c r="L732" i="3" s="1"/>
  <c r="J732" i="3"/>
  <c r="I732" i="3"/>
  <c r="H732" i="3"/>
  <c r="G732" i="3"/>
  <c r="F732" i="3"/>
  <c r="E732" i="3"/>
  <c r="D732" i="3"/>
  <c r="C732" i="3"/>
  <c r="B732" i="3"/>
  <c r="A732" i="3"/>
  <c r="K731" i="3"/>
  <c r="L731" i="3" s="1"/>
  <c r="J731" i="3"/>
  <c r="I731" i="3"/>
  <c r="H731" i="3"/>
  <c r="G731" i="3"/>
  <c r="F731" i="3"/>
  <c r="E731" i="3"/>
  <c r="D731" i="3"/>
  <c r="C731" i="3"/>
  <c r="B731" i="3"/>
  <c r="A731" i="3"/>
  <c r="K730" i="3"/>
  <c r="L730" i="3" s="1"/>
  <c r="J730" i="3"/>
  <c r="I730" i="3"/>
  <c r="H730" i="3"/>
  <c r="G730" i="3"/>
  <c r="F730" i="3"/>
  <c r="E730" i="3"/>
  <c r="D730" i="3"/>
  <c r="C730" i="3"/>
  <c r="B730" i="3"/>
  <c r="A730" i="3"/>
  <c r="K729" i="3"/>
  <c r="L729" i="3" s="1"/>
  <c r="J729" i="3"/>
  <c r="I729" i="3"/>
  <c r="H729" i="3"/>
  <c r="G729" i="3"/>
  <c r="F729" i="3"/>
  <c r="E729" i="3"/>
  <c r="D729" i="3"/>
  <c r="C729" i="3"/>
  <c r="B729" i="3"/>
  <c r="A729" i="3"/>
  <c r="L728" i="3"/>
  <c r="K728" i="3"/>
  <c r="J728" i="3"/>
  <c r="I728" i="3"/>
  <c r="H728" i="3"/>
  <c r="G728" i="3"/>
  <c r="F728" i="3"/>
  <c r="E728" i="3"/>
  <c r="D728" i="3"/>
  <c r="C728" i="3"/>
  <c r="B728" i="3"/>
  <c r="A728" i="3"/>
  <c r="K727" i="3"/>
  <c r="L727" i="3" s="1"/>
  <c r="J727" i="3"/>
  <c r="I727" i="3"/>
  <c r="H727" i="3"/>
  <c r="G727" i="3"/>
  <c r="F727" i="3"/>
  <c r="E727" i="3"/>
  <c r="D727" i="3"/>
  <c r="C727" i="3"/>
  <c r="B727" i="3"/>
  <c r="A727" i="3"/>
  <c r="K726" i="3"/>
  <c r="L726" i="3" s="1"/>
  <c r="J726" i="3"/>
  <c r="I726" i="3"/>
  <c r="H726" i="3"/>
  <c r="G726" i="3"/>
  <c r="F726" i="3"/>
  <c r="E726" i="3"/>
  <c r="D726" i="3"/>
  <c r="C726" i="3"/>
  <c r="B726" i="3"/>
  <c r="A726" i="3"/>
  <c r="K725" i="3"/>
  <c r="L725" i="3" s="1"/>
  <c r="J725" i="3"/>
  <c r="I725" i="3"/>
  <c r="H725" i="3"/>
  <c r="G725" i="3"/>
  <c r="F725" i="3"/>
  <c r="E725" i="3"/>
  <c r="D725" i="3"/>
  <c r="C725" i="3"/>
  <c r="B725" i="3"/>
  <c r="A725" i="3"/>
  <c r="K724" i="3"/>
  <c r="L724" i="3" s="1"/>
  <c r="J724" i="3"/>
  <c r="I724" i="3"/>
  <c r="H724" i="3"/>
  <c r="G724" i="3"/>
  <c r="F724" i="3"/>
  <c r="E724" i="3"/>
  <c r="D724" i="3"/>
  <c r="C724" i="3"/>
  <c r="B724" i="3"/>
  <c r="A724" i="3"/>
  <c r="K723" i="3"/>
  <c r="L723" i="3" s="1"/>
  <c r="J723" i="3"/>
  <c r="I723" i="3"/>
  <c r="H723" i="3"/>
  <c r="G723" i="3"/>
  <c r="F723" i="3"/>
  <c r="E723" i="3"/>
  <c r="D723" i="3"/>
  <c r="C723" i="3"/>
  <c r="B723" i="3"/>
  <c r="A723" i="3"/>
  <c r="L722" i="3"/>
  <c r="K722" i="3"/>
  <c r="J722" i="3"/>
  <c r="I722" i="3"/>
  <c r="H722" i="3"/>
  <c r="G722" i="3"/>
  <c r="F722" i="3"/>
  <c r="E722" i="3"/>
  <c r="D722" i="3"/>
  <c r="C722" i="3"/>
  <c r="B722" i="3"/>
  <c r="A722" i="3"/>
  <c r="K721" i="3"/>
  <c r="L721" i="3" s="1"/>
  <c r="J721" i="3"/>
  <c r="I721" i="3"/>
  <c r="H721" i="3"/>
  <c r="G721" i="3"/>
  <c r="F721" i="3"/>
  <c r="E721" i="3"/>
  <c r="D721" i="3"/>
  <c r="C721" i="3"/>
  <c r="B721" i="3"/>
  <c r="A721" i="3"/>
  <c r="L720" i="3"/>
  <c r="K720" i="3"/>
  <c r="J720" i="3"/>
  <c r="I720" i="3"/>
  <c r="H720" i="3"/>
  <c r="G720" i="3"/>
  <c r="F720" i="3"/>
  <c r="E720" i="3"/>
  <c r="D720" i="3"/>
  <c r="C720" i="3"/>
  <c r="B720" i="3"/>
  <c r="A720" i="3"/>
  <c r="K719" i="3"/>
  <c r="L719" i="3" s="1"/>
  <c r="J719" i="3"/>
  <c r="I719" i="3"/>
  <c r="H719" i="3"/>
  <c r="G719" i="3"/>
  <c r="F719" i="3"/>
  <c r="E719" i="3"/>
  <c r="D719" i="3"/>
  <c r="C719" i="3"/>
  <c r="B719" i="3"/>
  <c r="A719" i="3"/>
  <c r="K718" i="3"/>
  <c r="L718" i="3" s="1"/>
  <c r="J718" i="3"/>
  <c r="I718" i="3"/>
  <c r="H718" i="3"/>
  <c r="G718" i="3"/>
  <c r="F718" i="3"/>
  <c r="E718" i="3"/>
  <c r="D718" i="3"/>
  <c r="C718" i="3"/>
  <c r="B718" i="3"/>
  <c r="A718" i="3"/>
  <c r="K717" i="3"/>
  <c r="L717" i="3" s="1"/>
  <c r="J717" i="3"/>
  <c r="I717" i="3"/>
  <c r="H717" i="3"/>
  <c r="G717" i="3"/>
  <c r="F717" i="3"/>
  <c r="E717" i="3"/>
  <c r="D717" i="3"/>
  <c r="C717" i="3"/>
  <c r="B717" i="3"/>
  <c r="A717" i="3"/>
  <c r="K716" i="3"/>
  <c r="L716" i="3" s="1"/>
  <c r="J716" i="3"/>
  <c r="I716" i="3"/>
  <c r="H716" i="3"/>
  <c r="G716" i="3"/>
  <c r="F716" i="3"/>
  <c r="E716" i="3"/>
  <c r="D716" i="3"/>
  <c r="C716" i="3"/>
  <c r="B716" i="3"/>
  <c r="A716" i="3"/>
  <c r="K715" i="3"/>
  <c r="L715" i="3" s="1"/>
  <c r="J715" i="3"/>
  <c r="I715" i="3"/>
  <c r="H715" i="3"/>
  <c r="G715" i="3"/>
  <c r="F715" i="3"/>
  <c r="E715" i="3"/>
  <c r="D715" i="3"/>
  <c r="C715" i="3"/>
  <c r="B715" i="3"/>
  <c r="A715" i="3"/>
  <c r="K714" i="3"/>
  <c r="L714" i="3" s="1"/>
  <c r="J714" i="3"/>
  <c r="I714" i="3"/>
  <c r="H714" i="3"/>
  <c r="G714" i="3"/>
  <c r="F714" i="3"/>
  <c r="E714" i="3"/>
  <c r="D714" i="3"/>
  <c r="C714" i="3"/>
  <c r="B714" i="3"/>
  <c r="A714" i="3"/>
  <c r="K713" i="3"/>
  <c r="L713" i="3" s="1"/>
  <c r="J713" i="3"/>
  <c r="I713" i="3"/>
  <c r="H713" i="3"/>
  <c r="G713" i="3"/>
  <c r="F713" i="3"/>
  <c r="E713" i="3"/>
  <c r="D713" i="3"/>
  <c r="C713" i="3"/>
  <c r="B713" i="3"/>
  <c r="A713" i="3"/>
  <c r="L712" i="3"/>
  <c r="K712" i="3"/>
  <c r="J712" i="3"/>
  <c r="I712" i="3"/>
  <c r="H712" i="3"/>
  <c r="G712" i="3"/>
  <c r="F712" i="3"/>
  <c r="E712" i="3"/>
  <c r="D712" i="3"/>
  <c r="C712" i="3"/>
  <c r="B712" i="3"/>
  <c r="A712" i="3"/>
  <c r="K711" i="3"/>
  <c r="L711" i="3" s="1"/>
  <c r="J711" i="3"/>
  <c r="I711" i="3"/>
  <c r="H711" i="3"/>
  <c r="G711" i="3"/>
  <c r="F711" i="3"/>
  <c r="E711" i="3"/>
  <c r="D711" i="3"/>
  <c r="C711" i="3"/>
  <c r="B711" i="3"/>
  <c r="A711" i="3"/>
  <c r="K710" i="3"/>
  <c r="L710" i="3" s="1"/>
  <c r="J710" i="3"/>
  <c r="I710" i="3"/>
  <c r="H710" i="3"/>
  <c r="G710" i="3"/>
  <c r="F710" i="3"/>
  <c r="E710" i="3"/>
  <c r="D710" i="3"/>
  <c r="C710" i="3"/>
  <c r="B710" i="3"/>
  <c r="A710" i="3"/>
  <c r="K709" i="3"/>
  <c r="L709" i="3" s="1"/>
  <c r="J709" i="3"/>
  <c r="I709" i="3"/>
  <c r="H709" i="3"/>
  <c r="G709" i="3"/>
  <c r="F709" i="3"/>
  <c r="E709" i="3"/>
  <c r="D709" i="3"/>
  <c r="C709" i="3"/>
  <c r="B709" i="3"/>
  <c r="A709" i="3"/>
  <c r="K708" i="3"/>
  <c r="L708" i="3" s="1"/>
  <c r="J708" i="3"/>
  <c r="I708" i="3"/>
  <c r="H708" i="3"/>
  <c r="G708" i="3"/>
  <c r="F708" i="3"/>
  <c r="E708" i="3"/>
  <c r="D708" i="3"/>
  <c r="C708" i="3"/>
  <c r="B708" i="3"/>
  <c r="A708" i="3"/>
  <c r="K707" i="3"/>
  <c r="L707" i="3" s="1"/>
  <c r="J707" i="3"/>
  <c r="I707" i="3"/>
  <c r="H707" i="3"/>
  <c r="G707" i="3"/>
  <c r="F707" i="3"/>
  <c r="E707" i="3"/>
  <c r="D707" i="3"/>
  <c r="C707" i="3"/>
  <c r="B707" i="3"/>
  <c r="A707" i="3"/>
  <c r="L706" i="3"/>
  <c r="K706" i="3"/>
  <c r="J706" i="3"/>
  <c r="I706" i="3"/>
  <c r="H706" i="3"/>
  <c r="G706" i="3"/>
  <c r="F706" i="3"/>
  <c r="E706" i="3"/>
  <c r="D706" i="3"/>
  <c r="C706" i="3"/>
  <c r="B706" i="3"/>
  <c r="A706" i="3"/>
  <c r="K705" i="3"/>
  <c r="L705" i="3" s="1"/>
  <c r="J705" i="3"/>
  <c r="I705" i="3"/>
  <c r="H705" i="3"/>
  <c r="G705" i="3"/>
  <c r="F705" i="3"/>
  <c r="E705" i="3"/>
  <c r="D705" i="3"/>
  <c r="C705" i="3"/>
  <c r="B705" i="3"/>
  <c r="A705" i="3"/>
  <c r="K704" i="3"/>
  <c r="L704" i="3" s="1"/>
  <c r="J704" i="3"/>
  <c r="I704" i="3"/>
  <c r="H704" i="3"/>
  <c r="G704" i="3"/>
  <c r="F704" i="3"/>
  <c r="E704" i="3"/>
  <c r="D704" i="3"/>
  <c r="C704" i="3"/>
  <c r="B704" i="3"/>
  <c r="A704" i="3"/>
  <c r="K703" i="3"/>
  <c r="L703" i="3" s="1"/>
  <c r="J703" i="3"/>
  <c r="I703" i="3"/>
  <c r="H703" i="3"/>
  <c r="G703" i="3"/>
  <c r="F703" i="3"/>
  <c r="E703" i="3"/>
  <c r="D703" i="3"/>
  <c r="C703" i="3"/>
  <c r="B703" i="3"/>
  <c r="A703" i="3"/>
  <c r="K702" i="3"/>
  <c r="L702" i="3" s="1"/>
  <c r="J702" i="3"/>
  <c r="I702" i="3"/>
  <c r="H702" i="3"/>
  <c r="G702" i="3"/>
  <c r="F702" i="3"/>
  <c r="E702" i="3"/>
  <c r="D702" i="3"/>
  <c r="C702" i="3"/>
  <c r="B702" i="3"/>
  <c r="A702" i="3"/>
  <c r="K701" i="3"/>
  <c r="L701" i="3" s="1"/>
  <c r="J701" i="3"/>
  <c r="I701" i="3"/>
  <c r="H701" i="3"/>
  <c r="G701" i="3"/>
  <c r="F701" i="3"/>
  <c r="E701" i="3"/>
  <c r="D701" i="3"/>
  <c r="C701" i="3"/>
  <c r="B701" i="3"/>
  <c r="A701" i="3"/>
  <c r="K700" i="3"/>
  <c r="L700" i="3" s="1"/>
  <c r="J700" i="3"/>
  <c r="I700" i="3"/>
  <c r="H700" i="3"/>
  <c r="G700" i="3"/>
  <c r="F700" i="3"/>
  <c r="E700" i="3"/>
  <c r="D700" i="3"/>
  <c r="C700" i="3"/>
  <c r="B700" i="3"/>
  <c r="A700" i="3"/>
  <c r="K699" i="3"/>
  <c r="J699" i="3"/>
  <c r="I699" i="3"/>
  <c r="H699" i="3"/>
  <c r="G699" i="3"/>
  <c r="F699" i="3"/>
  <c r="E699" i="3"/>
  <c r="D699" i="3"/>
  <c r="C699" i="3"/>
  <c r="B699" i="3"/>
  <c r="A699" i="3"/>
  <c r="K698" i="3"/>
  <c r="L698" i="3" s="1"/>
  <c r="J698" i="3"/>
  <c r="I698" i="3"/>
  <c r="H698" i="3"/>
  <c r="G698" i="3"/>
  <c r="F698" i="3"/>
  <c r="E698" i="3"/>
  <c r="D698" i="3"/>
  <c r="C698" i="3"/>
  <c r="B698" i="3"/>
  <c r="A698" i="3"/>
  <c r="K697" i="3"/>
  <c r="L697" i="3" s="1"/>
  <c r="J697" i="3"/>
  <c r="I697" i="3"/>
  <c r="H697" i="3"/>
  <c r="G697" i="3"/>
  <c r="F697" i="3"/>
  <c r="E697" i="3"/>
  <c r="D697" i="3"/>
  <c r="C697" i="3"/>
  <c r="B697" i="3"/>
  <c r="A697" i="3"/>
  <c r="L696" i="3"/>
  <c r="K696" i="3"/>
  <c r="J696" i="3"/>
  <c r="I696" i="3"/>
  <c r="H696" i="3"/>
  <c r="G696" i="3"/>
  <c r="F696" i="3"/>
  <c r="E696" i="3"/>
  <c r="D696" i="3"/>
  <c r="C696" i="3"/>
  <c r="B696" i="3"/>
  <c r="A696" i="3"/>
  <c r="K695" i="3"/>
  <c r="L695" i="3" s="1"/>
  <c r="J695" i="3"/>
  <c r="I695" i="3"/>
  <c r="H695" i="3"/>
  <c r="G695" i="3"/>
  <c r="F695" i="3"/>
  <c r="E695" i="3"/>
  <c r="D695" i="3"/>
  <c r="C695" i="3"/>
  <c r="B695" i="3"/>
  <c r="A695" i="3"/>
  <c r="K694" i="3"/>
  <c r="J694" i="3"/>
  <c r="I694" i="3"/>
  <c r="H694" i="3"/>
  <c r="G694" i="3"/>
  <c r="F694" i="3"/>
  <c r="E694" i="3"/>
  <c r="D694" i="3"/>
  <c r="C694" i="3"/>
  <c r="B694" i="3"/>
  <c r="A694" i="3"/>
  <c r="K693" i="3"/>
  <c r="L693" i="3" s="1"/>
  <c r="J693" i="3"/>
  <c r="I693" i="3"/>
  <c r="H693" i="3"/>
  <c r="G693" i="3"/>
  <c r="F693" i="3"/>
  <c r="E693" i="3"/>
  <c r="D693" i="3"/>
  <c r="C693" i="3"/>
  <c r="B693" i="3"/>
  <c r="A693" i="3"/>
  <c r="K692" i="3"/>
  <c r="L692" i="3" s="1"/>
  <c r="J692" i="3"/>
  <c r="I692" i="3"/>
  <c r="H692" i="3"/>
  <c r="G692" i="3"/>
  <c r="F692" i="3"/>
  <c r="E692" i="3"/>
  <c r="D692" i="3"/>
  <c r="C692" i="3"/>
  <c r="B692" i="3"/>
  <c r="A692" i="3"/>
  <c r="K691" i="3"/>
  <c r="L691" i="3" s="1"/>
  <c r="J691" i="3"/>
  <c r="I691" i="3"/>
  <c r="H691" i="3"/>
  <c r="G691" i="3"/>
  <c r="F691" i="3"/>
  <c r="E691" i="3"/>
  <c r="D691" i="3"/>
  <c r="C691" i="3"/>
  <c r="B691" i="3"/>
  <c r="A691" i="3"/>
  <c r="L690" i="3"/>
  <c r="K690" i="3"/>
  <c r="J690" i="3"/>
  <c r="I690" i="3"/>
  <c r="H690" i="3"/>
  <c r="G690" i="3"/>
  <c r="F690" i="3"/>
  <c r="E690" i="3"/>
  <c r="D690" i="3"/>
  <c r="C690" i="3"/>
  <c r="B690" i="3"/>
  <c r="A690" i="3"/>
  <c r="K689" i="3"/>
  <c r="L689" i="3" s="1"/>
  <c r="J689" i="3"/>
  <c r="I689" i="3"/>
  <c r="H689" i="3"/>
  <c r="G689" i="3"/>
  <c r="F689" i="3"/>
  <c r="E689" i="3"/>
  <c r="D689" i="3"/>
  <c r="C689" i="3"/>
  <c r="B689" i="3"/>
  <c r="A689" i="3"/>
  <c r="K688" i="3"/>
  <c r="L688" i="3" s="1"/>
  <c r="J688" i="3"/>
  <c r="I688" i="3"/>
  <c r="H688" i="3"/>
  <c r="G688" i="3"/>
  <c r="F688" i="3"/>
  <c r="E688" i="3"/>
  <c r="D688" i="3"/>
  <c r="C688" i="3"/>
  <c r="B688" i="3"/>
  <c r="A688" i="3"/>
  <c r="K687" i="3"/>
  <c r="L687" i="3" s="1"/>
  <c r="J687" i="3"/>
  <c r="I687" i="3"/>
  <c r="H687" i="3"/>
  <c r="G687" i="3"/>
  <c r="F687" i="3"/>
  <c r="E687" i="3"/>
  <c r="D687" i="3"/>
  <c r="C687" i="3"/>
  <c r="B687" i="3"/>
  <c r="A687" i="3"/>
  <c r="K686" i="3"/>
  <c r="L686" i="3" s="1"/>
  <c r="J686" i="3"/>
  <c r="I686" i="3"/>
  <c r="H686" i="3"/>
  <c r="G686" i="3"/>
  <c r="F686" i="3"/>
  <c r="E686" i="3"/>
  <c r="D686" i="3"/>
  <c r="C686" i="3"/>
  <c r="B686" i="3"/>
  <c r="A686" i="3"/>
  <c r="K685" i="3"/>
  <c r="J685" i="3"/>
  <c r="I685" i="3"/>
  <c r="H685" i="3"/>
  <c r="G685" i="3"/>
  <c r="F685" i="3"/>
  <c r="E685" i="3"/>
  <c r="D685" i="3"/>
  <c r="C685" i="3"/>
  <c r="B685" i="3"/>
  <c r="A685" i="3"/>
  <c r="K684" i="3"/>
  <c r="L684" i="3" s="1"/>
  <c r="J684" i="3"/>
  <c r="I684" i="3"/>
  <c r="H684" i="3"/>
  <c r="G684" i="3"/>
  <c r="F684" i="3"/>
  <c r="E684" i="3"/>
  <c r="D684" i="3"/>
  <c r="C684" i="3"/>
  <c r="B684" i="3"/>
  <c r="A684" i="3"/>
  <c r="K683" i="3"/>
  <c r="L683" i="3" s="1"/>
  <c r="J683" i="3"/>
  <c r="I683" i="3"/>
  <c r="H683" i="3"/>
  <c r="G683" i="3"/>
  <c r="F683" i="3"/>
  <c r="E683" i="3"/>
  <c r="D683" i="3"/>
  <c r="C683" i="3"/>
  <c r="B683" i="3"/>
  <c r="A683" i="3"/>
  <c r="K682" i="3"/>
  <c r="L682" i="3" s="1"/>
  <c r="J682" i="3"/>
  <c r="I682" i="3"/>
  <c r="H682" i="3"/>
  <c r="G682" i="3"/>
  <c r="F682" i="3"/>
  <c r="E682" i="3"/>
  <c r="D682" i="3"/>
  <c r="C682" i="3"/>
  <c r="B682" i="3"/>
  <c r="A682" i="3"/>
  <c r="K681" i="3"/>
  <c r="L681" i="3" s="1"/>
  <c r="J681" i="3"/>
  <c r="I681" i="3"/>
  <c r="H681" i="3"/>
  <c r="G681" i="3"/>
  <c r="F681" i="3"/>
  <c r="E681" i="3"/>
  <c r="D681" i="3"/>
  <c r="C681" i="3"/>
  <c r="B681" i="3"/>
  <c r="A681" i="3"/>
  <c r="L680" i="3"/>
  <c r="K680" i="3"/>
  <c r="J680" i="3"/>
  <c r="I680" i="3"/>
  <c r="H680" i="3"/>
  <c r="G680" i="3"/>
  <c r="F680" i="3"/>
  <c r="E680" i="3"/>
  <c r="D680" i="3"/>
  <c r="C680" i="3"/>
  <c r="B680" i="3"/>
  <c r="A680" i="3"/>
  <c r="K679" i="3"/>
  <c r="L679" i="3" s="1"/>
  <c r="J679" i="3"/>
  <c r="I679" i="3"/>
  <c r="H679" i="3"/>
  <c r="G679" i="3"/>
  <c r="F679" i="3"/>
  <c r="E679" i="3"/>
  <c r="D679" i="3"/>
  <c r="C679" i="3"/>
  <c r="B679" i="3"/>
  <c r="A679" i="3"/>
  <c r="K678" i="3"/>
  <c r="J678" i="3"/>
  <c r="I678" i="3"/>
  <c r="H678" i="3"/>
  <c r="G678" i="3"/>
  <c r="F678" i="3"/>
  <c r="E678" i="3"/>
  <c r="D678" i="3"/>
  <c r="C678" i="3"/>
  <c r="B678" i="3"/>
  <c r="A678" i="3"/>
  <c r="K677" i="3"/>
  <c r="L677" i="3" s="1"/>
  <c r="J677" i="3"/>
  <c r="I677" i="3"/>
  <c r="H677" i="3"/>
  <c r="G677" i="3"/>
  <c r="F677" i="3"/>
  <c r="E677" i="3"/>
  <c r="D677" i="3"/>
  <c r="C677" i="3"/>
  <c r="B677" i="3"/>
  <c r="A677" i="3"/>
  <c r="K676" i="3"/>
  <c r="J676" i="3"/>
  <c r="I676" i="3"/>
  <c r="H676" i="3"/>
  <c r="G676" i="3"/>
  <c r="F676" i="3"/>
  <c r="E676" i="3"/>
  <c r="D676" i="3"/>
  <c r="C676" i="3"/>
  <c r="B676" i="3"/>
  <c r="A676" i="3"/>
  <c r="K675" i="3"/>
  <c r="L675" i="3" s="1"/>
  <c r="J675" i="3"/>
  <c r="I675" i="3"/>
  <c r="H675" i="3"/>
  <c r="G675" i="3"/>
  <c r="F675" i="3"/>
  <c r="E675" i="3"/>
  <c r="D675" i="3"/>
  <c r="C675" i="3"/>
  <c r="B675" i="3"/>
  <c r="A675" i="3"/>
  <c r="L674" i="3"/>
  <c r="K674" i="3"/>
  <c r="J674" i="3"/>
  <c r="I674" i="3"/>
  <c r="H674" i="3"/>
  <c r="G674" i="3"/>
  <c r="F674" i="3"/>
  <c r="E674" i="3"/>
  <c r="D674" i="3"/>
  <c r="C674" i="3"/>
  <c r="B674" i="3"/>
  <c r="A674" i="3"/>
  <c r="K673" i="3"/>
  <c r="L673" i="3" s="1"/>
  <c r="J673" i="3"/>
  <c r="I673" i="3"/>
  <c r="H673" i="3"/>
  <c r="G673" i="3"/>
  <c r="F673" i="3"/>
  <c r="E673" i="3"/>
  <c r="D673" i="3"/>
  <c r="C673" i="3"/>
  <c r="B673" i="3"/>
  <c r="A673" i="3"/>
  <c r="L672" i="3"/>
  <c r="K672" i="3"/>
  <c r="J672" i="3"/>
  <c r="I672" i="3"/>
  <c r="H672" i="3"/>
  <c r="G672" i="3"/>
  <c r="F672" i="3"/>
  <c r="E672" i="3"/>
  <c r="D672" i="3"/>
  <c r="C672" i="3"/>
  <c r="B672" i="3"/>
  <c r="A672" i="3"/>
  <c r="K671" i="3"/>
  <c r="L671" i="3" s="1"/>
  <c r="J671" i="3"/>
  <c r="I671" i="3"/>
  <c r="H671" i="3"/>
  <c r="G671" i="3"/>
  <c r="F671" i="3"/>
  <c r="E671" i="3"/>
  <c r="D671" i="3"/>
  <c r="C671" i="3"/>
  <c r="B671" i="3"/>
  <c r="A671" i="3"/>
  <c r="K670" i="3"/>
  <c r="L670" i="3" s="1"/>
  <c r="J670" i="3"/>
  <c r="I670" i="3"/>
  <c r="H670" i="3"/>
  <c r="G670" i="3"/>
  <c r="F670" i="3"/>
  <c r="E670" i="3"/>
  <c r="D670" i="3"/>
  <c r="C670" i="3"/>
  <c r="B670" i="3"/>
  <c r="A670" i="3"/>
  <c r="K669" i="3"/>
  <c r="L669" i="3" s="1"/>
  <c r="J669" i="3"/>
  <c r="I669" i="3"/>
  <c r="H669" i="3"/>
  <c r="G669" i="3"/>
  <c r="F669" i="3"/>
  <c r="E669" i="3"/>
  <c r="D669" i="3"/>
  <c r="C669" i="3"/>
  <c r="B669" i="3"/>
  <c r="A669" i="3"/>
  <c r="K668" i="3"/>
  <c r="L668" i="3" s="1"/>
  <c r="J668" i="3"/>
  <c r="I668" i="3"/>
  <c r="H668" i="3"/>
  <c r="G668" i="3"/>
  <c r="F668" i="3"/>
  <c r="E668" i="3"/>
  <c r="D668" i="3"/>
  <c r="C668" i="3"/>
  <c r="B668" i="3"/>
  <c r="A668" i="3"/>
  <c r="K667" i="3"/>
  <c r="L667" i="3" s="1"/>
  <c r="J667" i="3"/>
  <c r="I667" i="3"/>
  <c r="H667" i="3"/>
  <c r="G667" i="3"/>
  <c r="F667" i="3"/>
  <c r="E667" i="3"/>
  <c r="D667" i="3"/>
  <c r="C667" i="3"/>
  <c r="B667" i="3"/>
  <c r="A667" i="3"/>
  <c r="K666" i="3"/>
  <c r="L666" i="3" s="1"/>
  <c r="J666" i="3"/>
  <c r="I666" i="3"/>
  <c r="H666" i="3"/>
  <c r="G666" i="3"/>
  <c r="F666" i="3"/>
  <c r="E666" i="3"/>
  <c r="D666" i="3"/>
  <c r="C666" i="3"/>
  <c r="B666" i="3"/>
  <c r="A666" i="3"/>
  <c r="K665" i="3"/>
  <c r="L665" i="3" s="1"/>
  <c r="J665" i="3"/>
  <c r="I665" i="3"/>
  <c r="H665" i="3"/>
  <c r="G665" i="3"/>
  <c r="F665" i="3"/>
  <c r="E665" i="3"/>
  <c r="D665" i="3"/>
  <c r="C665" i="3"/>
  <c r="B665" i="3"/>
  <c r="A665" i="3"/>
  <c r="L664" i="3"/>
  <c r="K664" i="3"/>
  <c r="J664" i="3"/>
  <c r="I664" i="3"/>
  <c r="H664" i="3"/>
  <c r="G664" i="3"/>
  <c r="F664" i="3"/>
  <c r="E664" i="3"/>
  <c r="D664" i="3"/>
  <c r="C664" i="3"/>
  <c r="B664" i="3"/>
  <c r="A664" i="3"/>
  <c r="K663" i="3"/>
  <c r="L663" i="3" s="1"/>
  <c r="J663" i="3"/>
  <c r="I663" i="3"/>
  <c r="H663" i="3"/>
  <c r="G663" i="3"/>
  <c r="F663" i="3"/>
  <c r="E663" i="3"/>
  <c r="D663" i="3"/>
  <c r="C663" i="3"/>
  <c r="B663" i="3"/>
  <c r="A663" i="3"/>
  <c r="K662" i="3"/>
  <c r="L662" i="3" s="1"/>
  <c r="J662" i="3"/>
  <c r="I662" i="3"/>
  <c r="H662" i="3"/>
  <c r="G662" i="3"/>
  <c r="F662" i="3"/>
  <c r="E662" i="3"/>
  <c r="D662" i="3"/>
  <c r="C662" i="3"/>
  <c r="B662" i="3"/>
  <c r="A662" i="3"/>
  <c r="K661" i="3"/>
  <c r="L661" i="3" s="1"/>
  <c r="J661" i="3"/>
  <c r="I661" i="3"/>
  <c r="H661" i="3"/>
  <c r="G661" i="3"/>
  <c r="F661" i="3"/>
  <c r="E661" i="3"/>
  <c r="D661" i="3"/>
  <c r="C661" i="3"/>
  <c r="B661" i="3"/>
  <c r="A661" i="3"/>
  <c r="K660" i="3"/>
  <c r="L660" i="3" s="1"/>
  <c r="J660" i="3"/>
  <c r="I660" i="3"/>
  <c r="H660" i="3"/>
  <c r="G660" i="3"/>
  <c r="F660" i="3"/>
  <c r="E660" i="3"/>
  <c r="D660" i="3"/>
  <c r="C660" i="3"/>
  <c r="B660" i="3"/>
  <c r="A660" i="3"/>
  <c r="K659" i="3"/>
  <c r="L659" i="3" s="1"/>
  <c r="J659" i="3"/>
  <c r="I659" i="3"/>
  <c r="H659" i="3"/>
  <c r="G659" i="3"/>
  <c r="F659" i="3"/>
  <c r="E659" i="3"/>
  <c r="D659" i="3"/>
  <c r="C659" i="3"/>
  <c r="B659" i="3"/>
  <c r="A659" i="3"/>
  <c r="L658" i="3"/>
  <c r="K658" i="3"/>
  <c r="J658" i="3"/>
  <c r="I658" i="3"/>
  <c r="H658" i="3"/>
  <c r="G658" i="3"/>
  <c r="F658" i="3"/>
  <c r="E658" i="3"/>
  <c r="D658" i="3"/>
  <c r="C658" i="3"/>
  <c r="B658" i="3"/>
  <c r="A658" i="3"/>
  <c r="K657" i="3"/>
  <c r="L657" i="3" s="1"/>
  <c r="J657" i="3"/>
  <c r="I657" i="3"/>
  <c r="H657" i="3"/>
  <c r="G657" i="3"/>
  <c r="F657" i="3"/>
  <c r="E657" i="3"/>
  <c r="D657" i="3"/>
  <c r="C657" i="3"/>
  <c r="B657" i="3"/>
  <c r="A657" i="3"/>
  <c r="L656" i="3"/>
  <c r="K656" i="3"/>
  <c r="J656" i="3"/>
  <c r="I656" i="3"/>
  <c r="H656" i="3"/>
  <c r="G656" i="3"/>
  <c r="F656" i="3"/>
  <c r="E656" i="3"/>
  <c r="D656" i="3"/>
  <c r="C656" i="3"/>
  <c r="B656" i="3"/>
  <c r="A656" i="3"/>
  <c r="K655" i="3"/>
  <c r="L655" i="3" s="1"/>
  <c r="J655" i="3"/>
  <c r="I655" i="3"/>
  <c r="H655" i="3"/>
  <c r="G655" i="3"/>
  <c r="F655" i="3"/>
  <c r="E655" i="3"/>
  <c r="D655" i="3"/>
  <c r="C655" i="3"/>
  <c r="B655" i="3"/>
  <c r="A655" i="3"/>
  <c r="K654" i="3"/>
  <c r="L654" i="3" s="1"/>
  <c r="J654" i="3"/>
  <c r="I654" i="3"/>
  <c r="H654" i="3"/>
  <c r="G654" i="3"/>
  <c r="F654" i="3"/>
  <c r="E654" i="3"/>
  <c r="D654" i="3"/>
  <c r="C654" i="3"/>
  <c r="B654" i="3"/>
  <c r="A654" i="3"/>
  <c r="K653" i="3"/>
  <c r="L653" i="3" s="1"/>
  <c r="J653" i="3"/>
  <c r="I653" i="3"/>
  <c r="H653" i="3"/>
  <c r="G653" i="3"/>
  <c r="F653" i="3"/>
  <c r="E653" i="3"/>
  <c r="D653" i="3"/>
  <c r="C653" i="3"/>
  <c r="B653" i="3"/>
  <c r="A653" i="3"/>
  <c r="K652" i="3"/>
  <c r="L652" i="3" s="1"/>
  <c r="J652" i="3"/>
  <c r="I652" i="3"/>
  <c r="H652" i="3"/>
  <c r="G652" i="3"/>
  <c r="F652" i="3"/>
  <c r="E652" i="3"/>
  <c r="D652" i="3"/>
  <c r="C652" i="3"/>
  <c r="B652" i="3"/>
  <c r="A652" i="3"/>
  <c r="K651" i="3"/>
  <c r="J651" i="3"/>
  <c r="I651" i="3"/>
  <c r="H651" i="3"/>
  <c r="G651" i="3"/>
  <c r="F651" i="3"/>
  <c r="E651" i="3"/>
  <c r="D651" i="3"/>
  <c r="C651" i="3"/>
  <c r="B651" i="3"/>
  <c r="A651" i="3"/>
  <c r="K650" i="3"/>
  <c r="L650" i="3" s="1"/>
  <c r="J650" i="3"/>
  <c r="I650" i="3"/>
  <c r="H650" i="3"/>
  <c r="G650" i="3"/>
  <c r="F650" i="3"/>
  <c r="E650" i="3"/>
  <c r="D650" i="3"/>
  <c r="C650" i="3"/>
  <c r="B650" i="3"/>
  <c r="A650" i="3"/>
  <c r="K649" i="3"/>
  <c r="L649" i="3" s="1"/>
  <c r="J649" i="3"/>
  <c r="I649" i="3"/>
  <c r="H649" i="3"/>
  <c r="G649" i="3"/>
  <c r="F649" i="3"/>
  <c r="E649" i="3"/>
  <c r="D649" i="3"/>
  <c r="C649" i="3"/>
  <c r="B649" i="3"/>
  <c r="A649" i="3"/>
  <c r="L648" i="3"/>
  <c r="K648" i="3"/>
  <c r="J648" i="3"/>
  <c r="I648" i="3"/>
  <c r="H648" i="3"/>
  <c r="G648" i="3"/>
  <c r="F648" i="3"/>
  <c r="E648" i="3"/>
  <c r="D648" i="3"/>
  <c r="C648" i="3"/>
  <c r="B648" i="3"/>
  <c r="A648" i="3"/>
  <c r="K647" i="3"/>
  <c r="L647" i="3" s="1"/>
  <c r="J647" i="3"/>
  <c r="I647" i="3"/>
  <c r="H647" i="3"/>
  <c r="G647" i="3"/>
  <c r="F647" i="3"/>
  <c r="E647" i="3"/>
  <c r="D647" i="3"/>
  <c r="C647" i="3"/>
  <c r="B647" i="3"/>
  <c r="A647" i="3"/>
  <c r="K646" i="3"/>
  <c r="L646" i="3" s="1"/>
  <c r="J646" i="3"/>
  <c r="I646" i="3"/>
  <c r="H646" i="3"/>
  <c r="G646" i="3"/>
  <c r="F646" i="3"/>
  <c r="E646" i="3"/>
  <c r="D646" i="3"/>
  <c r="C646" i="3"/>
  <c r="B646" i="3"/>
  <c r="A646" i="3"/>
  <c r="K645" i="3"/>
  <c r="L645" i="3" s="1"/>
  <c r="J645" i="3"/>
  <c r="I645" i="3"/>
  <c r="H645" i="3"/>
  <c r="G645" i="3"/>
  <c r="F645" i="3"/>
  <c r="E645" i="3"/>
  <c r="D645" i="3"/>
  <c r="C645" i="3"/>
  <c r="B645" i="3"/>
  <c r="A645" i="3"/>
  <c r="K644" i="3"/>
  <c r="L644" i="3" s="1"/>
  <c r="J644" i="3"/>
  <c r="I644" i="3"/>
  <c r="H644" i="3"/>
  <c r="G644" i="3"/>
  <c r="F644" i="3"/>
  <c r="E644" i="3"/>
  <c r="D644" i="3"/>
  <c r="C644" i="3"/>
  <c r="B644" i="3"/>
  <c r="A644" i="3"/>
  <c r="K643" i="3"/>
  <c r="L643" i="3" s="1"/>
  <c r="J643" i="3"/>
  <c r="I643" i="3"/>
  <c r="H643" i="3"/>
  <c r="G643" i="3"/>
  <c r="F643" i="3"/>
  <c r="E643" i="3"/>
  <c r="D643" i="3"/>
  <c r="C643" i="3"/>
  <c r="B643" i="3"/>
  <c r="A643" i="3"/>
  <c r="L642" i="3"/>
  <c r="K642" i="3"/>
  <c r="J642" i="3"/>
  <c r="I642" i="3"/>
  <c r="H642" i="3"/>
  <c r="G642" i="3"/>
  <c r="F642" i="3"/>
  <c r="E642" i="3"/>
  <c r="D642" i="3"/>
  <c r="C642" i="3"/>
  <c r="B642" i="3"/>
  <c r="A642" i="3"/>
  <c r="K641" i="3"/>
  <c r="L641" i="3" s="1"/>
  <c r="J641" i="3"/>
  <c r="I641" i="3"/>
  <c r="H641" i="3"/>
  <c r="G641" i="3"/>
  <c r="F641" i="3"/>
  <c r="E641" i="3"/>
  <c r="D641" i="3"/>
  <c r="C641" i="3"/>
  <c r="B641" i="3"/>
  <c r="A641" i="3"/>
  <c r="K640" i="3"/>
  <c r="L640" i="3" s="1"/>
  <c r="J640" i="3"/>
  <c r="I640" i="3"/>
  <c r="H640" i="3"/>
  <c r="G640" i="3"/>
  <c r="F640" i="3"/>
  <c r="E640" i="3"/>
  <c r="D640" i="3"/>
  <c r="C640" i="3"/>
  <c r="B640" i="3"/>
  <c r="A640" i="3"/>
  <c r="K639" i="3"/>
  <c r="L639" i="3" s="1"/>
  <c r="J639" i="3"/>
  <c r="I639" i="3"/>
  <c r="H639" i="3"/>
  <c r="G639" i="3"/>
  <c r="F639" i="3"/>
  <c r="E639" i="3"/>
  <c r="D639" i="3"/>
  <c r="C639" i="3"/>
  <c r="B639" i="3"/>
  <c r="A639" i="3"/>
  <c r="K638" i="3"/>
  <c r="L638" i="3" s="1"/>
  <c r="J638" i="3"/>
  <c r="I638" i="3"/>
  <c r="H638" i="3"/>
  <c r="G638" i="3"/>
  <c r="F638" i="3"/>
  <c r="E638" i="3"/>
  <c r="D638" i="3"/>
  <c r="C638" i="3"/>
  <c r="B638" i="3"/>
  <c r="A638" i="3"/>
  <c r="K637" i="3"/>
  <c r="J637" i="3"/>
  <c r="I637" i="3"/>
  <c r="H637" i="3"/>
  <c r="G637" i="3"/>
  <c r="F637" i="3"/>
  <c r="E637" i="3"/>
  <c r="D637" i="3"/>
  <c r="C637" i="3"/>
  <c r="B637" i="3"/>
  <c r="A637" i="3"/>
  <c r="K636" i="3"/>
  <c r="L636" i="3" s="1"/>
  <c r="J636" i="3"/>
  <c r="I636" i="3"/>
  <c r="H636" i="3"/>
  <c r="G636" i="3"/>
  <c r="F636" i="3"/>
  <c r="E636" i="3"/>
  <c r="D636" i="3"/>
  <c r="C636" i="3"/>
  <c r="B636" i="3"/>
  <c r="A636" i="3"/>
  <c r="K635" i="3"/>
  <c r="L635" i="3" s="1"/>
  <c r="J635" i="3"/>
  <c r="I635" i="3"/>
  <c r="H635" i="3"/>
  <c r="G635" i="3"/>
  <c r="F635" i="3"/>
  <c r="E635" i="3"/>
  <c r="D635" i="3"/>
  <c r="C635" i="3"/>
  <c r="B635" i="3"/>
  <c r="A635" i="3"/>
  <c r="K634" i="3"/>
  <c r="L634" i="3" s="1"/>
  <c r="J634" i="3"/>
  <c r="I634" i="3"/>
  <c r="H634" i="3"/>
  <c r="G634" i="3"/>
  <c r="F634" i="3"/>
  <c r="E634" i="3"/>
  <c r="D634" i="3"/>
  <c r="C634" i="3"/>
  <c r="B634" i="3"/>
  <c r="A634" i="3"/>
  <c r="K633" i="3"/>
  <c r="L633" i="3" s="1"/>
  <c r="J633" i="3"/>
  <c r="I633" i="3"/>
  <c r="H633" i="3"/>
  <c r="G633" i="3"/>
  <c r="F633" i="3"/>
  <c r="E633" i="3"/>
  <c r="D633" i="3"/>
  <c r="C633" i="3"/>
  <c r="B633" i="3"/>
  <c r="A633" i="3"/>
  <c r="L632" i="3"/>
  <c r="K632" i="3"/>
  <c r="J632" i="3"/>
  <c r="I632" i="3"/>
  <c r="H632" i="3"/>
  <c r="G632" i="3"/>
  <c r="F632" i="3"/>
  <c r="E632" i="3"/>
  <c r="D632" i="3"/>
  <c r="C632" i="3"/>
  <c r="B632" i="3"/>
  <c r="A632" i="3"/>
  <c r="K631" i="3"/>
  <c r="L631" i="3" s="1"/>
  <c r="J631" i="3"/>
  <c r="I631" i="3"/>
  <c r="H631" i="3"/>
  <c r="G631" i="3"/>
  <c r="F631" i="3"/>
  <c r="E631" i="3"/>
  <c r="D631" i="3"/>
  <c r="C631" i="3"/>
  <c r="B631" i="3"/>
  <c r="A631" i="3"/>
  <c r="K630" i="3"/>
  <c r="L630" i="3" s="1"/>
  <c r="J630" i="3"/>
  <c r="I630" i="3"/>
  <c r="H630" i="3"/>
  <c r="G630" i="3"/>
  <c r="F630" i="3"/>
  <c r="E630" i="3"/>
  <c r="D630" i="3"/>
  <c r="C630" i="3"/>
  <c r="B630" i="3"/>
  <c r="A630" i="3"/>
  <c r="K629" i="3"/>
  <c r="L629" i="3" s="1"/>
  <c r="J629" i="3"/>
  <c r="I629" i="3"/>
  <c r="H629" i="3"/>
  <c r="G629" i="3"/>
  <c r="F629" i="3"/>
  <c r="E629" i="3"/>
  <c r="D629" i="3"/>
  <c r="C629" i="3"/>
  <c r="B629" i="3"/>
  <c r="A629" i="3"/>
  <c r="K628" i="3"/>
  <c r="L628" i="3" s="1"/>
  <c r="J628" i="3"/>
  <c r="I628" i="3"/>
  <c r="H628" i="3"/>
  <c r="G628" i="3"/>
  <c r="F628" i="3"/>
  <c r="E628" i="3"/>
  <c r="D628" i="3"/>
  <c r="C628" i="3"/>
  <c r="B628" i="3"/>
  <c r="A628" i="3"/>
  <c r="K627" i="3"/>
  <c r="L627" i="3" s="1"/>
  <c r="J627" i="3"/>
  <c r="I627" i="3"/>
  <c r="H627" i="3"/>
  <c r="G627" i="3"/>
  <c r="F627" i="3"/>
  <c r="E627" i="3"/>
  <c r="D627" i="3"/>
  <c r="C627" i="3"/>
  <c r="B627" i="3"/>
  <c r="A627" i="3"/>
  <c r="L626" i="3"/>
  <c r="K626" i="3"/>
  <c r="J626" i="3"/>
  <c r="I626" i="3"/>
  <c r="H626" i="3"/>
  <c r="G626" i="3"/>
  <c r="F626" i="3"/>
  <c r="E626" i="3"/>
  <c r="D626" i="3"/>
  <c r="C626" i="3"/>
  <c r="B626" i="3"/>
  <c r="A626" i="3"/>
  <c r="K625" i="3"/>
  <c r="L625" i="3" s="1"/>
  <c r="J625" i="3"/>
  <c r="I625" i="3"/>
  <c r="H625" i="3"/>
  <c r="G625" i="3"/>
  <c r="F625" i="3"/>
  <c r="E625" i="3"/>
  <c r="D625" i="3"/>
  <c r="C625" i="3"/>
  <c r="B625" i="3"/>
  <c r="A625" i="3"/>
  <c r="K624" i="3"/>
  <c r="L624" i="3" s="1"/>
  <c r="J624" i="3"/>
  <c r="I624" i="3"/>
  <c r="H624" i="3"/>
  <c r="G624" i="3"/>
  <c r="F624" i="3"/>
  <c r="E624" i="3"/>
  <c r="D624" i="3"/>
  <c r="C624" i="3"/>
  <c r="B624" i="3"/>
  <c r="A624" i="3"/>
  <c r="K623" i="3"/>
  <c r="L623" i="3" s="1"/>
  <c r="J623" i="3"/>
  <c r="I623" i="3"/>
  <c r="H623" i="3"/>
  <c r="G623" i="3"/>
  <c r="F623" i="3"/>
  <c r="E623" i="3"/>
  <c r="D623" i="3"/>
  <c r="C623" i="3"/>
  <c r="B623" i="3"/>
  <c r="A623" i="3"/>
  <c r="K622" i="3"/>
  <c r="L622" i="3" s="1"/>
  <c r="J622" i="3"/>
  <c r="I622" i="3"/>
  <c r="H622" i="3"/>
  <c r="G622" i="3"/>
  <c r="F622" i="3"/>
  <c r="E622" i="3"/>
  <c r="D622" i="3"/>
  <c r="C622" i="3"/>
  <c r="B622" i="3"/>
  <c r="A622" i="3"/>
  <c r="K621" i="3"/>
  <c r="L621" i="3" s="1"/>
  <c r="J621" i="3"/>
  <c r="I621" i="3"/>
  <c r="H621" i="3"/>
  <c r="G621" i="3"/>
  <c r="F621" i="3"/>
  <c r="E621" i="3"/>
  <c r="D621" i="3"/>
  <c r="C621" i="3"/>
  <c r="B621" i="3"/>
  <c r="A621" i="3"/>
  <c r="K620" i="3"/>
  <c r="L620" i="3" s="1"/>
  <c r="J620" i="3"/>
  <c r="I620" i="3"/>
  <c r="H620" i="3"/>
  <c r="G620" i="3"/>
  <c r="F620" i="3"/>
  <c r="E620" i="3"/>
  <c r="D620" i="3"/>
  <c r="C620" i="3"/>
  <c r="B620" i="3"/>
  <c r="A620" i="3"/>
  <c r="K619" i="3"/>
  <c r="L619" i="3" s="1"/>
  <c r="J619" i="3"/>
  <c r="I619" i="3"/>
  <c r="H619" i="3"/>
  <c r="G619" i="3"/>
  <c r="F619" i="3"/>
  <c r="E619" i="3"/>
  <c r="D619" i="3"/>
  <c r="C619" i="3"/>
  <c r="B619" i="3"/>
  <c r="A619" i="3"/>
  <c r="K618" i="3"/>
  <c r="L618" i="3" s="1"/>
  <c r="J618" i="3"/>
  <c r="I618" i="3"/>
  <c r="H618" i="3"/>
  <c r="G618" i="3"/>
  <c r="F618" i="3"/>
  <c r="E618" i="3"/>
  <c r="D618" i="3"/>
  <c r="C618" i="3"/>
  <c r="B618" i="3"/>
  <c r="A618" i="3"/>
  <c r="K617" i="3"/>
  <c r="L617" i="3" s="1"/>
  <c r="J617" i="3"/>
  <c r="I617" i="3"/>
  <c r="H617" i="3"/>
  <c r="G617" i="3"/>
  <c r="F617" i="3"/>
  <c r="E617" i="3"/>
  <c r="D617" i="3"/>
  <c r="C617" i="3"/>
  <c r="B617" i="3"/>
  <c r="A617" i="3"/>
  <c r="L616" i="3"/>
  <c r="K616" i="3"/>
  <c r="J616" i="3"/>
  <c r="I616" i="3"/>
  <c r="H616" i="3"/>
  <c r="G616" i="3"/>
  <c r="F616" i="3"/>
  <c r="E616" i="3"/>
  <c r="D616" i="3"/>
  <c r="C616" i="3"/>
  <c r="B616" i="3"/>
  <c r="A616" i="3"/>
  <c r="K615" i="3"/>
  <c r="L615" i="3" s="1"/>
  <c r="J615" i="3"/>
  <c r="I615" i="3"/>
  <c r="H615" i="3"/>
  <c r="G615" i="3"/>
  <c r="F615" i="3"/>
  <c r="E615" i="3"/>
  <c r="D615" i="3"/>
  <c r="C615" i="3"/>
  <c r="B615" i="3"/>
  <c r="A615" i="3"/>
  <c r="K614" i="3"/>
  <c r="L614" i="3" s="1"/>
  <c r="J614" i="3"/>
  <c r="I614" i="3"/>
  <c r="H614" i="3"/>
  <c r="G614" i="3"/>
  <c r="F614" i="3"/>
  <c r="E614" i="3"/>
  <c r="D614" i="3"/>
  <c r="C614" i="3"/>
  <c r="B614" i="3"/>
  <c r="A614" i="3"/>
  <c r="K613" i="3"/>
  <c r="L613" i="3" s="1"/>
  <c r="J613" i="3"/>
  <c r="I613" i="3"/>
  <c r="H613" i="3"/>
  <c r="G613" i="3"/>
  <c r="F613" i="3"/>
  <c r="E613" i="3"/>
  <c r="D613" i="3"/>
  <c r="C613" i="3"/>
  <c r="B613" i="3"/>
  <c r="A613" i="3"/>
  <c r="K612" i="3"/>
  <c r="L612" i="3" s="1"/>
  <c r="J612" i="3"/>
  <c r="I612" i="3"/>
  <c r="H612" i="3"/>
  <c r="G612" i="3"/>
  <c r="F612" i="3"/>
  <c r="E612" i="3"/>
  <c r="D612" i="3"/>
  <c r="C612" i="3"/>
  <c r="B612" i="3"/>
  <c r="A612" i="3"/>
  <c r="K611" i="3"/>
  <c r="L611" i="3" s="1"/>
  <c r="J611" i="3"/>
  <c r="I611" i="3"/>
  <c r="H611" i="3"/>
  <c r="G611" i="3"/>
  <c r="F611" i="3"/>
  <c r="E611" i="3"/>
  <c r="D611" i="3"/>
  <c r="C611" i="3"/>
  <c r="B611" i="3"/>
  <c r="A611" i="3"/>
  <c r="L610" i="3"/>
  <c r="K610" i="3"/>
  <c r="J610" i="3"/>
  <c r="I610" i="3"/>
  <c r="H610" i="3"/>
  <c r="G610" i="3"/>
  <c r="F610" i="3"/>
  <c r="E610" i="3"/>
  <c r="D610" i="3"/>
  <c r="C610" i="3"/>
  <c r="B610" i="3"/>
  <c r="A610" i="3"/>
  <c r="K609" i="3"/>
  <c r="L609" i="3" s="1"/>
  <c r="J609" i="3"/>
  <c r="I609" i="3"/>
  <c r="H609" i="3"/>
  <c r="G609" i="3"/>
  <c r="F609" i="3"/>
  <c r="E609" i="3"/>
  <c r="D609" i="3"/>
  <c r="C609" i="3"/>
  <c r="B609" i="3"/>
  <c r="A609" i="3"/>
  <c r="L608" i="3"/>
  <c r="K608" i="3"/>
  <c r="J608" i="3"/>
  <c r="I608" i="3"/>
  <c r="H608" i="3"/>
  <c r="G608" i="3"/>
  <c r="F608" i="3"/>
  <c r="E608" i="3"/>
  <c r="D608" i="3"/>
  <c r="C608" i="3"/>
  <c r="B608" i="3"/>
  <c r="A608" i="3"/>
  <c r="K607" i="3"/>
  <c r="L607" i="3" s="1"/>
  <c r="J607" i="3"/>
  <c r="I607" i="3"/>
  <c r="H607" i="3"/>
  <c r="G607" i="3"/>
  <c r="F607" i="3"/>
  <c r="E607" i="3"/>
  <c r="D607" i="3"/>
  <c r="C607" i="3"/>
  <c r="B607" i="3"/>
  <c r="A607" i="3"/>
  <c r="K606" i="3"/>
  <c r="L606" i="3" s="1"/>
  <c r="J606" i="3"/>
  <c r="I606" i="3"/>
  <c r="H606" i="3"/>
  <c r="G606" i="3"/>
  <c r="F606" i="3"/>
  <c r="E606" i="3"/>
  <c r="D606" i="3"/>
  <c r="C606" i="3"/>
  <c r="B606" i="3"/>
  <c r="A606" i="3"/>
  <c r="K605" i="3"/>
  <c r="L605" i="3" s="1"/>
  <c r="J605" i="3"/>
  <c r="I605" i="3"/>
  <c r="H605" i="3"/>
  <c r="G605" i="3"/>
  <c r="F605" i="3"/>
  <c r="E605" i="3"/>
  <c r="D605" i="3"/>
  <c r="C605" i="3"/>
  <c r="B605" i="3"/>
  <c r="A605" i="3"/>
  <c r="K604" i="3"/>
  <c r="L604" i="3" s="1"/>
  <c r="J604" i="3"/>
  <c r="I604" i="3"/>
  <c r="H604" i="3"/>
  <c r="G604" i="3"/>
  <c r="F604" i="3"/>
  <c r="E604" i="3"/>
  <c r="D604" i="3"/>
  <c r="C604" i="3"/>
  <c r="B604" i="3"/>
  <c r="A604" i="3"/>
  <c r="K603" i="3"/>
  <c r="L603" i="3" s="1"/>
  <c r="J603" i="3"/>
  <c r="I603" i="3"/>
  <c r="H603" i="3"/>
  <c r="G603" i="3"/>
  <c r="F603" i="3"/>
  <c r="E603" i="3"/>
  <c r="D603" i="3"/>
  <c r="C603" i="3"/>
  <c r="B603" i="3"/>
  <c r="A603" i="3"/>
  <c r="K602" i="3"/>
  <c r="L602" i="3" s="1"/>
  <c r="J602" i="3"/>
  <c r="I602" i="3"/>
  <c r="H602" i="3"/>
  <c r="G602" i="3"/>
  <c r="F602" i="3"/>
  <c r="E602" i="3"/>
  <c r="D602" i="3"/>
  <c r="C602" i="3"/>
  <c r="B602" i="3"/>
  <c r="A602" i="3"/>
  <c r="K601" i="3"/>
  <c r="L601" i="3" s="1"/>
  <c r="J601" i="3"/>
  <c r="I601" i="3"/>
  <c r="H601" i="3"/>
  <c r="G601" i="3"/>
  <c r="F601" i="3"/>
  <c r="E601" i="3"/>
  <c r="D601" i="3"/>
  <c r="C601" i="3"/>
  <c r="B601" i="3"/>
  <c r="A601" i="3"/>
  <c r="L600" i="3"/>
  <c r="K600" i="3"/>
  <c r="J600" i="3"/>
  <c r="I600" i="3"/>
  <c r="H600" i="3"/>
  <c r="G600" i="3"/>
  <c r="F600" i="3"/>
  <c r="E600" i="3"/>
  <c r="D600" i="3"/>
  <c r="C600" i="3"/>
  <c r="B600" i="3"/>
  <c r="A600" i="3"/>
  <c r="K599" i="3"/>
  <c r="L599" i="3" s="1"/>
  <c r="J599" i="3"/>
  <c r="I599" i="3"/>
  <c r="H599" i="3"/>
  <c r="G599" i="3"/>
  <c r="F599" i="3"/>
  <c r="E599" i="3"/>
  <c r="D599" i="3"/>
  <c r="C599" i="3"/>
  <c r="B599" i="3"/>
  <c r="A599" i="3"/>
  <c r="K598" i="3"/>
  <c r="L598" i="3" s="1"/>
  <c r="J598" i="3"/>
  <c r="I598" i="3"/>
  <c r="H598" i="3"/>
  <c r="G598" i="3"/>
  <c r="F598" i="3"/>
  <c r="E598" i="3"/>
  <c r="D598" i="3"/>
  <c r="C598" i="3"/>
  <c r="B598" i="3"/>
  <c r="A598" i="3"/>
  <c r="K597" i="3"/>
  <c r="L597" i="3" s="1"/>
  <c r="J597" i="3"/>
  <c r="I597" i="3"/>
  <c r="H597" i="3"/>
  <c r="G597" i="3"/>
  <c r="F597" i="3"/>
  <c r="E597" i="3"/>
  <c r="D597" i="3"/>
  <c r="C597" i="3"/>
  <c r="B597" i="3"/>
  <c r="A597" i="3"/>
  <c r="K596" i="3"/>
  <c r="J596" i="3"/>
  <c r="I596" i="3"/>
  <c r="H596" i="3"/>
  <c r="G596" i="3"/>
  <c r="F596" i="3"/>
  <c r="E596" i="3"/>
  <c r="D596" i="3"/>
  <c r="C596" i="3"/>
  <c r="B596" i="3"/>
  <c r="A596" i="3"/>
  <c r="K595" i="3"/>
  <c r="L595" i="3" s="1"/>
  <c r="J595" i="3"/>
  <c r="I595" i="3"/>
  <c r="H595" i="3"/>
  <c r="G595" i="3"/>
  <c r="F595" i="3"/>
  <c r="E595" i="3"/>
  <c r="D595" i="3"/>
  <c r="C595" i="3"/>
  <c r="B595" i="3"/>
  <c r="A595" i="3"/>
  <c r="L594" i="3"/>
  <c r="K594" i="3"/>
  <c r="J594" i="3"/>
  <c r="I594" i="3"/>
  <c r="H594" i="3"/>
  <c r="G594" i="3"/>
  <c r="F594" i="3"/>
  <c r="E594" i="3"/>
  <c r="D594" i="3"/>
  <c r="C594" i="3"/>
  <c r="B594" i="3"/>
  <c r="A594" i="3"/>
  <c r="K593" i="3"/>
  <c r="L593" i="3" s="1"/>
  <c r="J593" i="3"/>
  <c r="I593" i="3"/>
  <c r="H593" i="3"/>
  <c r="G593" i="3"/>
  <c r="F593" i="3"/>
  <c r="E593" i="3"/>
  <c r="D593" i="3"/>
  <c r="C593" i="3"/>
  <c r="B593" i="3"/>
  <c r="A593" i="3"/>
  <c r="L592" i="3"/>
  <c r="K592" i="3"/>
  <c r="J592" i="3"/>
  <c r="I592" i="3"/>
  <c r="H592" i="3"/>
  <c r="G592" i="3"/>
  <c r="F592" i="3"/>
  <c r="E592" i="3"/>
  <c r="D592" i="3"/>
  <c r="C592" i="3"/>
  <c r="B592" i="3"/>
  <c r="A592" i="3"/>
  <c r="K591" i="3"/>
  <c r="J591" i="3"/>
  <c r="I591" i="3"/>
  <c r="H591" i="3"/>
  <c r="G591" i="3"/>
  <c r="F591" i="3"/>
  <c r="E591" i="3"/>
  <c r="D591" i="3"/>
  <c r="C591" i="3"/>
  <c r="B591" i="3"/>
  <c r="A591" i="3"/>
  <c r="K590" i="3"/>
  <c r="L590" i="3" s="1"/>
  <c r="J590" i="3"/>
  <c r="I590" i="3"/>
  <c r="H590" i="3"/>
  <c r="G590" i="3"/>
  <c r="F590" i="3"/>
  <c r="E590" i="3"/>
  <c r="D590" i="3"/>
  <c r="C590" i="3"/>
  <c r="B590" i="3"/>
  <c r="A590" i="3"/>
  <c r="K589" i="3"/>
  <c r="L589" i="3" s="1"/>
  <c r="J589" i="3"/>
  <c r="I589" i="3"/>
  <c r="H589" i="3"/>
  <c r="G589" i="3"/>
  <c r="F589" i="3"/>
  <c r="E589" i="3"/>
  <c r="D589" i="3"/>
  <c r="C589" i="3"/>
  <c r="B589" i="3"/>
  <c r="A589" i="3"/>
  <c r="K588" i="3"/>
  <c r="L588" i="3" s="1"/>
  <c r="J588" i="3"/>
  <c r="I588" i="3"/>
  <c r="H588" i="3"/>
  <c r="G588" i="3"/>
  <c r="F588" i="3"/>
  <c r="E588" i="3"/>
  <c r="D588" i="3"/>
  <c r="C588" i="3"/>
  <c r="B588" i="3"/>
  <c r="A588" i="3"/>
  <c r="K587" i="3"/>
  <c r="J587" i="3"/>
  <c r="I587" i="3"/>
  <c r="H587" i="3"/>
  <c r="G587" i="3"/>
  <c r="F587" i="3"/>
  <c r="E587" i="3"/>
  <c r="D587" i="3"/>
  <c r="C587" i="3"/>
  <c r="B587" i="3"/>
  <c r="A587" i="3"/>
  <c r="K586" i="3"/>
  <c r="L586" i="3" s="1"/>
  <c r="J586" i="3"/>
  <c r="I586" i="3"/>
  <c r="H586" i="3"/>
  <c r="G586" i="3"/>
  <c r="F586" i="3"/>
  <c r="E586" i="3"/>
  <c r="D586" i="3"/>
  <c r="C586" i="3"/>
  <c r="B586" i="3"/>
  <c r="A586" i="3"/>
  <c r="K585" i="3"/>
  <c r="L585" i="3" s="1"/>
  <c r="J585" i="3"/>
  <c r="I585" i="3"/>
  <c r="H585" i="3"/>
  <c r="G585" i="3"/>
  <c r="F585" i="3"/>
  <c r="E585" i="3"/>
  <c r="D585" i="3"/>
  <c r="C585" i="3"/>
  <c r="B585" i="3"/>
  <c r="A585" i="3"/>
  <c r="L584" i="3"/>
  <c r="K584" i="3"/>
  <c r="J584" i="3"/>
  <c r="I584" i="3"/>
  <c r="H584" i="3"/>
  <c r="G584" i="3"/>
  <c r="F584" i="3"/>
  <c r="E584" i="3"/>
  <c r="D584" i="3"/>
  <c r="C584" i="3"/>
  <c r="B584" i="3"/>
  <c r="A584" i="3"/>
  <c r="K583" i="3"/>
  <c r="L583" i="3" s="1"/>
  <c r="J583" i="3"/>
  <c r="I583" i="3"/>
  <c r="H583" i="3"/>
  <c r="G583" i="3"/>
  <c r="F583" i="3"/>
  <c r="E583" i="3"/>
  <c r="D583" i="3"/>
  <c r="C583" i="3"/>
  <c r="B583" i="3"/>
  <c r="A583" i="3"/>
  <c r="K582" i="3"/>
  <c r="L582" i="3" s="1"/>
  <c r="J582" i="3"/>
  <c r="I582" i="3"/>
  <c r="H582" i="3"/>
  <c r="G582" i="3"/>
  <c r="F582" i="3"/>
  <c r="E582" i="3"/>
  <c r="D582" i="3"/>
  <c r="C582" i="3"/>
  <c r="B582" i="3"/>
  <c r="A582" i="3"/>
  <c r="K581" i="3"/>
  <c r="L581" i="3" s="1"/>
  <c r="J581" i="3"/>
  <c r="I581" i="3"/>
  <c r="H581" i="3"/>
  <c r="G581" i="3"/>
  <c r="F581" i="3"/>
  <c r="E581" i="3"/>
  <c r="D581" i="3"/>
  <c r="C581" i="3"/>
  <c r="B581" i="3"/>
  <c r="A581" i="3"/>
  <c r="K580" i="3"/>
  <c r="L580" i="3" s="1"/>
  <c r="J580" i="3"/>
  <c r="I580" i="3"/>
  <c r="H580" i="3"/>
  <c r="G580" i="3"/>
  <c r="F580" i="3"/>
  <c r="E580" i="3"/>
  <c r="D580" i="3"/>
  <c r="C580" i="3"/>
  <c r="B580" i="3"/>
  <c r="A580" i="3"/>
  <c r="K579" i="3"/>
  <c r="L579" i="3" s="1"/>
  <c r="J579" i="3"/>
  <c r="I579" i="3"/>
  <c r="H579" i="3"/>
  <c r="G579" i="3"/>
  <c r="F579" i="3"/>
  <c r="E579" i="3"/>
  <c r="D579" i="3"/>
  <c r="C579" i="3"/>
  <c r="B579" i="3"/>
  <c r="A579" i="3"/>
  <c r="L578" i="3"/>
  <c r="K578" i="3"/>
  <c r="J578" i="3"/>
  <c r="I578" i="3"/>
  <c r="H578" i="3"/>
  <c r="G578" i="3"/>
  <c r="F578" i="3"/>
  <c r="E578" i="3"/>
  <c r="D578" i="3"/>
  <c r="C578" i="3"/>
  <c r="B578" i="3"/>
  <c r="A578" i="3"/>
  <c r="K577" i="3"/>
  <c r="L577" i="3" s="1"/>
  <c r="J577" i="3"/>
  <c r="I577" i="3"/>
  <c r="H577" i="3"/>
  <c r="G577" i="3"/>
  <c r="F577" i="3"/>
  <c r="E577" i="3"/>
  <c r="D577" i="3"/>
  <c r="C577" i="3"/>
  <c r="B577" i="3"/>
  <c r="A577" i="3"/>
  <c r="K576" i="3"/>
  <c r="L576" i="3" s="1"/>
  <c r="J576" i="3"/>
  <c r="I576" i="3"/>
  <c r="H576" i="3"/>
  <c r="G576" i="3"/>
  <c r="F576" i="3"/>
  <c r="E576" i="3"/>
  <c r="D576" i="3"/>
  <c r="C576" i="3"/>
  <c r="B576" i="3"/>
  <c r="A576" i="3"/>
  <c r="K575" i="3"/>
  <c r="J575" i="3"/>
  <c r="I575" i="3"/>
  <c r="H575" i="3"/>
  <c r="G575" i="3"/>
  <c r="F575" i="3"/>
  <c r="E575" i="3"/>
  <c r="D575" i="3"/>
  <c r="C575" i="3"/>
  <c r="B575" i="3"/>
  <c r="A575" i="3"/>
  <c r="K574" i="3"/>
  <c r="L574" i="3" s="1"/>
  <c r="J574" i="3"/>
  <c r="I574" i="3"/>
  <c r="H574" i="3"/>
  <c r="G574" i="3"/>
  <c r="F574" i="3"/>
  <c r="E574" i="3"/>
  <c r="D574" i="3"/>
  <c r="C574" i="3"/>
  <c r="B574" i="3"/>
  <c r="A574" i="3"/>
  <c r="K573" i="3"/>
  <c r="L573" i="3" s="1"/>
  <c r="J573" i="3"/>
  <c r="I573" i="3"/>
  <c r="H573" i="3"/>
  <c r="G573" i="3"/>
  <c r="F573" i="3"/>
  <c r="E573" i="3"/>
  <c r="D573" i="3"/>
  <c r="C573" i="3"/>
  <c r="B573" i="3"/>
  <c r="A573" i="3"/>
  <c r="K572" i="3"/>
  <c r="L572" i="3" s="1"/>
  <c r="J572" i="3"/>
  <c r="I572" i="3"/>
  <c r="H572" i="3"/>
  <c r="G572" i="3"/>
  <c r="F572" i="3"/>
  <c r="E572" i="3"/>
  <c r="D572" i="3"/>
  <c r="C572" i="3"/>
  <c r="B572" i="3"/>
  <c r="A572" i="3"/>
  <c r="K571" i="3"/>
  <c r="L571" i="3" s="1"/>
  <c r="J571" i="3"/>
  <c r="I571" i="3"/>
  <c r="H571" i="3"/>
  <c r="G571" i="3"/>
  <c r="F571" i="3"/>
  <c r="E571" i="3"/>
  <c r="D571" i="3"/>
  <c r="C571" i="3"/>
  <c r="B571" i="3"/>
  <c r="A571" i="3"/>
  <c r="K570" i="3"/>
  <c r="L570" i="3" s="1"/>
  <c r="J570" i="3"/>
  <c r="I570" i="3"/>
  <c r="H570" i="3"/>
  <c r="G570" i="3"/>
  <c r="F570" i="3"/>
  <c r="E570" i="3"/>
  <c r="D570" i="3"/>
  <c r="C570" i="3"/>
  <c r="B570" i="3"/>
  <c r="A570" i="3"/>
  <c r="K569" i="3"/>
  <c r="L569" i="3" s="1"/>
  <c r="J569" i="3"/>
  <c r="I569" i="3"/>
  <c r="H569" i="3"/>
  <c r="G569" i="3"/>
  <c r="F569" i="3"/>
  <c r="E569" i="3"/>
  <c r="D569" i="3"/>
  <c r="C569" i="3"/>
  <c r="B569" i="3"/>
  <c r="A569" i="3"/>
  <c r="L568" i="3"/>
  <c r="K568" i="3"/>
  <c r="J568" i="3"/>
  <c r="I568" i="3"/>
  <c r="H568" i="3"/>
  <c r="G568" i="3"/>
  <c r="F568" i="3"/>
  <c r="E568" i="3"/>
  <c r="D568" i="3"/>
  <c r="C568" i="3"/>
  <c r="B568" i="3"/>
  <c r="A568" i="3"/>
  <c r="K567" i="3"/>
  <c r="L567" i="3" s="1"/>
  <c r="J567" i="3"/>
  <c r="I567" i="3"/>
  <c r="H567" i="3"/>
  <c r="G567" i="3"/>
  <c r="F567" i="3"/>
  <c r="E567" i="3"/>
  <c r="D567" i="3"/>
  <c r="C567" i="3"/>
  <c r="B567" i="3"/>
  <c r="A567" i="3"/>
  <c r="K566" i="3"/>
  <c r="L566" i="3" s="1"/>
  <c r="J566" i="3"/>
  <c r="I566" i="3"/>
  <c r="H566" i="3"/>
  <c r="G566" i="3"/>
  <c r="F566" i="3"/>
  <c r="E566" i="3"/>
  <c r="D566" i="3"/>
  <c r="C566" i="3"/>
  <c r="B566" i="3"/>
  <c r="A566" i="3"/>
  <c r="K565" i="3"/>
  <c r="L565" i="3" s="1"/>
  <c r="J565" i="3"/>
  <c r="I565" i="3"/>
  <c r="H565" i="3"/>
  <c r="G565" i="3"/>
  <c r="F565" i="3"/>
  <c r="E565" i="3"/>
  <c r="D565" i="3"/>
  <c r="C565" i="3"/>
  <c r="B565" i="3"/>
  <c r="A565" i="3"/>
  <c r="K564" i="3"/>
  <c r="L564" i="3" s="1"/>
  <c r="J564" i="3"/>
  <c r="I564" i="3"/>
  <c r="H564" i="3"/>
  <c r="G564" i="3"/>
  <c r="F564" i="3"/>
  <c r="E564" i="3"/>
  <c r="D564" i="3"/>
  <c r="C564" i="3"/>
  <c r="B564" i="3"/>
  <c r="A564" i="3"/>
  <c r="K563" i="3"/>
  <c r="L563" i="3" s="1"/>
  <c r="J563" i="3"/>
  <c r="I563" i="3"/>
  <c r="H563" i="3"/>
  <c r="G563" i="3"/>
  <c r="F563" i="3"/>
  <c r="E563" i="3"/>
  <c r="D563" i="3"/>
  <c r="C563" i="3"/>
  <c r="B563" i="3"/>
  <c r="A563" i="3"/>
  <c r="L562" i="3"/>
  <c r="K562" i="3"/>
  <c r="J562" i="3"/>
  <c r="I562" i="3"/>
  <c r="H562" i="3"/>
  <c r="G562" i="3"/>
  <c r="F562" i="3"/>
  <c r="E562" i="3"/>
  <c r="D562" i="3"/>
  <c r="C562" i="3"/>
  <c r="B562" i="3"/>
  <c r="A562" i="3"/>
  <c r="K561" i="3"/>
  <c r="L561" i="3" s="1"/>
  <c r="J561" i="3"/>
  <c r="I561" i="3"/>
  <c r="H561" i="3"/>
  <c r="G561" i="3"/>
  <c r="F561" i="3"/>
  <c r="E561" i="3"/>
  <c r="D561" i="3"/>
  <c r="C561" i="3"/>
  <c r="B561" i="3"/>
  <c r="A561" i="3"/>
  <c r="K560" i="3"/>
  <c r="L560" i="3" s="1"/>
  <c r="J560" i="3"/>
  <c r="I560" i="3"/>
  <c r="H560" i="3"/>
  <c r="G560" i="3"/>
  <c r="F560" i="3"/>
  <c r="E560" i="3"/>
  <c r="D560" i="3"/>
  <c r="C560" i="3"/>
  <c r="B560" i="3"/>
  <c r="A560" i="3"/>
  <c r="K559" i="3"/>
  <c r="J559" i="3"/>
  <c r="I559" i="3"/>
  <c r="H559" i="3"/>
  <c r="G559" i="3"/>
  <c r="F559" i="3"/>
  <c r="E559" i="3"/>
  <c r="D559" i="3"/>
  <c r="C559" i="3"/>
  <c r="B559" i="3"/>
  <c r="A559" i="3"/>
  <c r="K558" i="3"/>
  <c r="L558" i="3" s="1"/>
  <c r="J558" i="3"/>
  <c r="I558" i="3"/>
  <c r="H558" i="3"/>
  <c r="G558" i="3"/>
  <c r="F558" i="3"/>
  <c r="E558" i="3"/>
  <c r="D558" i="3"/>
  <c r="C558" i="3"/>
  <c r="B558" i="3"/>
  <c r="A558" i="3"/>
  <c r="K557" i="3"/>
  <c r="J557" i="3"/>
  <c r="I557" i="3"/>
  <c r="H557" i="3"/>
  <c r="G557" i="3"/>
  <c r="F557" i="3"/>
  <c r="E557" i="3"/>
  <c r="D557" i="3"/>
  <c r="C557" i="3"/>
  <c r="B557" i="3"/>
  <c r="A557" i="3"/>
  <c r="K556" i="3"/>
  <c r="L556" i="3" s="1"/>
  <c r="J556" i="3"/>
  <c r="I556" i="3"/>
  <c r="H556" i="3"/>
  <c r="G556" i="3"/>
  <c r="F556" i="3"/>
  <c r="E556" i="3"/>
  <c r="D556" i="3"/>
  <c r="C556" i="3"/>
  <c r="B556" i="3"/>
  <c r="A556" i="3"/>
  <c r="K555" i="3"/>
  <c r="L555" i="3" s="1"/>
  <c r="J555" i="3"/>
  <c r="I555" i="3"/>
  <c r="H555" i="3"/>
  <c r="G555" i="3"/>
  <c r="F555" i="3"/>
  <c r="E555" i="3"/>
  <c r="D555" i="3"/>
  <c r="C555" i="3"/>
  <c r="B555" i="3"/>
  <c r="A555" i="3"/>
  <c r="K554" i="3"/>
  <c r="L554" i="3" s="1"/>
  <c r="J554" i="3"/>
  <c r="I554" i="3"/>
  <c r="H554" i="3"/>
  <c r="G554" i="3"/>
  <c r="F554" i="3"/>
  <c r="E554" i="3"/>
  <c r="D554" i="3"/>
  <c r="C554" i="3"/>
  <c r="B554" i="3"/>
  <c r="A554" i="3"/>
  <c r="K553" i="3"/>
  <c r="L553" i="3" s="1"/>
  <c r="J553" i="3"/>
  <c r="I553" i="3"/>
  <c r="H553" i="3"/>
  <c r="G553" i="3"/>
  <c r="F553" i="3"/>
  <c r="E553" i="3"/>
  <c r="D553" i="3"/>
  <c r="C553" i="3"/>
  <c r="B553" i="3"/>
  <c r="A553" i="3"/>
  <c r="L552" i="3"/>
  <c r="K552" i="3"/>
  <c r="J552" i="3"/>
  <c r="I552" i="3"/>
  <c r="H552" i="3"/>
  <c r="G552" i="3"/>
  <c r="F552" i="3"/>
  <c r="E552" i="3"/>
  <c r="D552" i="3"/>
  <c r="C552" i="3"/>
  <c r="B552" i="3"/>
  <c r="A552" i="3"/>
  <c r="K551" i="3"/>
  <c r="L551" i="3" s="1"/>
  <c r="J551" i="3"/>
  <c r="I551" i="3"/>
  <c r="H551" i="3"/>
  <c r="G551" i="3"/>
  <c r="F551" i="3"/>
  <c r="E551" i="3"/>
  <c r="D551" i="3"/>
  <c r="C551" i="3"/>
  <c r="B551" i="3"/>
  <c r="A551" i="3"/>
  <c r="K550" i="3"/>
  <c r="J550" i="3"/>
  <c r="I550" i="3"/>
  <c r="H550" i="3"/>
  <c r="G550" i="3"/>
  <c r="F550" i="3"/>
  <c r="E550" i="3"/>
  <c r="D550" i="3"/>
  <c r="C550" i="3"/>
  <c r="B550" i="3"/>
  <c r="A550" i="3"/>
  <c r="K549" i="3"/>
  <c r="L549" i="3" s="1"/>
  <c r="J549" i="3"/>
  <c r="I549" i="3"/>
  <c r="H549" i="3"/>
  <c r="G549" i="3"/>
  <c r="F549" i="3"/>
  <c r="E549" i="3"/>
  <c r="D549" i="3"/>
  <c r="C549" i="3"/>
  <c r="B549" i="3"/>
  <c r="A549" i="3"/>
  <c r="K548" i="3"/>
  <c r="L548" i="3" s="1"/>
  <c r="J548" i="3"/>
  <c r="I548" i="3"/>
  <c r="H548" i="3"/>
  <c r="G548" i="3"/>
  <c r="F548" i="3"/>
  <c r="E548" i="3"/>
  <c r="D548" i="3"/>
  <c r="C548" i="3"/>
  <c r="B548" i="3"/>
  <c r="A548" i="3"/>
  <c r="K547" i="3"/>
  <c r="L547" i="3" s="1"/>
  <c r="J547" i="3"/>
  <c r="I547" i="3"/>
  <c r="H547" i="3"/>
  <c r="G547" i="3"/>
  <c r="F547" i="3"/>
  <c r="E547" i="3"/>
  <c r="D547" i="3"/>
  <c r="C547" i="3"/>
  <c r="B547" i="3"/>
  <c r="A547" i="3"/>
  <c r="L546" i="3"/>
  <c r="K546" i="3"/>
  <c r="J546" i="3"/>
  <c r="I546" i="3"/>
  <c r="H546" i="3"/>
  <c r="G546" i="3"/>
  <c r="F546" i="3"/>
  <c r="E546" i="3"/>
  <c r="D546" i="3"/>
  <c r="C546" i="3"/>
  <c r="B546" i="3"/>
  <c r="A546" i="3"/>
  <c r="K545" i="3"/>
  <c r="L545" i="3" s="1"/>
  <c r="J545" i="3"/>
  <c r="I545" i="3"/>
  <c r="H545" i="3"/>
  <c r="G545" i="3"/>
  <c r="F545" i="3"/>
  <c r="E545" i="3"/>
  <c r="D545" i="3"/>
  <c r="C545" i="3"/>
  <c r="B545" i="3"/>
  <c r="A545" i="3"/>
  <c r="L544" i="3"/>
  <c r="K544" i="3"/>
  <c r="J544" i="3"/>
  <c r="I544" i="3"/>
  <c r="H544" i="3"/>
  <c r="G544" i="3"/>
  <c r="F544" i="3"/>
  <c r="E544" i="3"/>
  <c r="D544" i="3"/>
  <c r="C544" i="3"/>
  <c r="B544" i="3"/>
  <c r="A544" i="3"/>
  <c r="K543" i="3"/>
  <c r="L543" i="3" s="1"/>
  <c r="J543" i="3"/>
  <c r="I543" i="3"/>
  <c r="H543" i="3"/>
  <c r="G543" i="3"/>
  <c r="F543" i="3"/>
  <c r="E543" i="3"/>
  <c r="D543" i="3"/>
  <c r="C543" i="3"/>
  <c r="B543" i="3"/>
  <c r="A543" i="3"/>
  <c r="L542" i="3"/>
  <c r="K542" i="3"/>
  <c r="J542" i="3"/>
  <c r="I542" i="3"/>
  <c r="H542" i="3"/>
  <c r="G542" i="3"/>
  <c r="F542" i="3"/>
  <c r="E542" i="3"/>
  <c r="D542" i="3"/>
  <c r="C542" i="3"/>
  <c r="B542" i="3"/>
  <c r="A542" i="3"/>
  <c r="K541" i="3"/>
  <c r="L541" i="3" s="1"/>
  <c r="J541" i="3"/>
  <c r="I541" i="3"/>
  <c r="H541" i="3"/>
  <c r="G541" i="3"/>
  <c r="F541" i="3"/>
  <c r="E541" i="3"/>
  <c r="D541" i="3"/>
  <c r="C541" i="3"/>
  <c r="B541" i="3"/>
  <c r="A541" i="3"/>
  <c r="K540" i="3"/>
  <c r="L540" i="3" s="1"/>
  <c r="J540" i="3"/>
  <c r="I540" i="3"/>
  <c r="H540" i="3"/>
  <c r="G540" i="3"/>
  <c r="F540" i="3"/>
  <c r="E540" i="3"/>
  <c r="D540" i="3"/>
  <c r="C540" i="3"/>
  <c r="B540" i="3"/>
  <c r="A540" i="3"/>
  <c r="K539" i="3"/>
  <c r="J539" i="3"/>
  <c r="I539" i="3"/>
  <c r="H539" i="3"/>
  <c r="G539" i="3"/>
  <c r="F539" i="3"/>
  <c r="E539" i="3"/>
  <c r="D539" i="3"/>
  <c r="C539" i="3"/>
  <c r="B539" i="3"/>
  <c r="A539" i="3"/>
  <c r="K538" i="3"/>
  <c r="L538" i="3" s="1"/>
  <c r="J538" i="3"/>
  <c r="I538" i="3"/>
  <c r="H538" i="3"/>
  <c r="G538" i="3"/>
  <c r="F538" i="3"/>
  <c r="E538" i="3"/>
  <c r="D538" i="3"/>
  <c r="C538" i="3"/>
  <c r="B538" i="3"/>
  <c r="A538" i="3"/>
  <c r="K537" i="3"/>
  <c r="L537" i="3" s="1"/>
  <c r="J537" i="3"/>
  <c r="I537" i="3"/>
  <c r="H537" i="3"/>
  <c r="G537" i="3"/>
  <c r="F537" i="3"/>
  <c r="E537" i="3"/>
  <c r="D537" i="3"/>
  <c r="C537" i="3"/>
  <c r="B537" i="3"/>
  <c r="A537" i="3"/>
  <c r="L536" i="3"/>
  <c r="K536" i="3"/>
  <c r="J536" i="3"/>
  <c r="I536" i="3"/>
  <c r="H536" i="3"/>
  <c r="G536" i="3"/>
  <c r="F536" i="3"/>
  <c r="E536" i="3"/>
  <c r="D536" i="3"/>
  <c r="C536" i="3"/>
  <c r="B536" i="3"/>
  <c r="A536" i="3"/>
  <c r="K535" i="3"/>
  <c r="L535" i="3" s="1"/>
  <c r="J535" i="3"/>
  <c r="I535" i="3"/>
  <c r="H535" i="3"/>
  <c r="G535" i="3"/>
  <c r="F535" i="3"/>
  <c r="E535" i="3"/>
  <c r="D535" i="3"/>
  <c r="C535" i="3"/>
  <c r="B535" i="3"/>
  <c r="A535" i="3"/>
  <c r="K534" i="3"/>
  <c r="L534" i="3" s="1"/>
  <c r="J534" i="3"/>
  <c r="I534" i="3"/>
  <c r="H534" i="3"/>
  <c r="G534" i="3"/>
  <c r="F534" i="3"/>
  <c r="E534" i="3"/>
  <c r="D534" i="3"/>
  <c r="C534" i="3"/>
  <c r="B534" i="3"/>
  <c r="A534" i="3"/>
  <c r="K533" i="3"/>
  <c r="L533" i="3" s="1"/>
  <c r="J533" i="3"/>
  <c r="I533" i="3"/>
  <c r="H533" i="3"/>
  <c r="G533" i="3"/>
  <c r="F533" i="3"/>
  <c r="E533" i="3"/>
  <c r="D533" i="3"/>
  <c r="C533" i="3"/>
  <c r="B533" i="3"/>
  <c r="A533" i="3"/>
  <c r="K532" i="3"/>
  <c r="L532" i="3" s="1"/>
  <c r="J532" i="3"/>
  <c r="I532" i="3"/>
  <c r="H532" i="3"/>
  <c r="G532" i="3"/>
  <c r="F532" i="3"/>
  <c r="E532" i="3"/>
  <c r="D532" i="3"/>
  <c r="C532" i="3"/>
  <c r="B532" i="3"/>
  <c r="A532" i="3"/>
  <c r="K531" i="3"/>
  <c r="L531" i="3" s="1"/>
  <c r="J531" i="3"/>
  <c r="I531" i="3"/>
  <c r="H531" i="3"/>
  <c r="G531" i="3"/>
  <c r="F531" i="3"/>
  <c r="E531" i="3"/>
  <c r="D531" i="3"/>
  <c r="C531" i="3"/>
  <c r="B531" i="3"/>
  <c r="A531" i="3"/>
  <c r="L530" i="3"/>
  <c r="K530" i="3"/>
  <c r="J530" i="3"/>
  <c r="I530" i="3"/>
  <c r="H530" i="3"/>
  <c r="G530" i="3"/>
  <c r="F530" i="3"/>
  <c r="E530" i="3"/>
  <c r="D530" i="3"/>
  <c r="C530" i="3"/>
  <c r="B530" i="3"/>
  <c r="A530" i="3"/>
  <c r="K529" i="3"/>
  <c r="L529" i="3" s="1"/>
  <c r="J529" i="3"/>
  <c r="I529" i="3"/>
  <c r="H529" i="3"/>
  <c r="G529" i="3"/>
  <c r="F529" i="3"/>
  <c r="E529" i="3"/>
  <c r="D529" i="3"/>
  <c r="C529" i="3"/>
  <c r="B529" i="3"/>
  <c r="A529" i="3"/>
  <c r="L528" i="3"/>
  <c r="K528" i="3"/>
  <c r="J528" i="3"/>
  <c r="I528" i="3"/>
  <c r="H528" i="3"/>
  <c r="G528" i="3"/>
  <c r="F528" i="3"/>
  <c r="E528" i="3"/>
  <c r="D528" i="3"/>
  <c r="C528" i="3"/>
  <c r="B528" i="3"/>
  <c r="A528" i="3"/>
  <c r="K527" i="3"/>
  <c r="L527" i="3" s="1"/>
  <c r="J527" i="3"/>
  <c r="I527" i="3"/>
  <c r="H527" i="3"/>
  <c r="G527" i="3"/>
  <c r="F527" i="3"/>
  <c r="E527" i="3"/>
  <c r="D527" i="3"/>
  <c r="C527" i="3"/>
  <c r="B527" i="3"/>
  <c r="A527" i="3"/>
  <c r="L526" i="3"/>
  <c r="K526" i="3"/>
  <c r="J526" i="3"/>
  <c r="I526" i="3"/>
  <c r="H526" i="3"/>
  <c r="G526" i="3"/>
  <c r="F526" i="3"/>
  <c r="E526" i="3"/>
  <c r="D526" i="3"/>
  <c r="C526" i="3"/>
  <c r="B526" i="3"/>
  <c r="A526" i="3"/>
  <c r="K525" i="3"/>
  <c r="L525" i="3" s="1"/>
  <c r="J525" i="3"/>
  <c r="I525" i="3"/>
  <c r="H525" i="3"/>
  <c r="G525" i="3"/>
  <c r="F525" i="3"/>
  <c r="E525" i="3"/>
  <c r="D525" i="3"/>
  <c r="C525" i="3"/>
  <c r="B525" i="3"/>
  <c r="A525" i="3"/>
  <c r="K524" i="3"/>
  <c r="L524" i="3" s="1"/>
  <c r="J524" i="3"/>
  <c r="I524" i="3"/>
  <c r="H524" i="3"/>
  <c r="G524" i="3"/>
  <c r="F524" i="3"/>
  <c r="E524" i="3"/>
  <c r="D524" i="3"/>
  <c r="C524" i="3"/>
  <c r="B524" i="3"/>
  <c r="A524" i="3"/>
  <c r="K523" i="3"/>
  <c r="J523" i="3"/>
  <c r="I523" i="3"/>
  <c r="H523" i="3"/>
  <c r="G523" i="3"/>
  <c r="F523" i="3"/>
  <c r="E523" i="3"/>
  <c r="D523" i="3"/>
  <c r="C523" i="3"/>
  <c r="B523" i="3"/>
  <c r="A523" i="3"/>
  <c r="K522" i="3"/>
  <c r="L522" i="3" s="1"/>
  <c r="J522" i="3"/>
  <c r="I522" i="3"/>
  <c r="H522" i="3"/>
  <c r="G522" i="3"/>
  <c r="F522" i="3"/>
  <c r="E522" i="3"/>
  <c r="D522" i="3"/>
  <c r="C522" i="3"/>
  <c r="B522" i="3"/>
  <c r="A522" i="3"/>
  <c r="K521" i="3"/>
  <c r="L521" i="3" s="1"/>
  <c r="J521" i="3"/>
  <c r="I521" i="3"/>
  <c r="H521" i="3"/>
  <c r="G521" i="3"/>
  <c r="F521" i="3"/>
  <c r="E521" i="3"/>
  <c r="D521" i="3"/>
  <c r="C521" i="3"/>
  <c r="B521" i="3"/>
  <c r="A521" i="3"/>
  <c r="L520" i="3"/>
  <c r="K520" i="3"/>
  <c r="J520" i="3"/>
  <c r="I520" i="3"/>
  <c r="H520" i="3"/>
  <c r="G520" i="3"/>
  <c r="F520" i="3"/>
  <c r="E520" i="3"/>
  <c r="D520" i="3"/>
  <c r="C520" i="3"/>
  <c r="B520" i="3"/>
  <c r="A520" i="3"/>
  <c r="K519" i="3"/>
  <c r="L519" i="3" s="1"/>
  <c r="J519" i="3"/>
  <c r="I519" i="3"/>
  <c r="H519" i="3"/>
  <c r="G519" i="3"/>
  <c r="F519" i="3"/>
  <c r="E519" i="3"/>
  <c r="D519" i="3"/>
  <c r="C519" i="3"/>
  <c r="B519" i="3"/>
  <c r="A519" i="3"/>
  <c r="K518" i="3"/>
  <c r="L518" i="3" s="1"/>
  <c r="J518" i="3"/>
  <c r="I518" i="3"/>
  <c r="H518" i="3"/>
  <c r="G518" i="3"/>
  <c r="F518" i="3"/>
  <c r="E518" i="3"/>
  <c r="D518" i="3"/>
  <c r="C518" i="3"/>
  <c r="B518" i="3"/>
  <c r="A518" i="3"/>
  <c r="K517" i="3"/>
  <c r="L517" i="3" s="1"/>
  <c r="J517" i="3"/>
  <c r="I517" i="3"/>
  <c r="H517" i="3"/>
  <c r="G517" i="3"/>
  <c r="F517" i="3"/>
  <c r="E517" i="3"/>
  <c r="D517" i="3"/>
  <c r="C517" i="3"/>
  <c r="B517" i="3"/>
  <c r="A517" i="3"/>
  <c r="K516" i="3"/>
  <c r="L516" i="3" s="1"/>
  <c r="J516" i="3"/>
  <c r="I516" i="3"/>
  <c r="H516" i="3"/>
  <c r="G516" i="3"/>
  <c r="F516" i="3"/>
  <c r="E516" i="3"/>
  <c r="D516" i="3"/>
  <c r="C516" i="3"/>
  <c r="B516" i="3"/>
  <c r="A516" i="3"/>
  <c r="K515" i="3"/>
  <c r="L515" i="3" s="1"/>
  <c r="J515" i="3"/>
  <c r="I515" i="3"/>
  <c r="H515" i="3"/>
  <c r="G515" i="3"/>
  <c r="F515" i="3"/>
  <c r="E515" i="3"/>
  <c r="D515" i="3"/>
  <c r="C515" i="3"/>
  <c r="B515" i="3"/>
  <c r="A515" i="3"/>
  <c r="K514" i="3"/>
  <c r="J514" i="3"/>
  <c r="I514" i="3"/>
  <c r="H514" i="3"/>
  <c r="G514" i="3"/>
  <c r="F514" i="3"/>
  <c r="L514" i="3" s="1"/>
  <c r="E514" i="3"/>
  <c r="D514" i="3"/>
  <c r="C514" i="3"/>
  <c r="B514" i="3"/>
  <c r="A514" i="3"/>
  <c r="K513" i="3"/>
  <c r="L513" i="3" s="1"/>
  <c r="J513" i="3"/>
  <c r="I513" i="3"/>
  <c r="H513" i="3"/>
  <c r="G513" i="3"/>
  <c r="F513" i="3"/>
  <c r="E513" i="3"/>
  <c r="D513" i="3"/>
  <c r="C513" i="3"/>
  <c r="B513" i="3"/>
  <c r="A513" i="3"/>
  <c r="L512" i="3"/>
  <c r="K512" i="3"/>
  <c r="J512" i="3"/>
  <c r="I512" i="3"/>
  <c r="H512" i="3"/>
  <c r="G512" i="3"/>
  <c r="F512" i="3"/>
  <c r="E512" i="3"/>
  <c r="D512" i="3"/>
  <c r="C512" i="3"/>
  <c r="B512" i="3"/>
  <c r="A512" i="3"/>
  <c r="K511" i="3"/>
  <c r="L511" i="3" s="1"/>
  <c r="J511" i="3"/>
  <c r="I511" i="3"/>
  <c r="H511" i="3"/>
  <c r="G511" i="3"/>
  <c r="F511" i="3"/>
  <c r="E511" i="3"/>
  <c r="D511" i="3"/>
  <c r="C511" i="3"/>
  <c r="B511" i="3"/>
  <c r="A511" i="3"/>
  <c r="L510" i="3"/>
  <c r="K510" i="3"/>
  <c r="J510" i="3"/>
  <c r="I510" i="3"/>
  <c r="H510" i="3"/>
  <c r="G510" i="3"/>
  <c r="F510" i="3"/>
  <c r="E510" i="3"/>
  <c r="D510" i="3"/>
  <c r="C510" i="3"/>
  <c r="B510" i="3"/>
  <c r="A510" i="3"/>
  <c r="K509" i="3"/>
  <c r="L509" i="3" s="1"/>
  <c r="J509" i="3"/>
  <c r="I509" i="3"/>
  <c r="H509" i="3"/>
  <c r="G509" i="3"/>
  <c r="F509" i="3"/>
  <c r="E509" i="3"/>
  <c r="D509" i="3"/>
  <c r="C509" i="3"/>
  <c r="B509" i="3"/>
  <c r="A509" i="3"/>
  <c r="K508" i="3"/>
  <c r="L508" i="3" s="1"/>
  <c r="J508" i="3"/>
  <c r="I508" i="3"/>
  <c r="H508" i="3"/>
  <c r="G508" i="3"/>
  <c r="F508" i="3"/>
  <c r="E508" i="3"/>
  <c r="D508" i="3"/>
  <c r="C508" i="3"/>
  <c r="B508" i="3"/>
  <c r="A508" i="3"/>
  <c r="K507" i="3"/>
  <c r="L507" i="3" s="1"/>
  <c r="J507" i="3"/>
  <c r="I507" i="3"/>
  <c r="H507" i="3"/>
  <c r="G507" i="3"/>
  <c r="F507" i="3"/>
  <c r="E507" i="3"/>
  <c r="D507" i="3"/>
  <c r="C507" i="3"/>
  <c r="B507" i="3"/>
  <c r="A507" i="3"/>
  <c r="K506" i="3"/>
  <c r="L506" i="3" s="1"/>
  <c r="J506" i="3"/>
  <c r="I506" i="3"/>
  <c r="H506" i="3"/>
  <c r="G506" i="3"/>
  <c r="F506" i="3"/>
  <c r="E506" i="3"/>
  <c r="D506" i="3"/>
  <c r="C506" i="3"/>
  <c r="B506" i="3"/>
  <c r="A506" i="3"/>
  <c r="K505" i="3"/>
  <c r="L505" i="3" s="1"/>
  <c r="J505" i="3"/>
  <c r="I505" i="3"/>
  <c r="H505" i="3"/>
  <c r="G505" i="3"/>
  <c r="F505" i="3"/>
  <c r="E505" i="3"/>
  <c r="D505" i="3"/>
  <c r="C505" i="3"/>
  <c r="B505" i="3"/>
  <c r="A505" i="3"/>
  <c r="L504" i="3"/>
  <c r="K504" i="3"/>
  <c r="J504" i="3"/>
  <c r="I504" i="3"/>
  <c r="H504" i="3"/>
  <c r="G504" i="3"/>
  <c r="F504" i="3"/>
  <c r="E504" i="3"/>
  <c r="D504" i="3"/>
  <c r="C504" i="3"/>
  <c r="B504" i="3"/>
  <c r="A504" i="3"/>
  <c r="K503" i="3"/>
  <c r="L503" i="3" s="1"/>
  <c r="J503" i="3"/>
  <c r="I503" i="3"/>
  <c r="H503" i="3"/>
  <c r="G503" i="3"/>
  <c r="F503" i="3"/>
  <c r="E503" i="3"/>
  <c r="D503" i="3"/>
  <c r="C503" i="3"/>
  <c r="B503" i="3"/>
  <c r="A503" i="3"/>
  <c r="K502" i="3"/>
  <c r="L502" i="3" s="1"/>
  <c r="J502" i="3"/>
  <c r="I502" i="3"/>
  <c r="H502" i="3"/>
  <c r="G502" i="3"/>
  <c r="F502" i="3"/>
  <c r="E502" i="3"/>
  <c r="D502" i="3"/>
  <c r="C502" i="3"/>
  <c r="B502" i="3"/>
  <c r="A502" i="3"/>
  <c r="K501" i="3"/>
  <c r="L501" i="3" s="1"/>
  <c r="J501" i="3"/>
  <c r="I501" i="3"/>
  <c r="H501" i="3"/>
  <c r="G501" i="3"/>
  <c r="F501" i="3"/>
  <c r="E501" i="3"/>
  <c r="D501" i="3"/>
  <c r="C501" i="3"/>
  <c r="B501" i="3"/>
  <c r="A501" i="3"/>
  <c r="K500" i="3"/>
  <c r="L500" i="3" s="1"/>
  <c r="J500" i="3"/>
  <c r="I500" i="3"/>
  <c r="H500" i="3"/>
  <c r="G500" i="3"/>
  <c r="F500" i="3"/>
  <c r="E500" i="3"/>
  <c r="D500" i="3"/>
  <c r="C500" i="3"/>
  <c r="B500" i="3"/>
  <c r="A500" i="3"/>
  <c r="K499" i="3"/>
  <c r="L499" i="3" s="1"/>
  <c r="J499" i="3"/>
  <c r="I499" i="3"/>
  <c r="H499" i="3"/>
  <c r="G499" i="3"/>
  <c r="F499" i="3"/>
  <c r="E499" i="3"/>
  <c r="D499" i="3"/>
  <c r="C499" i="3"/>
  <c r="B499" i="3"/>
  <c r="A499" i="3"/>
  <c r="L498" i="3"/>
  <c r="K498" i="3"/>
  <c r="J498" i="3"/>
  <c r="I498" i="3"/>
  <c r="H498" i="3"/>
  <c r="G498" i="3"/>
  <c r="F498" i="3"/>
  <c r="E498" i="3"/>
  <c r="D498" i="3"/>
  <c r="C498" i="3"/>
  <c r="B498" i="3"/>
  <c r="A498" i="3"/>
  <c r="K497" i="3"/>
  <c r="L497" i="3" s="1"/>
  <c r="J497" i="3"/>
  <c r="I497" i="3"/>
  <c r="H497" i="3"/>
  <c r="G497" i="3"/>
  <c r="F497" i="3"/>
  <c r="E497" i="3"/>
  <c r="D497" i="3"/>
  <c r="C497" i="3"/>
  <c r="B497" i="3"/>
  <c r="A497" i="3"/>
  <c r="L496" i="3"/>
  <c r="K496" i="3"/>
  <c r="J496" i="3"/>
  <c r="I496" i="3"/>
  <c r="H496" i="3"/>
  <c r="G496" i="3"/>
  <c r="F496" i="3"/>
  <c r="E496" i="3"/>
  <c r="D496" i="3"/>
  <c r="C496" i="3"/>
  <c r="B496" i="3"/>
  <c r="A496" i="3"/>
  <c r="K495" i="3"/>
  <c r="L495" i="3" s="1"/>
  <c r="J495" i="3"/>
  <c r="I495" i="3"/>
  <c r="H495" i="3"/>
  <c r="G495" i="3"/>
  <c r="F495" i="3"/>
  <c r="E495" i="3"/>
  <c r="D495" i="3"/>
  <c r="C495" i="3"/>
  <c r="B495" i="3"/>
  <c r="A495" i="3"/>
  <c r="L494" i="3"/>
  <c r="K494" i="3"/>
  <c r="J494" i="3"/>
  <c r="I494" i="3"/>
  <c r="H494" i="3"/>
  <c r="G494" i="3"/>
  <c r="F494" i="3"/>
  <c r="E494" i="3"/>
  <c r="D494" i="3"/>
  <c r="C494" i="3"/>
  <c r="B494" i="3"/>
  <c r="A494" i="3"/>
  <c r="K493" i="3"/>
  <c r="J493" i="3"/>
  <c r="I493" i="3"/>
  <c r="H493" i="3"/>
  <c r="G493" i="3"/>
  <c r="F493" i="3"/>
  <c r="E493" i="3"/>
  <c r="D493" i="3"/>
  <c r="C493" i="3"/>
  <c r="B493" i="3"/>
  <c r="A493" i="3"/>
  <c r="K492" i="3"/>
  <c r="L492" i="3" s="1"/>
  <c r="J492" i="3"/>
  <c r="I492" i="3"/>
  <c r="H492" i="3"/>
  <c r="G492" i="3"/>
  <c r="F492" i="3"/>
  <c r="E492" i="3"/>
  <c r="D492" i="3"/>
  <c r="C492" i="3"/>
  <c r="B492" i="3"/>
  <c r="A492" i="3"/>
  <c r="K491" i="3"/>
  <c r="L491" i="3" s="1"/>
  <c r="J491" i="3"/>
  <c r="I491" i="3"/>
  <c r="H491" i="3"/>
  <c r="G491" i="3"/>
  <c r="F491" i="3"/>
  <c r="E491" i="3"/>
  <c r="D491" i="3"/>
  <c r="C491" i="3"/>
  <c r="B491" i="3"/>
  <c r="A491" i="3"/>
  <c r="K490" i="3"/>
  <c r="L490" i="3" s="1"/>
  <c r="J490" i="3"/>
  <c r="I490" i="3"/>
  <c r="H490" i="3"/>
  <c r="G490" i="3"/>
  <c r="F490" i="3"/>
  <c r="E490" i="3"/>
  <c r="D490" i="3"/>
  <c r="C490" i="3"/>
  <c r="B490" i="3"/>
  <c r="A490" i="3"/>
  <c r="K489" i="3"/>
  <c r="L489" i="3" s="1"/>
  <c r="J489" i="3"/>
  <c r="I489" i="3"/>
  <c r="H489" i="3"/>
  <c r="G489" i="3"/>
  <c r="F489" i="3"/>
  <c r="E489" i="3"/>
  <c r="D489" i="3"/>
  <c r="C489" i="3"/>
  <c r="B489" i="3"/>
  <c r="A489" i="3"/>
  <c r="L488" i="3"/>
  <c r="K488" i="3"/>
  <c r="J488" i="3"/>
  <c r="I488" i="3"/>
  <c r="H488" i="3"/>
  <c r="G488" i="3"/>
  <c r="F488" i="3"/>
  <c r="E488" i="3"/>
  <c r="D488" i="3"/>
  <c r="C488" i="3"/>
  <c r="B488" i="3"/>
  <c r="A488" i="3"/>
  <c r="K487" i="3"/>
  <c r="L487" i="3" s="1"/>
  <c r="J487" i="3"/>
  <c r="I487" i="3"/>
  <c r="H487" i="3"/>
  <c r="G487" i="3"/>
  <c r="F487" i="3"/>
  <c r="E487" i="3"/>
  <c r="D487" i="3"/>
  <c r="C487" i="3"/>
  <c r="B487" i="3"/>
  <c r="A487" i="3"/>
  <c r="K486" i="3"/>
  <c r="L486" i="3" s="1"/>
  <c r="J486" i="3"/>
  <c r="I486" i="3"/>
  <c r="H486" i="3"/>
  <c r="G486" i="3"/>
  <c r="F486" i="3"/>
  <c r="E486" i="3"/>
  <c r="D486" i="3"/>
  <c r="C486" i="3"/>
  <c r="B486" i="3"/>
  <c r="A486" i="3"/>
  <c r="K485" i="3"/>
  <c r="L485" i="3" s="1"/>
  <c r="J485" i="3"/>
  <c r="I485" i="3"/>
  <c r="H485" i="3"/>
  <c r="G485" i="3"/>
  <c r="F485" i="3"/>
  <c r="E485" i="3"/>
  <c r="D485" i="3"/>
  <c r="C485" i="3"/>
  <c r="B485" i="3"/>
  <c r="A485" i="3"/>
  <c r="K484" i="3"/>
  <c r="L484" i="3" s="1"/>
  <c r="J484" i="3"/>
  <c r="I484" i="3"/>
  <c r="H484" i="3"/>
  <c r="G484" i="3"/>
  <c r="F484" i="3"/>
  <c r="E484" i="3"/>
  <c r="D484" i="3"/>
  <c r="C484" i="3"/>
  <c r="B484" i="3"/>
  <c r="A484" i="3"/>
  <c r="K483" i="3"/>
  <c r="L483" i="3" s="1"/>
  <c r="J483" i="3"/>
  <c r="I483" i="3"/>
  <c r="H483" i="3"/>
  <c r="G483" i="3"/>
  <c r="F483" i="3"/>
  <c r="E483" i="3"/>
  <c r="D483" i="3"/>
  <c r="C483" i="3"/>
  <c r="B483" i="3"/>
  <c r="A483" i="3"/>
  <c r="L482" i="3"/>
  <c r="K482" i="3"/>
  <c r="J482" i="3"/>
  <c r="I482" i="3"/>
  <c r="H482" i="3"/>
  <c r="G482" i="3"/>
  <c r="F482" i="3"/>
  <c r="E482" i="3"/>
  <c r="D482" i="3"/>
  <c r="C482" i="3"/>
  <c r="B482" i="3"/>
  <c r="A482" i="3"/>
  <c r="K481" i="3"/>
  <c r="L481" i="3" s="1"/>
  <c r="J481" i="3"/>
  <c r="I481" i="3"/>
  <c r="H481" i="3"/>
  <c r="G481" i="3"/>
  <c r="F481" i="3"/>
  <c r="E481" i="3"/>
  <c r="D481" i="3"/>
  <c r="C481" i="3"/>
  <c r="B481" i="3"/>
  <c r="A481" i="3"/>
  <c r="L480" i="3"/>
  <c r="K480" i="3"/>
  <c r="J480" i="3"/>
  <c r="I480" i="3"/>
  <c r="H480" i="3"/>
  <c r="G480" i="3"/>
  <c r="F480" i="3"/>
  <c r="E480" i="3"/>
  <c r="D480" i="3"/>
  <c r="C480" i="3"/>
  <c r="B480" i="3"/>
  <c r="A480" i="3"/>
  <c r="K479" i="3"/>
  <c r="L479" i="3" s="1"/>
  <c r="J479" i="3"/>
  <c r="I479" i="3"/>
  <c r="H479" i="3"/>
  <c r="G479" i="3"/>
  <c r="F479" i="3"/>
  <c r="E479" i="3"/>
  <c r="D479" i="3"/>
  <c r="C479" i="3"/>
  <c r="B479" i="3"/>
  <c r="A479" i="3"/>
  <c r="L478" i="3"/>
  <c r="K478" i="3"/>
  <c r="J478" i="3"/>
  <c r="I478" i="3"/>
  <c r="H478" i="3"/>
  <c r="G478" i="3"/>
  <c r="F478" i="3"/>
  <c r="E478" i="3"/>
  <c r="D478" i="3"/>
  <c r="C478" i="3"/>
  <c r="B478" i="3"/>
  <c r="A478" i="3"/>
  <c r="K477" i="3"/>
  <c r="J477" i="3"/>
  <c r="I477" i="3"/>
  <c r="H477" i="3"/>
  <c r="G477" i="3"/>
  <c r="F477" i="3"/>
  <c r="E477" i="3"/>
  <c r="D477" i="3"/>
  <c r="C477" i="3"/>
  <c r="B477" i="3"/>
  <c r="A477" i="3"/>
  <c r="K476" i="3"/>
  <c r="L476" i="3" s="1"/>
  <c r="J476" i="3"/>
  <c r="I476" i="3"/>
  <c r="H476" i="3"/>
  <c r="G476" i="3"/>
  <c r="F476" i="3"/>
  <c r="E476" i="3"/>
  <c r="D476" i="3"/>
  <c r="C476" i="3"/>
  <c r="B476" i="3"/>
  <c r="A476" i="3"/>
  <c r="K475" i="3"/>
  <c r="L475" i="3" s="1"/>
  <c r="J475" i="3"/>
  <c r="I475" i="3"/>
  <c r="H475" i="3"/>
  <c r="G475" i="3"/>
  <c r="F475" i="3"/>
  <c r="E475" i="3"/>
  <c r="D475" i="3"/>
  <c r="C475" i="3"/>
  <c r="B475" i="3"/>
  <c r="A475" i="3"/>
  <c r="K474" i="3"/>
  <c r="L474" i="3" s="1"/>
  <c r="J474" i="3"/>
  <c r="I474" i="3"/>
  <c r="H474" i="3"/>
  <c r="G474" i="3"/>
  <c r="F474" i="3"/>
  <c r="E474" i="3"/>
  <c r="D474" i="3"/>
  <c r="C474" i="3"/>
  <c r="B474" i="3"/>
  <c r="A474" i="3"/>
  <c r="K473" i="3"/>
  <c r="L473" i="3" s="1"/>
  <c r="J473" i="3"/>
  <c r="I473" i="3"/>
  <c r="H473" i="3"/>
  <c r="G473" i="3"/>
  <c r="F473" i="3"/>
  <c r="E473" i="3"/>
  <c r="D473" i="3"/>
  <c r="C473" i="3"/>
  <c r="B473" i="3"/>
  <c r="A473" i="3"/>
  <c r="L472" i="3"/>
  <c r="K472" i="3"/>
  <c r="J472" i="3"/>
  <c r="I472" i="3"/>
  <c r="H472" i="3"/>
  <c r="G472" i="3"/>
  <c r="F472" i="3"/>
  <c r="E472" i="3"/>
  <c r="D472" i="3"/>
  <c r="C472" i="3"/>
  <c r="B472" i="3"/>
  <c r="A472" i="3"/>
  <c r="K471" i="3"/>
  <c r="L471" i="3" s="1"/>
  <c r="J471" i="3"/>
  <c r="I471" i="3"/>
  <c r="H471" i="3"/>
  <c r="G471" i="3"/>
  <c r="F471" i="3"/>
  <c r="E471" i="3"/>
  <c r="D471" i="3"/>
  <c r="C471" i="3"/>
  <c r="B471" i="3"/>
  <c r="A471" i="3"/>
  <c r="K470" i="3"/>
  <c r="L470" i="3" s="1"/>
  <c r="J470" i="3"/>
  <c r="I470" i="3"/>
  <c r="H470" i="3"/>
  <c r="G470" i="3"/>
  <c r="F470" i="3"/>
  <c r="E470" i="3"/>
  <c r="D470" i="3"/>
  <c r="C470" i="3"/>
  <c r="B470" i="3"/>
  <c r="A470" i="3"/>
  <c r="K469" i="3"/>
  <c r="L469" i="3" s="1"/>
  <c r="J469" i="3"/>
  <c r="I469" i="3"/>
  <c r="H469" i="3"/>
  <c r="G469" i="3"/>
  <c r="F469" i="3"/>
  <c r="E469" i="3"/>
  <c r="D469" i="3"/>
  <c r="C469" i="3"/>
  <c r="B469" i="3"/>
  <c r="A469" i="3"/>
  <c r="K468" i="3"/>
  <c r="L468" i="3" s="1"/>
  <c r="J468" i="3"/>
  <c r="I468" i="3"/>
  <c r="H468" i="3"/>
  <c r="G468" i="3"/>
  <c r="F468" i="3"/>
  <c r="E468" i="3"/>
  <c r="D468" i="3"/>
  <c r="C468" i="3"/>
  <c r="B468" i="3"/>
  <c r="A468" i="3"/>
  <c r="K467" i="3"/>
  <c r="L467" i="3" s="1"/>
  <c r="J467" i="3"/>
  <c r="I467" i="3"/>
  <c r="H467" i="3"/>
  <c r="G467" i="3"/>
  <c r="F467" i="3"/>
  <c r="E467" i="3"/>
  <c r="D467" i="3"/>
  <c r="C467" i="3"/>
  <c r="B467" i="3"/>
  <c r="A467" i="3"/>
  <c r="L466" i="3"/>
  <c r="K466" i="3"/>
  <c r="J466" i="3"/>
  <c r="I466" i="3"/>
  <c r="H466" i="3"/>
  <c r="G466" i="3"/>
  <c r="F466" i="3"/>
  <c r="E466" i="3"/>
  <c r="D466" i="3"/>
  <c r="C466" i="3"/>
  <c r="B466" i="3"/>
  <c r="A466" i="3"/>
  <c r="K465" i="3"/>
  <c r="L465" i="3" s="1"/>
  <c r="J465" i="3"/>
  <c r="I465" i="3"/>
  <c r="H465" i="3"/>
  <c r="G465" i="3"/>
  <c r="F465" i="3"/>
  <c r="E465" i="3"/>
  <c r="D465" i="3"/>
  <c r="C465" i="3"/>
  <c r="B465" i="3"/>
  <c r="A465" i="3"/>
  <c r="L464" i="3"/>
  <c r="K464" i="3"/>
  <c r="J464" i="3"/>
  <c r="I464" i="3"/>
  <c r="H464" i="3"/>
  <c r="G464" i="3"/>
  <c r="F464" i="3"/>
  <c r="E464" i="3"/>
  <c r="D464" i="3"/>
  <c r="C464" i="3"/>
  <c r="B464" i="3"/>
  <c r="A464" i="3"/>
  <c r="K463" i="3"/>
  <c r="L463" i="3" s="1"/>
  <c r="J463" i="3"/>
  <c r="I463" i="3"/>
  <c r="H463" i="3"/>
  <c r="G463" i="3"/>
  <c r="F463" i="3"/>
  <c r="E463" i="3"/>
  <c r="D463" i="3"/>
  <c r="C463" i="3"/>
  <c r="B463" i="3"/>
  <c r="A463" i="3"/>
  <c r="L462" i="3"/>
  <c r="K462" i="3"/>
  <c r="J462" i="3"/>
  <c r="I462" i="3"/>
  <c r="H462" i="3"/>
  <c r="G462" i="3"/>
  <c r="F462" i="3"/>
  <c r="E462" i="3"/>
  <c r="D462" i="3"/>
  <c r="C462" i="3"/>
  <c r="B462" i="3"/>
  <c r="A462" i="3"/>
  <c r="K461" i="3"/>
  <c r="L461" i="3" s="1"/>
  <c r="J461" i="3"/>
  <c r="I461" i="3"/>
  <c r="H461" i="3"/>
  <c r="G461" i="3"/>
  <c r="F461" i="3"/>
  <c r="E461" i="3"/>
  <c r="D461" i="3"/>
  <c r="C461" i="3"/>
  <c r="B461" i="3"/>
  <c r="A461" i="3"/>
  <c r="K460" i="3"/>
  <c r="L460" i="3" s="1"/>
  <c r="J460" i="3"/>
  <c r="I460" i="3"/>
  <c r="H460" i="3"/>
  <c r="G460" i="3"/>
  <c r="F460" i="3"/>
  <c r="E460" i="3"/>
  <c r="D460" i="3"/>
  <c r="C460" i="3"/>
  <c r="B460" i="3"/>
  <c r="A460" i="3"/>
  <c r="K459" i="3"/>
  <c r="L459" i="3" s="1"/>
  <c r="J459" i="3"/>
  <c r="I459" i="3"/>
  <c r="H459" i="3"/>
  <c r="G459" i="3"/>
  <c r="F459" i="3"/>
  <c r="E459" i="3"/>
  <c r="D459" i="3"/>
  <c r="C459" i="3"/>
  <c r="B459" i="3"/>
  <c r="A459" i="3"/>
  <c r="K458" i="3"/>
  <c r="L458" i="3" s="1"/>
  <c r="J458" i="3"/>
  <c r="I458" i="3"/>
  <c r="H458" i="3"/>
  <c r="G458" i="3"/>
  <c r="F458" i="3"/>
  <c r="E458" i="3"/>
  <c r="D458" i="3"/>
  <c r="C458" i="3"/>
  <c r="B458" i="3"/>
  <c r="A458" i="3"/>
  <c r="K457" i="3"/>
  <c r="L457" i="3" s="1"/>
  <c r="J457" i="3"/>
  <c r="I457" i="3"/>
  <c r="H457" i="3"/>
  <c r="G457" i="3"/>
  <c r="F457" i="3"/>
  <c r="E457" i="3"/>
  <c r="D457" i="3"/>
  <c r="C457" i="3"/>
  <c r="B457" i="3"/>
  <c r="A457" i="3"/>
  <c r="L456" i="3"/>
  <c r="K456" i="3"/>
  <c r="J456" i="3"/>
  <c r="I456" i="3"/>
  <c r="H456" i="3"/>
  <c r="G456" i="3"/>
  <c r="F456" i="3"/>
  <c r="E456" i="3"/>
  <c r="D456" i="3"/>
  <c r="C456" i="3"/>
  <c r="B456" i="3"/>
  <c r="A456" i="3"/>
  <c r="K455" i="3"/>
  <c r="L455" i="3" s="1"/>
  <c r="J455" i="3"/>
  <c r="I455" i="3"/>
  <c r="H455" i="3"/>
  <c r="G455" i="3"/>
  <c r="F455" i="3"/>
  <c r="E455" i="3"/>
  <c r="D455" i="3"/>
  <c r="C455" i="3"/>
  <c r="B455" i="3"/>
  <c r="A455" i="3"/>
  <c r="K454" i="3"/>
  <c r="L454" i="3" s="1"/>
  <c r="J454" i="3"/>
  <c r="I454" i="3"/>
  <c r="H454" i="3"/>
  <c r="G454" i="3"/>
  <c r="F454" i="3"/>
  <c r="E454" i="3"/>
  <c r="D454" i="3"/>
  <c r="C454" i="3"/>
  <c r="B454" i="3"/>
  <c r="A454" i="3"/>
  <c r="K453" i="3"/>
  <c r="L453" i="3" s="1"/>
  <c r="J453" i="3"/>
  <c r="I453" i="3"/>
  <c r="H453" i="3"/>
  <c r="G453" i="3"/>
  <c r="F453" i="3"/>
  <c r="E453" i="3"/>
  <c r="D453" i="3"/>
  <c r="C453" i="3"/>
  <c r="B453" i="3"/>
  <c r="A453" i="3"/>
  <c r="K452" i="3"/>
  <c r="L452" i="3" s="1"/>
  <c r="J452" i="3"/>
  <c r="I452" i="3"/>
  <c r="H452" i="3"/>
  <c r="G452" i="3"/>
  <c r="F452" i="3"/>
  <c r="E452" i="3"/>
  <c r="D452" i="3"/>
  <c r="C452" i="3"/>
  <c r="B452" i="3"/>
  <c r="A452" i="3"/>
  <c r="K451" i="3"/>
  <c r="L451" i="3" s="1"/>
  <c r="J451" i="3"/>
  <c r="I451" i="3"/>
  <c r="H451" i="3"/>
  <c r="G451" i="3"/>
  <c r="F451" i="3"/>
  <c r="E451" i="3"/>
  <c r="D451" i="3"/>
  <c r="C451" i="3"/>
  <c r="B451" i="3"/>
  <c r="A451" i="3"/>
  <c r="L450" i="3"/>
  <c r="K450" i="3"/>
  <c r="J450" i="3"/>
  <c r="I450" i="3"/>
  <c r="H450" i="3"/>
  <c r="G450" i="3"/>
  <c r="F450" i="3"/>
  <c r="E450" i="3"/>
  <c r="D450" i="3"/>
  <c r="C450" i="3"/>
  <c r="B450" i="3"/>
  <c r="A450" i="3"/>
  <c r="K449" i="3"/>
  <c r="L449" i="3" s="1"/>
  <c r="J449" i="3"/>
  <c r="I449" i="3"/>
  <c r="H449" i="3"/>
  <c r="G449" i="3"/>
  <c r="F449" i="3"/>
  <c r="E449" i="3"/>
  <c r="D449" i="3"/>
  <c r="C449" i="3"/>
  <c r="B449" i="3"/>
  <c r="A449" i="3"/>
  <c r="L448" i="3"/>
  <c r="K448" i="3"/>
  <c r="J448" i="3"/>
  <c r="I448" i="3"/>
  <c r="H448" i="3"/>
  <c r="G448" i="3"/>
  <c r="F448" i="3"/>
  <c r="E448" i="3"/>
  <c r="D448" i="3"/>
  <c r="C448" i="3"/>
  <c r="B448" i="3"/>
  <c r="A448" i="3"/>
  <c r="K447" i="3"/>
  <c r="L447" i="3" s="1"/>
  <c r="J447" i="3"/>
  <c r="I447" i="3"/>
  <c r="H447" i="3"/>
  <c r="G447" i="3"/>
  <c r="F447" i="3"/>
  <c r="E447" i="3"/>
  <c r="D447" i="3"/>
  <c r="C447" i="3"/>
  <c r="B447" i="3"/>
  <c r="A447" i="3"/>
  <c r="L446" i="3"/>
  <c r="K446" i="3"/>
  <c r="J446" i="3"/>
  <c r="I446" i="3"/>
  <c r="H446" i="3"/>
  <c r="G446" i="3"/>
  <c r="F446" i="3"/>
  <c r="E446" i="3"/>
  <c r="D446" i="3"/>
  <c r="C446" i="3"/>
  <c r="B446" i="3"/>
  <c r="A446" i="3"/>
  <c r="K445" i="3"/>
  <c r="L445" i="3" s="1"/>
  <c r="J445" i="3"/>
  <c r="I445" i="3"/>
  <c r="H445" i="3"/>
  <c r="G445" i="3"/>
  <c r="F445" i="3"/>
  <c r="E445" i="3"/>
  <c r="D445" i="3"/>
  <c r="C445" i="3"/>
  <c r="B445" i="3"/>
  <c r="A445" i="3"/>
  <c r="K444" i="3"/>
  <c r="L444" i="3" s="1"/>
  <c r="J444" i="3"/>
  <c r="I444" i="3"/>
  <c r="H444" i="3"/>
  <c r="G444" i="3"/>
  <c r="F444" i="3"/>
  <c r="E444" i="3"/>
  <c r="D444" i="3"/>
  <c r="C444" i="3"/>
  <c r="B444" i="3"/>
  <c r="A444" i="3"/>
  <c r="K443" i="3"/>
  <c r="L443" i="3" s="1"/>
  <c r="J443" i="3"/>
  <c r="I443" i="3"/>
  <c r="H443" i="3"/>
  <c r="G443" i="3"/>
  <c r="F443" i="3"/>
  <c r="E443" i="3"/>
  <c r="D443" i="3"/>
  <c r="C443" i="3"/>
  <c r="B443" i="3"/>
  <c r="A443" i="3"/>
  <c r="K442" i="3"/>
  <c r="L442" i="3" s="1"/>
  <c r="J442" i="3"/>
  <c r="I442" i="3"/>
  <c r="H442" i="3"/>
  <c r="G442" i="3"/>
  <c r="F442" i="3"/>
  <c r="E442" i="3"/>
  <c r="D442" i="3"/>
  <c r="C442" i="3"/>
  <c r="B442" i="3"/>
  <c r="A442" i="3"/>
  <c r="K441" i="3"/>
  <c r="L441" i="3" s="1"/>
  <c r="J441" i="3"/>
  <c r="I441" i="3"/>
  <c r="H441" i="3"/>
  <c r="G441" i="3"/>
  <c r="F441" i="3"/>
  <c r="E441" i="3"/>
  <c r="D441" i="3"/>
  <c r="C441" i="3"/>
  <c r="B441" i="3"/>
  <c r="A441" i="3"/>
  <c r="K440" i="3"/>
  <c r="L440" i="3" s="1"/>
  <c r="J440" i="3"/>
  <c r="I440" i="3"/>
  <c r="H440" i="3"/>
  <c r="G440" i="3"/>
  <c r="F440" i="3"/>
  <c r="E440" i="3"/>
  <c r="D440" i="3"/>
  <c r="C440" i="3"/>
  <c r="B440" i="3"/>
  <c r="A440" i="3"/>
  <c r="K439" i="3"/>
  <c r="L439" i="3" s="1"/>
  <c r="J439" i="3"/>
  <c r="I439" i="3"/>
  <c r="H439" i="3"/>
  <c r="G439" i="3"/>
  <c r="F439" i="3"/>
  <c r="E439" i="3"/>
  <c r="D439" i="3"/>
  <c r="C439" i="3"/>
  <c r="B439" i="3"/>
  <c r="A439" i="3"/>
  <c r="K438" i="3"/>
  <c r="L438" i="3" s="1"/>
  <c r="J438" i="3"/>
  <c r="I438" i="3"/>
  <c r="H438" i="3"/>
  <c r="G438" i="3"/>
  <c r="F438" i="3"/>
  <c r="E438" i="3"/>
  <c r="D438" i="3"/>
  <c r="C438" i="3"/>
  <c r="B438" i="3"/>
  <c r="A438" i="3"/>
  <c r="K437" i="3"/>
  <c r="L437" i="3" s="1"/>
  <c r="J437" i="3"/>
  <c r="I437" i="3"/>
  <c r="H437" i="3"/>
  <c r="G437" i="3"/>
  <c r="F437" i="3"/>
  <c r="E437" i="3"/>
  <c r="D437" i="3"/>
  <c r="C437" i="3"/>
  <c r="B437" i="3"/>
  <c r="A437" i="3"/>
  <c r="K436" i="3"/>
  <c r="L436" i="3" s="1"/>
  <c r="J436" i="3"/>
  <c r="I436" i="3"/>
  <c r="H436" i="3"/>
  <c r="G436" i="3"/>
  <c r="F436" i="3"/>
  <c r="E436" i="3"/>
  <c r="D436" i="3"/>
  <c r="C436" i="3"/>
  <c r="B436" i="3"/>
  <c r="A436" i="3"/>
  <c r="K435" i="3"/>
  <c r="L435" i="3" s="1"/>
  <c r="J435" i="3"/>
  <c r="I435" i="3"/>
  <c r="H435" i="3"/>
  <c r="G435" i="3"/>
  <c r="F435" i="3"/>
  <c r="E435" i="3"/>
  <c r="D435" i="3"/>
  <c r="C435" i="3"/>
  <c r="B435" i="3"/>
  <c r="A435" i="3"/>
  <c r="K434" i="3"/>
  <c r="L434" i="3" s="1"/>
  <c r="J434" i="3"/>
  <c r="I434" i="3"/>
  <c r="H434" i="3"/>
  <c r="G434" i="3"/>
  <c r="F434" i="3"/>
  <c r="E434" i="3"/>
  <c r="D434" i="3"/>
  <c r="C434" i="3"/>
  <c r="B434" i="3"/>
  <c r="A434" i="3"/>
  <c r="K433" i="3"/>
  <c r="L433" i="3" s="1"/>
  <c r="J433" i="3"/>
  <c r="I433" i="3"/>
  <c r="H433" i="3"/>
  <c r="G433" i="3"/>
  <c r="F433" i="3"/>
  <c r="E433" i="3"/>
  <c r="D433" i="3"/>
  <c r="C433" i="3"/>
  <c r="B433" i="3"/>
  <c r="A433" i="3"/>
  <c r="K432" i="3"/>
  <c r="L432" i="3" s="1"/>
  <c r="J432" i="3"/>
  <c r="I432" i="3"/>
  <c r="H432" i="3"/>
  <c r="G432" i="3"/>
  <c r="F432" i="3"/>
  <c r="E432" i="3"/>
  <c r="D432" i="3"/>
  <c r="C432" i="3"/>
  <c r="B432" i="3"/>
  <c r="A432" i="3"/>
  <c r="K431" i="3"/>
  <c r="J431" i="3"/>
  <c r="I431" i="3"/>
  <c r="H431" i="3"/>
  <c r="G431" i="3"/>
  <c r="F431" i="3"/>
  <c r="E431" i="3"/>
  <c r="D431" i="3"/>
  <c r="C431" i="3"/>
  <c r="B431" i="3"/>
  <c r="A431" i="3"/>
  <c r="K430" i="3"/>
  <c r="L430" i="3" s="1"/>
  <c r="J430" i="3"/>
  <c r="I430" i="3"/>
  <c r="H430" i="3"/>
  <c r="G430" i="3"/>
  <c r="F430" i="3"/>
  <c r="E430" i="3"/>
  <c r="D430" i="3"/>
  <c r="C430" i="3"/>
  <c r="B430" i="3"/>
  <c r="A430" i="3"/>
  <c r="K429" i="3"/>
  <c r="L429" i="3" s="1"/>
  <c r="J429" i="3"/>
  <c r="I429" i="3"/>
  <c r="H429" i="3"/>
  <c r="G429" i="3"/>
  <c r="F429" i="3"/>
  <c r="E429" i="3"/>
  <c r="D429" i="3"/>
  <c r="C429" i="3"/>
  <c r="B429" i="3"/>
  <c r="A429" i="3"/>
  <c r="K428" i="3"/>
  <c r="L428" i="3" s="1"/>
  <c r="J428" i="3"/>
  <c r="I428" i="3"/>
  <c r="H428" i="3"/>
  <c r="G428" i="3"/>
  <c r="F428" i="3"/>
  <c r="E428" i="3"/>
  <c r="D428" i="3"/>
  <c r="C428" i="3"/>
  <c r="B428" i="3"/>
  <c r="A428" i="3"/>
  <c r="K427" i="3"/>
  <c r="L427" i="3" s="1"/>
  <c r="J427" i="3"/>
  <c r="I427" i="3"/>
  <c r="H427" i="3"/>
  <c r="G427" i="3"/>
  <c r="F427" i="3"/>
  <c r="E427" i="3"/>
  <c r="D427" i="3"/>
  <c r="C427" i="3"/>
  <c r="B427" i="3"/>
  <c r="A427" i="3"/>
  <c r="K426" i="3"/>
  <c r="L426" i="3" s="1"/>
  <c r="J426" i="3"/>
  <c r="I426" i="3"/>
  <c r="H426" i="3"/>
  <c r="G426" i="3"/>
  <c r="F426" i="3"/>
  <c r="E426" i="3"/>
  <c r="D426" i="3"/>
  <c r="C426" i="3"/>
  <c r="B426" i="3"/>
  <c r="A426" i="3"/>
  <c r="K425" i="3"/>
  <c r="L425" i="3" s="1"/>
  <c r="J425" i="3"/>
  <c r="I425" i="3"/>
  <c r="H425" i="3"/>
  <c r="G425" i="3"/>
  <c r="F425" i="3"/>
  <c r="E425" i="3"/>
  <c r="D425" i="3"/>
  <c r="C425" i="3"/>
  <c r="B425" i="3"/>
  <c r="A425" i="3"/>
  <c r="K424" i="3"/>
  <c r="L424" i="3" s="1"/>
  <c r="J424" i="3"/>
  <c r="I424" i="3"/>
  <c r="H424" i="3"/>
  <c r="G424" i="3"/>
  <c r="F424" i="3"/>
  <c r="E424" i="3"/>
  <c r="D424" i="3"/>
  <c r="C424" i="3"/>
  <c r="B424" i="3"/>
  <c r="A424" i="3"/>
  <c r="K423" i="3"/>
  <c r="L423" i="3" s="1"/>
  <c r="J423" i="3"/>
  <c r="I423" i="3"/>
  <c r="H423" i="3"/>
  <c r="G423" i="3"/>
  <c r="F423" i="3"/>
  <c r="E423" i="3"/>
  <c r="D423" i="3"/>
  <c r="C423" i="3"/>
  <c r="B423" i="3"/>
  <c r="A423" i="3"/>
  <c r="K422" i="3"/>
  <c r="L422" i="3" s="1"/>
  <c r="J422" i="3"/>
  <c r="I422" i="3"/>
  <c r="H422" i="3"/>
  <c r="G422" i="3"/>
  <c r="F422" i="3"/>
  <c r="E422" i="3"/>
  <c r="D422" i="3"/>
  <c r="C422" i="3"/>
  <c r="B422" i="3"/>
  <c r="A422" i="3"/>
  <c r="K421" i="3"/>
  <c r="L421" i="3" s="1"/>
  <c r="J421" i="3"/>
  <c r="I421" i="3"/>
  <c r="H421" i="3"/>
  <c r="G421" i="3"/>
  <c r="F421" i="3"/>
  <c r="E421" i="3"/>
  <c r="D421" i="3"/>
  <c r="C421" i="3"/>
  <c r="B421" i="3"/>
  <c r="A421" i="3"/>
  <c r="K420" i="3"/>
  <c r="L420" i="3" s="1"/>
  <c r="J420" i="3"/>
  <c r="I420" i="3"/>
  <c r="H420" i="3"/>
  <c r="G420" i="3"/>
  <c r="F420" i="3"/>
  <c r="E420" i="3"/>
  <c r="D420" i="3"/>
  <c r="C420" i="3"/>
  <c r="B420" i="3"/>
  <c r="A420" i="3"/>
  <c r="K419" i="3"/>
  <c r="L419" i="3" s="1"/>
  <c r="J419" i="3"/>
  <c r="I419" i="3"/>
  <c r="H419" i="3"/>
  <c r="G419" i="3"/>
  <c r="F419" i="3"/>
  <c r="E419" i="3"/>
  <c r="D419" i="3"/>
  <c r="C419" i="3"/>
  <c r="B419" i="3"/>
  <c r="A419" i="3"/>
  <c r="K418" i="3"/>
  <c r="L418" i="3" s="1"/>
  <c r="J418" i="3"/>
  <c r="I418" i="3"/>
  <c r="H418" i="3"/>
  <c r="G418" i="3"/>
  <c r="F418" i="3"/>
  <c r="E418" i="3"/>
  <c r="D418" i="3"/>
  <c r="C418" i="3"/>
  <c r="B418" i="3"/>
  <c r="A418" i="3"/>
  <c r="K417" i="3"/>
  <c r="L417" i="3" s="1"/>
  <c r="J417" i="3"/>
  <c r="I417" i="3"/>
  <c r="H417" i="3"/>
  <c r="G417" i="3"/>
  <c r="F417" i="3"/>
  <c r="E417" i="3"/>
  <c r="D417" i="3"/>
  <c r="C417" i="3"/>
  <c r="B417" i="3"/>
  <c r="A417" i="3"/>
  <c r="K416" i="3"/>
  <c r="L416" i="3" s="1"/>
  <c r="J416" i="3"/>
  <c r="I416" i="3"/>
  <c r="H416" i="3"/>
  <c r="G416" i="3"/>
  <c r="F416" i="3"/>
  <c r="E416" i="3"/>
  <c r="D416" i="3"/>
  <c r="C416" i="3"/>
  <c r="B416" i="3"/>
  <c r="A416" i="3"/>
  <c r="K415" i="3"/>
  <c r="L415" i="3" s="1"/>
  <c r="J415" i="3"/>
  <c r="I415" i="3"/>
  <c r="H415" i="3"/>
  <c r="G415" i="3"/>
  <c r="F415" i="3"/>
  <c r="E415" i="3"/>
  <c r="D415" i="3"/>
  <c r="C415" i="3"/>
  <c r="B415" i="3"/>
  <c r="A415" i="3"/>
  <c r="K414" i="3"/>
  <c r="L414" i="3" s="1"/>
  <c r="J414" i="3"/>
  <c r="I414" i="3"/>
  <c r="H414" i="3"/>
  <c r="G414" i="3"/>
  <c r="F414" i="3"/>
  <c r="E414" i="3"/>
  <c r="D414" i="3"/>
  <c r="C414" i="3"/>
  <c r="B414" i="3"/>
  <c r="A414" i="3"/>
  <c r="K413" i="3"/>
  <c r="L413" i="3" s="1"/>
  <c r="J413" i="3"/>
  <c r="I413" i="3"/>
  <c r="H413" i="3"/>
  <c r="G413" i="3"/>
  <c r="F413" i="3"/>
  <c r="E413" i="3"/>
  <c r="D413" i="3"/>
  <c r="C413" i="3"/>
  <c r="B413" i="3"/>
  <c r="A413" i="3"/>
  <c r="K412" i="3"/>
  <c r="L412" i="3" s="1"/>
  <c r="J412" i="3"/>
  <c r="I412" i="3"/>
  <c r="H412" i="3"/>
  <c r="G412" i="3"/>
  <c r="F412" i="3"/>
  <c r="E412" i="3"/>
  <c r="D412" i="3"/>
  <c r="C412" i="3"/>
  <c r="B412" i="3"/>
  <c r="A412" i="3"/>
  <c r="K411" i="3"/>
  <c r="L411" i="3" s="1"/>
  <c r="J411" i="3"/>
  <c r="I411" i="3"/>
  <c r="H411" i="3"/>
  <c r="G411" i="3"/>
  <c r="F411" i="3"/>
  <c r="E411" i="3"/>
  <c r="D411" i="3"/>
  <c r="C411" i="3"/>
  <c r="B411" i="3"/>
  <c r="A411" i="3"/>
  <c r="K410" i="3"/>
  <c r="L410" i="3" s="1"/>
  <c r="J410" i="3"/>
  <c r="I410" i="3"/>
  <c r="H410" i="3"/>
  <c r="G410" i="3"/>
  <c r="F410" i="3"/>
  <c r="E410" i="3"/>
  <c r="D410" i="3"/>
  <c r="C410" i="3"/>
  <c r="B410" i="3"/>
  <c r="A410" i="3"/>
  <c r="K409" i="3"/>
  <c r="L409" i="3" s="1"/>
  <c r="J409" i="3"/>
  <c r="I409" i="3"/>
  <c r="H409" i="3"/>
  <c r="G409" i="3"/>
  <c r="F409" i="3"/>
  <c r="E409" i="3"/>
  <c r="D409" i="3"/>
  <c r="C409" i="3"/>
  <c r="B409" i="3"/>
  <c r="A409" i="3"/>
  <c r="K408" i="3"/>
  <c r="L408" i="3" s="1"/>
  <c r="J408" i="3"/>
  <c r="I408" i="3"/>
  <c r="H408" i="3"/>
  <c r="G408" i="3"/>
  <c r="F408" i="3"/>
  <c r="E408" i="3"/>
  <c r="D408" i="3"/>
  <c r="C408" i="3"/>
  <c r="B408" i="3"/>
  <c r="A408" i="3"/>
  <c r="K407" i="3"/>
  <c r="L407" i="3" s="1"/>
  <c r="J407" i="3"/>
  <c r="I407" i="3"/>
  <c r="H407" i="3"/>
  <c r="G407" i="3"/>
  <c r="F407" i="3"/>
  <c r="E407" i="3"/>
  <c r="D407" i="3"/>
  <c r="C407" i="3"/>
  <c r="B407" i="3"/>
  <c r="A407" i="3"/>
  <c r="K406" i="3"/>
  <c r="L406" i="3" s="1"/>
  <c r="J406" i="3"/>
  <c r="I406" i="3"/>
  <c r="H406" i="3"/>
  <c r="G406" i="3"/>
  <c r="F406" i="3"/>
  <c r="E406" i="3"/>
  <c r="D406" i="3"/>
  <c r="C406" i="3"/>
  <c r="B406" i="3"/>
  <c r="A406" i="3"/>
  <c r="K405" i="3"/>
  <c r="L405" i="3" s="1"/>
  <c r="J405" i="3"/>
  <c r="I405" i="3"/>
  <c r="H405" i="3"/>
  <c r="G405" i="3"/>
  <c r="F405" i="3"/>
  <c r="E405" i="3"/>
  <c r="D405" i="3"/>
  <c r="C405" i="3"/>
  <c r="B405" i="3"/>
  <c r="A405" i="3"/>
  <c r="K404" i="3"/>
  <c r="L404" i="3" s="1"/>
  <c r="J404" i="3"/>
  <c r="I404" i="3"/>
  <c r="H404" i="3"/>
  <c r="G404" i="3"/>
  <c r="F404" i="3"/>
  <c r="E404" i="3"/>
  <c r="D404" i="3"/>
  <c r="C404" i="3"/>
  <c r="B404" i="3"/>
  <c r="A404" i="3"/>
  <c r="K403" i="3"/>
  <c r="L403" i="3" s="1"/>
  <c r="J403" i="3"/>
  <c r="I403" i="3"/>
  <c r="H403" i="3"/>
  <c r="G403" i="3"/>
  <c r="F403" i="3"/>
  <c r="E403" i="3"/>
  <c r="D403" i="3"/>
  <c r="C403" i="3"/>
  <c r="B403" i="3"/>
  <c r="A403" i="3"/>
  <c r="K402" i="3"/>
  <c r="L402" i="3" s="1"/>
  <c r="J402" i="3"/>
  <c r="I402" i="3"/>
  <c r="H402" i="3"/>
  <c r="G402" i="3"/>
  <c r="F402" i="3"/>
  <c r="E402" i="3"/>
  <c r="D402" i="3"/>
  <c r="C402" i="3"/>
  <c r="B402" i="3"/>
  <c r="A402" i="3"/>
  <c r="K401" i="3"/>
  <c r="L401" i="3" s="1"/>
  <c r="J401" i="3"/>
  <c r="I401" i="3"/>
  <c r="H401" i="3"/>
  <c r="G401" i="3"/>
  <c r="F401" i="3"/>
  <c r="E401" i="3"/>
  <c r="D401" i="3"/>
  <c r="C401" i="3"/>
  <c r="B401" i="3"/>
  <c r="A401" i="3"/>
  <c r="K400" i="3"/>
  <c r="L400" i="3" s="1"/>
  <c r="J400" i="3"/>
  <c r="I400" i="3"/>
  <c r="H400" i="3"/>
  <c r="G400" i="3"/>
  <c r="F400" i="3"/>
  <c r="E400" i="3"/>
  <c r="D400" i="3"/>
  <c r="C400" i="3"/>
  <c r="B400" i="3"/>
  <c r="A400" i="3"/>
  <c r="K399" i="3"/>
  <c r="J399" i="3"/>
  <c r="I399" i="3"/>
  <c r="H399" i="3"/>
  <c r="G399" i="3"/>
  <c r="F399" i="3"/>
  <c r="E399" i="3"/>
  <c r="D399" i="3"/>
  <c r="C399" i="3"/>
  <c r="B399" i="3"/>
  <c r="A399" i="3"/>
  <c r="K398" i="3"/>
  <c r="L398" i="3" s="1"/>
  <c r="J398" i="3"/>
  <c r="I398" i="3"/>
  <c r="H398" i="3"/>
  <c r="G398" i="3"/>
  <c r="F398" i="3"/>
  <c r="E398" i="3"/>
  <c r="D398" i="3"/>
  <c r="C398" i="3"/>
  <c r="B398" i="3"/>
  <c r="A398" i="3"/>
  <c r="K397" i="3"/>
  <c r="L397" i="3" s="1"/>
  <c r="J397" i="3"/>
  <c r="I397" i="3"/>
  <c r="H397" i="3"/>
  <c r="G397" i="3"/>
  <c r="F397" i="3"/>
  <c r="E397" i="3"/>
  <c r="D397" i="3"/>
  <c r="C397" i="3"/>
  <c r="B397" i="3"/>
  <c r="A397" i="3"/>
  <c r="K396" i="3"/>
  <c r="L396" i="3" s="1"/>
  <c r="J396" i="3"/>
  <c r="I396" i="3"/>
  <c r="H396" i="3"/>
  <c r="G396" i="3"/>
  <c r="F396" i="3"/>
  <c r="E396" i="3"/>
  <c r="D396" i="3"/>
  <c r="C396" i="3"/>
  <c r="B396" i="3"/>
  <c r="A396" i="3"/>
  <c r="K395" i="3"/>
  <c r="J395" i="3"/>
  <c r="I395" i="3"/>
  <c r="H395" i="3"/>
  <c r="G395" i="3"/>
  <c r="F395" i="3"/>
  <c r="E395" i="3"/>
  <c r="D395" i="3"/>
  <c r="C395" i="3"/>
  <c r="B395" i="3"/>
  <c r="A395" i="3"/>
  <c r="K394" i="3"/>
  <c r="L394" i="3" s="1"/>
  <c r="J394" i="3"/>
  <c r="I394" i="3"/>
  <c r="H394" i="3"/>
  <c r="G394" i="3"/>
  <c r="F394" i="3"/>
  <c r="E394" i="3"/>
  <c r="D394" i="3"/>
  <c r="C394" i="3"/>
  <c r="B394" i="3"/>
  <c r="A394" i="3"/>
  <c r="K393" i="3"/>
  <c r="L393" i="3" s="1"/>
  <c r="J393" i="3"/>
  <c r="I393" i="3"/>
  <c r="H393" i="3"/>
  <c r="G393" i="3"/>
  <c r="F393" i="3"/>
  <c r="E393" i="3"/>
  <c r="D393" i="3"/>
  <c r="C393" i="3"/>
  <c r="B393" i="3"/>
  <c r="A393" i="3"/>
  <c r="K392" i="3"/>
  <c r="L392" i="3" s="1"/>
  <c r="J392" i="3"/>
  <c r="I392" i="3"/>
  <c r="H392" i="3"/>
  <c r="G392" i="3"/>
  <c r="F392" i="3"/>
  <c r="E392" i="3"/>
  <c r="D392" i="3"/>
  <c r="C392" i="3"/>
  <c r="B392" i="3"/>
  <c r="A392" i="3"/>
  <c r="K391" i="3"/>
  <c r="L391" i="3" s="1"/>
  <c r="J391" i="3"/>
  <c r="I391" i="3"/>
  <c r="H391" i="3"/>
  <c r="G391" i="3"/>
  <c r="F391" i="3"/>
  <c r="E391" i="3"/>
  <c r="D391" i="3"/>
  <c r="C391" i="3"/>
  <c r="B391" i="3"/>
  <c r="A391" i="3"/>
  <c r="K390" i="3"/>
  <c r="L390" i="3" s="1"/>
  <c r="J390" i="3"/>
  <c r="I390" i="3"/>
  <c r="H390" i="3"/>
  <c r="G390" i="3"/>
  <c r="F390" i="3"/>
  <c r="E390" i="3"/>
  <c r="D390" i="3"/>
  <c r="C390" i="3"/>
  <c r="B390" i="3"/>
  <c r="A390" i="3"/>
  <c r="K389" i="3"/>
  <c r="L389" i="3" s="1"/>
  <c r="J389" i="3"/>
  <c r="I389" i="3"/>
  <c r="H389" i="3"/>
  <c r="G389" i="3"/>
  <c r="F389" i="3"/>
  <c r="E389" i="3"/>
  <c r="D389" i="3"/>
  <c r="C389" i="3"/>
  <c r="B389" i="3"/>
  <c r="A389" i="3"/>
  <c r="K388" i="3"/>
  <c r="L388" i="3" s="1"/>
  <c r="J388" i="3"/>
  <c r="I388" i="3"/>
  <c r="H388" i="3"/>
  <c r="G388" i="3"/>
  <c r="F388" i="3"/>
  <c r="E388" i="3"/>
  <c r="D388" i="3"/>
  <c r="C388" i="3"/>
  <c r="B388" i="3"/>
  <c r="A388" i="3"/>
  <c r="K387" i="3"/>
  <c r="L387" i="3" s="1"/>
  <c r="J387" i="3"/>
  <c r="I387" i="3"/>
  <c r="H387" i="3"/>
  <c r="G387" i="3"/>
  <c r="F387" i="3"/>
  <c r="E387" i="3"/>
  <c r="D387" i="3"/>
  <c r="C387" i="3"/>
  <c r="B387" i="3"/>
  <c r="A387" i="3"/>
  <c r="K386" i="3"/>
  <c r="L386" i="3" s="1"/>
  <c r="J386" i="3"/>
  <c r="I386" i="3"/>
  <c r="H386" i="3"/>
  <c r="G386" i="3"/>
  <c r="F386" i="3"/>
  <c r="E386" i="3"/>
  <c r="D386" i="3"/>
  <c r="C386" i="3"/>
  <c r="B386" i="3"/>
  <c r="A386" i="3"/>
  <c r="K385" i="3"/>
  <c r="L385" i="3" s="1"/>
  <c r="J385" i="3"/>
  <c r="I385" i="3"/>
  <c r="H385" i="3"/>
  <c r="G385" i="3"/>
  <c r="F385" i="3"/>
  <c r="E385" i="3"/>
  <c r="D385" i="3"/>
  <c r="C385" i="3"/>
  <c r="B385" i="3"/>
  <c r="A385" i="3"/>
  <c r="K384" i="3"/>
  <c r="L384" i="3" s="1"/>
  <c r="J384" i="3"/>
  <c r="I384" i="3"/>
  <c r="H384" i="3"/>
  <c r="G384" i="3"/>
  <c r="F384" i="3"/>
  <c r="E384" i="3"/>
  <c r="D384" i="3"/>
  <c r="C384" i="3"/>
  <c r="B384" i="3"/>
  <c r="A384" i="3"/>
  <c r="K383" i="3"/>
  <c r="L383" i="3" s="1"/>
  <c r="J383" i="3"/>
  <c r="I383" i="3"/>
  <c r="H383" i="3"/>
  <c r="G383" i="3"/>
  <c r="F383" i="3"/>
  <c r="E383" i="3"/>
  <c r="D383" i="3"/>
  <c r="C383" i="3"/>
  <c r="B383" i="3"/>
  <c r="A383" i="3"/>
  <c r="K382" i="3"/>
  <c r="L382" i="3" s="1"/>
  <c r="J382" i="3"/>
  <c r="I382" i="3"/>
  <c r="H382" i="3"/>
  <c r="G382" i="3"/>
  <c r="F382" i="3"/>
  <c r="E382" i="3"/>
  <c r="D382" i="3"/>
  <c r="C382" i="3"/>
  <c r="B382" i="3"/>
  <c r="A382" i="3"/>
  <c r="K381" i="3"/>
  <c r="L381" i="3" s="1"/>
  <c r="J381" i="3"/>
  <c r="I381" i="3"/>
  <c r="H381" i="3"/>
  <c r="G381" i="3"/>
  <c r="F381" i="3"/>
  <c r="E381" i="3"/>
  <c r="D381" i="3"/>
  <c r="C381" i="3"/>
  <c r="B381" i="3"/>
  <c r="A381" i="3"/>
  <c r="K380" i="3"/>
  <c r="L380" i="3" s="1"/>
  <c r="J380" i="3"/>
  <c r="I380" i="3"/>
  <c r="H380" i="3"/>
  <c r="G380" i="3"/>
  <c r="F380" i="3"/>
  <c r="E380" i="3"/>
  <c r="D380" i="3"/>
  <c r="C380" i="3"/>
  <c r="B380" i="3"/>
  <c r="A380" i="3"/>
  <c r="K379" i="3"/>
  <c r="L379" i="3" s="1"/>
  <c r="J379" i="3"/>
  <c r="I379" i="3"/>
  <c r="H379" i="3"/>
  <c r="G379" i="3"/>
  <c r="F379" i="3"/>
  <c r="E379" i="3"/>
  <c r="D379" i="3"/>
  <c r="C379" i="3"/>
  <c r="B379" i="3"/>
  <c r="A379" i="3"/>
  <c r="K378" i="3"/>
  <c r="L378" i="3" s="1"/>
  <c r="J378" i="3"/>
  <c r="I378" i="3"/>
  <c r="H378" i="3"/>
  <c r="G378" i="3"/>
  <c r="F378" i="3"/>
  <c r="E378" i="3"/>
  <c r="D378" i="3"/>
  <c r="C378" i="3"/>
  <c r="B378" i="3"/>
  <c r="A378" i="3"/>
  <c r="K377" i="3"/>
  <c r="L377" i="3" s="1"/>
  <c r="J377" i="3"/>
  <c r="I377" i="3"/>
  <c r="H377" i="3"/>
  <c r="G377" i="3"/>
  <c r="F377" i="3"/>
  <c r="E377" i="3"/>
  <c r="D377" i="3"/>
  <c r="C377" i="3"/>
  <c r="B377" i="3"/>
  <c r="A377" i="3"/>
  <c r="K376" i="3"/>
  <c r="L376" i="3" s="1"/>
  <c r="J376" i="3"/>
  <c r="I376" i="3"/>
  <c r="H376" i="3"/>
  <c r="G376" i="3"/>
  <c r="F376" i="3"/>
  <c r="E376" i="3"/>
  <c r="D376" i="3"/>
  <c r="C376" i="3"/>
  <c r="B376" i="3"/>
  <c r="A376" i="3"/>
  <c r="K375" i="3"/>
  <c r="J375" i="3"/>
  <c r="I375" i="3"/>
  <c r="H375" i="3"/>
  <c r="G375" i="3"/>
  <c r="F375" i="3"/>
  <c r="E375" i="3"/>
  <c r="D375" i="3"/>
  <c r="C375" i="3"/>
  <c r="B375" i="3"/>
  <c r="A375" i="3"/>
  <c r="K374" i="3"/>
  <c r="L374" i="3" s="1"/>
  <c r="J374" i="3"/>
  <c r="I374" i="3"/>
  <c r="H374" i="3"/>
  <c r="G374" i="3"/>
  <c r="F374" i="3"/>
  <c r="E374" i="3"/>
  <c r="D374" i="3"/>
  <c r="C374" i="3"/>
  <c r="B374" i="3"/>
  <c r="A374" i="3"/>
  <c r="K373" i="3"/>
  <c r="L373" i="3" s="1"/>
  <c r="J373" i="3"/>
  <c r="I373" i="3"/>
  <c r="H373" i="3"/>
  <c r="G373" i="3"/>
  <c r="F373" i="3"/>
  <c r="E373" i="3"/>
  <c r="D373" i="3"/>
  <c r="C373" i="3"/>
  <c r="B373" i="3"/>
  <c r="A373" i="3"/>
  <c r="K372" i="3"/>
  <c r="L372" i="3" s="1"/>
  <c r="J372" i="3"/>
  <c r="I372" i="3"/>
  <c r="H372" i="3"/>
  <c r="G372" i="3"/>
  <c r="F372" i="3"/>
  <c r="E372" i="3"/>
  <c r="D372" i="3"/>
  <c r="C372" i="3"/>
  <c r="B372" i="3"/>
  <c r="A372" i="3"/>
  <c r="K371" i="3"/>
  <c r="L371" i="3" s="1"/>
  <c r="J371" i="3"/>
  <c r="I371" i="3"/>
  <c r="H371" i="3"/>
  <c r="G371" i="3"/>
  <c r="F371" i="3"/>
  <c r="E371" i="3"/>
  <c r="D371" i="3"/>
  <c r="C371" i="3"/>
  <c r="B371" i="3"/>
  <c r="A371" i="3"/>
  <c r="K370" i="3"/>
  <c r="L370" i="3" s="1"/>
  <c r="J370" i="3"/>
  <c r="I370" i="3"/>
  <c r="H370" i="3"/>
  <c r="G370" i="3"/>
  <c r="F370" i="3"/>
  <c r="E370" i="3"/>
  <c r="D370" i="3"/>
  <c r="C370" i="3"/>
  <c r="B370" i="3"/>
  <c r="A370" i="3"/>
  <c r="K369" i="3"/>
  <c r="L369" i="3" s="1"/>
  <c r="J369" i="3"/>
  <c r="I369" i="3"/>
  <c r="H369" i="3"/>
  <c r="G369" i="3"/>
  <c r="F369" i="3"/>
  <c r="E369" i="3"/>
  <c r="D369" i="3"/>
  <c r="C369" i="3"/>
  <c r="B369" i="3"/>
  <c r="A369" i="3"/>
  <c r="K368" i="3"/>
  <c r="J368" i="3"/>
  <c r="I368" i="3"/>
  <c r="H368" i="3"/>
  <c r="G368" i="3"/>
  <c r="F368" i="3"/>
  <c r="E368" i="3"/>
  <c r="D368" i="3"/>
  <c r="C368" i="3"/>
  <c r="B368" i="3"/>
  <c r="A368" i="3"/>
  <c r="K367" i="3"/>
  <c r="L367" i="3" s="1"/>
  <c r="J367" i="3"/>
  <c r="I367" i="3"/>
  <c r="H367" i="3"/>
  <c r="G367" i="3"/>
  <c r="F367" i="3"/>
  <c r="E367" i="3"/>
  <c r="D367" i="3"/>
  <c r="C367" i="3"/>
  <c r="B367" i="3"/>
  <c r="A367" i="3"/>
  <c r="K366" i="3"/>
  <c r="L366" i="3" s="1"/>
  <c r="J366" i="3"/>
  <c r="I366" i="3"/>
  <c r="H366" i="3"/>
  <c r="G366" i="3"/>
  <c r="F366" i="3"/>
  <c r="E366" i="3"/>
  <c r="D366" i="3"/>
  <c r="C366" i="3"/>
  <c r="B366" i="3"/>
  <c r="A366" i="3"/>
  <c r="K365" i="3"/>
  <c r="L365" i="3" s="1"/>
  <c r="J365" i="3"/>
  <c r="I365" i="3"/>
  <c r="H365" i="3"/>
  <c r="G365" i="3"/>
  <c r="F365" i="3"/>
  <c r="E365" i="3"/>
  <c r="D365" i="3"/>
  <c r="C365" i="3"/>
  <c r="B365" i="3"/>
  <c r="A365" i="3"/>
  <c r="K364" i="3"/>
  <c r="L364" i="3" s="1"/>
  <c r="J364" i="3"/>
  <c r="I364" i="3"/>
  <c r="H364" i="3"/>
  <c r="G364" i="3"/>
  <c r="F364" i="3"/>
  <c r="E364" i="3"/>
  <c r="D364" i="3"/>
  <c r="C364" i="3"/>
  <c r="B364" i="3"/>
  <c r="A364" i="3"/>
  <c r="K363" i="3"/>
  <c r="L363" i="3" s="1"/>
  <c r="J363" i="3"/>
  <c r="I363" i="3"/>
  <c r="H363" i="3"/>
  <c r="G363" i="3"/>
  <c r="F363" i="3"/>
  <c r="E363" i="3"/>
  <c r="D363" i="3"/>
  <c r="C363" i="3"/>
  <c r="B363" i="3"/>
  <c r="A363" i="3"/>
  <c r="K362" i="3"/>
  <c r="L362" i="3" s="1"/>
  <c r="J362" i="3"/>
  <c r="I362" i="3"/>
  <c r="H362" i="3"/>
  <c r="G362" i="3"/>
  <c r="F362" i="3"/>
  <c r="E362" i="3"/>
  <c r="D362" i="3"/>
  <c r="C362" i="3"/>
  <c r="B362" i="3"/>
  <c r="A362" i="3"/>
  <c r="K361" i="3"/>
  <c r="L361" i="3" s="1"/>
  <c r="J361" i="3"/>
  <c r="I361" i="3"/>
  <c r="H361" i="3"/>
  <c r="G361" i="3"/>
  <c r="F361" i="3"/>
  <c r="E361" i="3"/>
  <c r="D361" i="3"/>
  <c r="C361" i="3"/>
  <c r="B361" i="3"/>
  <c r="A361" i="3"/>
  <c r="K360" i="3"/>
  <c r="L360" i="3" s="1"/>
  <c r="J360" i="3"/>
  <c r="I360" i="3"/>
  <c r="H360" i="3"/>
  <c r="G360" i="3"/>
  <c r="F360" i="3"/>
  <c r="E360" i="3"/>
  <c r="D360" i="3"/>
  <c r="C360" i="3"/>
  <c r="B360" i="3"/>
  <c r="A360" i="3"/>
  <c r="K359" i="3"/>
  <c r="L359" i="3" s="1"/>
  <c r="J359" i="3"/>
  <c r="I359" i="3"/>
  <c r="H359" i="3"/>
  <c r="G359" i="3"/>
  <c r="F359" i="3"/>
  <c r="E359" i="3"/>
  <c r="D359" i="3"/>
  <c r="C359" i="3"/>
  <c r="B359" i="3"/>
  <c r="A359" i="3"/>
  <c r="K358" i="3"/>
  <c r="L358" i="3" s="1"/>
  <c r="J358" i="3"/>
  <c r="I358" i="3"/>
  <c r="H358" i="3"/>
  <c r="G358" i="3"/>
  <c r="F358" i="3"/>
  <c r="E358" i="3"/>
  <c r="D358" i="3"/>
  <c r="C358" i="3"/>
  <c r="B358" i="3"/>
  <c r="A358" i="3"/>
  <c r="K357" i="3"/>
  <c r="L357" i="3" s="1"/>
  <c r="J357" i="3"/>
  <c r="I357" i="3"/>
  <c r="H357" i="3"/>
  <c r="G357" i="3"/>
  <c r="F357" i="3"/>
  <c r="E357" i="3"/>
  <c r="D357" i="3"/>
  <c r="C357" i="3"/>
  <c r="B357" i="3"/>
  <c r="A357" i="3"/>
  <c r="K356" i="3"/>
  <c r="L356" i="3" s="1"/>
  <c r="J356" i="3"/>
  <c r="I356" i="3"/>
  <c r="H356" i="3"/>
  <c r="G356" i="3"/>
  <c r="F356" i="3"/>
  <c r="E356" i="3"/>
  <c r="D356" i="3"/>
  <c r="C356" i="3"/>
  <c r="B356" i="3"/>
  <c r="A356" i="3"/>
  <c r="K355" i="3"/>
  <c r="L355" i="3" s="1"/>
  <c r="J355" i="3"/>
  <c r="I355" i="3"/>
  <c r="H355" i="3"/>
  <c r="G355" i="3"/>
  <c r="F355" i="3"/>
  <c r="E355" i="3"/>
  <c r="D355" i="3"/>
  <c r="C355" i="3"/>
  <c r="B355" i="3"/>
  <c r="A355" i="3"/>
  <c r="K354" i="3"/>
  <c r="L354" i="3" s="1"/>
  <c r="J354" i="3"/>
  <c r="I354" i="3"/>
  <c r="H354" i="3"/>
  <c r="G354" i="3"/>
  <c r="F354" i="3"/>
  <c r="E354" i="3"/>
  <c r="D354" i="3"/>
  <c r="C354" i="3"/>
  <c r="B354" i="3"/>
  <c r="A354" i="3"/>
  <c r="K353" i="3"/>
  <c r="L353" i="3" s="1"/>
  <c r="J353" i="3"/>
  <c r="I353" i="3"/>
  <c r="H353" i="3"/>
  <c r="G353" i="3"/>
  <c r="F353" i="3"/>
  <c r="E353" i="3"/>
  <c r="D353" i="3"/>
  <c r="C353" i="3"/>
  <c r="B353" i="3"/>
  <c r="A353" i="3"/>
  <c r="K352" i="3"/>
  <c r="J352" i="3"/>
  <c r="I352" i="3"/>
  <c r="H352" i="3"/>
  <c r="G352" i="3"/>
  <c r="F352" i="3"/>
  <c r="E352" i="3"/>
  <c r="D352" i="3"/>
  <c r="C352" i="3"/>
  <c r="B352" i="3"/>
  <c r="A352" i="3"/>
  <c r="K351" i="3"/>
  <c r="L351" i="3" s="1"/>
  <c r="J351" i="3"/>
  <c r="I351" i="3"/>
  <c r="H351" i="3"/>
  <c r="G351" i="3"/>
  <c r="F351" i="3"/>
  <c r="E351" i="3"/>
  <c r="D351" i="3"/>
  <c r="C351" i="3"/>
  <c r="B351" i="3"/>
  <c r="A351" i="3"/>
  <c r="K350" i="3"/>
  <c r="L350" i="3" s="1"/>
  <c r="J350" i="3"/>
  <c r="I350" i="3"/>
  <c r="H350" i="3"/>
  <c r="G350" i="3"/>
  <c r="F350" i="3"/>
  <c r="E350" i="3"/>
  <c r="D350" i="3"/>
  <c r="C350" i="3"/>
  <c r="B350" i="3"/>
  <c r="A350" i="3"/>
  <c r="K349" i="3"/>
  <c r="L349" i="3" s="1"/>
  <c r="J349" i="3"/>
  <c r="I349" i="3"/>
  <c r="H349" i="3"/>
  <c r="G349" i="3"/>
  <c r="F349" i="3"/>
  <c r="E349" i="3"/>
  <c r="D349" i="3"/>
  <c r="C349" i="3"/>
  <c r="B349" i="3"/>
  <c r="A349" i="3"/>
  <c r="K348" i="3"/>
  <c r="L348" i="3" s="1"/>
  <c r="J348" i="3"/>
  <c r="I348" i="3"/>
  <c r="H348" i="3"/>
  <c r="G348" i="3"/>
  <c r="F348" i="3"/>
  <c r="E348" i="3"/>
  <c r="D348" i="3"/>
  <c r="C348" i="3"/>
  <c r="B348" i="3"/>
  <c r="A348" i="3"/>
  <c r="K347" i="3"/>
  <c r="L347" i="3" s="1"/>
  <c r="J347" i="3"/>
  <c r="I347" i="3"/>
  <c r="H347" i="3"/>
  <c r="G347" i="3"/>
  <c r="F347" i="3"/>
  <c r="E347" i="3"/>
  <c r="D347" i="3"/>
  <c r="C347" i="3"/>
  <c r="B347" i="3"/>
  <c r="A347" i="3"/>
  <c r="K346" i="3"/>
  <c r="L346" i="3" s="1"/>
  <c r="J346" i="3"/>
  <c r="I346" i="3"/>
  <c r="H346" i="3"/>
  <c r="G346" i="3"/>
  <c r="F346" i="3"/>
  <c r="E346" i="3"/>
  <c r="D346" i="3"/>
  <c r="C346" i="3"/>
  <c r="B346" i="3"/>
  <c r="A346" i="3"/>
  <c r="K345" i="3"/>
  <c r="L345" i="3" s="1"/>
  <c r="J345" i="3"/>
  <c r="I345" i="3"/>
  <c r="H345" i="3"/>
  <c r="G345" i="3"/>
  <c r="F345" i="3"/>
  <c r="E345" i="3"/>
  <c r="D345" i="3"/>
  <c r="C345" i="3"/>
  <c r="B345" i="3"/>
  <c r="A345" i="3"/>
  <c r="K344" i="3"/>
  <c r="L344" i="3" s="1"/>
  <c r="J344" i="3"/>
  <c r="I344" i="3"/>
  <c r="H344" i="3"/>
  <c r="G344" i="3"/>
  <c r="F344" i="3"/>
  <c r="E344" i="3"/>
  <c r="D344" i="3"/>
  <c r="C344" i="3"/>
  <c r="B344" i="3"/>
  <c r="A344" i="3"/>
  <c r="K343" i="3"/>
  <c r="L343" i="3" s="1"/>
  <c r="J343" i="3"/>
  <c r="I343" i="3"/>
  <c r="H343" i="3"/>
  <c r="G343" i="3"/>
  <c r="F343" i="3"/>
  <c r="E343" i="3"/>
  <c r="D343" i="3"/>
  <c r="C343" i="3"/>
  <c r="B343" i="3"/>
  <c r="A343" i="3"/>
  <c r="K342" i="3"/>
  <c r="L342" i="3" s="1"/>
  <c r="J342" i="3"/>
  <c r="I342" i="3"/>
  <c r="H342" i="3"/>
  <c r="G342" i="3"/>
  <c r="F342" i="3"/>
  <c r="E342" i="3"/>
  <c r="D342" i="3"/>
  <c r="C342" i="3"/>
  <c r="B342" i="3"/>
  <c r="A342" i="3"/>
  <c r="K341" i="3"/>
  <c r="L341" i="3" s="1"/>
  <c r="J341" i="3"/>
  <c r="I341" i="3"/>
  <c r="H341" i="3"/>
  <c r="G341" i="3"/>
  <c r="F341" i="3"/>
  <c r="E341" i="3"/>
  <c r="D341" i="3"/>
  <c r="C341" i="3"/>
  <c r="B341" i="3"/>
  <c r="A341" i="3"/>
  <c r="K340" i="3"/>
  <c r="L340" i="3" s="1"/>
  <c r="J340" i="3"/>
  <c r="I340" i="3"/>
  <c r="H340" i="3"/>
  <c r="G340" i="3"/>
  <c r="F340" i="3"/>
  <c r="E340" i="3"/>
  <c r="D340" i="3"/>
  <c r="C340" i="3"/>
  <c r="B340" i="3"/>
  <c r="A340" i="3"/>
  <c r="K339" i="3"/>
  <c r="L339" i="3" s="1"/>
  <c r="J339" i="3"/>
  <c r="I339" i="3"/>
  <c r="H339" i="3"/>
  <c r="G339" i="3"/>
  <c r="F339" i="3"/>
  <c r="E339" i="3"/>
  <c r="D339" i="3"/>
  <c r="C339" i="3"/>
  <c r="B339" i="3"/>
  <c r="A339" i="3"/>
  <c r="K338" i="3"/>
  <c r="L338" i="3" s="1"/>
  <c r="J338" i="3"/>
  <c r="I338" i="3"/>
  <c r="H338" i="3"/>
  <c r="G338" i="3"/>
  <c r="F338" i="3"/>
  <c r="E338" i="3"/>
  <c r="D338" i="3"/>
  <c r="C338" i="3"/>
  <c r="B338" i="3"/>
  <c r="A338" i="3"/>
  <c r="K337" i="3"/>
  <c r="L337" i="3" s="1"/>
  <c r="J337" i="3"/>
  <c r="I337" i="3"/>
  <c r="H337" i="3"/>
  <c r="G337" i="3"/>
  <c r="F337" i="3"/>
  <c r="E337" i="3"/>
  <c r="D337" i="3"/>
  <c r="C337" i="3"/>
  <c r="B337" i="3"/>
  <c r="A337" i="3"/>
  <c r="K336" i="3"/>
  <c r="L336" i="3" s="1"/>
  <c r="J336" i="3"/>
  <c r="I336" i="3"/>
  <c r="H336" i="3"/>
  <c r="G336" i="3"/>
  <c r="F336" i="3"/>
  <c r="E336" i="3"/>
  <c r="D336" i="3"/>
  <c r="C336" i="3"/>
  <c r="B336" i="3"/>
  <c r="A336" i="3"/>
  <c r="K335" i="3"/>
  <c r="L335" i="3" s="1"/>
  <c r="J335" i="3"/>
  <c r="I335" i="3"/>
  <c r="H335" i="3"/>
  <c r="G335" i="3"/>
  <c r="F335" i="3"/>
  <c r="E335" i="3"/>
  <c r="D335" i="3"/>
  <c r="C335" i="3"/>
  <c r="B335" i="3"/>
  <c r="A335" i="3"/>
  <c r="K334" i="3"/>
  <c r="L334" i="3" s="1"/>
  <c r="J334" i="3"/>
  <c r="I334" i="3"/>
  <c r="H334" i="3"/>
  <c r="G334" i="3"/>
  <c r="F334" i="3"/>
  <c r="E334" i="3"/>
  <c r="D334" i="3"/>
  <c r="C334" i="3"/>
  <c r="B334" i="3"/>
  <c r="A334" i="3"/>
  <c r="K333" i="3"/>
  <c r="L333" i="3" s="1"/>
  <c r="J333" i="3"/>
  <c r="I333" i="3"/>
  <c r="H333" i="3"/>
  <c r="G333" i="3"/>
  <c r="F333" i="3"/>
  <c r="E333" i="3"/>
  <c r="D333" i="3"/>
  <c r="C333" i="3"/>
  <c r="B333" i="3"/>
  <c r="A333" i="3"/>
  <c r="K332" i="3"/>
  <c r="L332" i="3" s="1"/>
  <c r="J332" i="3"/>
  <c r="I332" i="3"/>
  <c r="H332" i="3"/>
  <c r="G332" i="3"/>
  <c r="F332" i="3"/>
  <c r="E332" i="3"/>
  <c r="D332" i="3"/>
  <c r="C332" i="3"/>
  <c r="B332" i="3"/>
  <c r="A332" i="3"/>
  <c r="K331" i="3"/>
  <c r="L331" i="3" s="1"/>
  <c r="J331" i="3"/>
  <c r="I331" i="3"/>
  <c r="H331" i="3"/>
  <c r="G331" i="3"/>
  <c r="F331" i="3"/>
  <c r="E331" i="3"/>
  <c r="D331" i="3"/>
  <c r="C331" i="3"/>
  <c r="B331" i="3"/>
  <c r="A331" i="3"/>
  <c r="K330" i="3"/>
  <c r="L330" i="3" s="1"/>
  <c r="J330" i="3"/>
  <c r="I330" i="3"/>
  <c r="H330" i="3"/>
  <c r="G330" i="3"/>
  <c r="F330" i="3"/>
  <c r="E330" i="3"/>
  <c r="D330" i="3"/>
  <c r="C330" i="3"/>
  <c r="B330" i="3"/>
  <c r="A330" i="3"/>
  <c r="K329" i="3"/>
  <c r="L329" i="3" s="1"/>
  <c r="J329" i="3"/>
  <c r="I329" i="3"/>
  <c r="H329" i="3"/>
  <c r="G329" i="3"/>
  <c r="F329" i="3"/>
  <c r="E329" i="3"/>
  <c r="D329" i="3"/>
  <c r="C329" i="3"/>
  <c r="B329" i="3"/>
  <c r="A329" i="3"/>
  <c r="K328" i="3"/>
  <c r="L328" i="3" s="1"/>
  <c r="J328" i="3"/>
  <c r="I328" i="3"/>
  <c r="H328" i="3"/>
  <c r="G328" i="3"/>
  <c r="F328" i="3"/>
  <c r="E328" i="3"/>
  <c r="D328" i="3"/>
  <c r="C328" i="3"/>
  <c r="B328" i="3"/>
  <c r="A328" i="3"/>
  <c r="K327" i="3"/>
  <c r="L327" i="3" s="1"/>
  <c r="J327" i="3"/>
  <c r="I327" i="3"/>
  <c r="H327" i="3"/>
  <c r="G327" i="3"/>
  <c r="F327" i="3"/>
  <c r="E327" i="3"/>
  <c r="D327" i="3"/>
  <c r="C327" i="3"/>
  <c r="B327" i="3"/>
  <c r="A327" i="3"/>
  <c r="K326" i="3"/>
  <c r="L326" i="3" s="1"/>
  <c r="J326" i="3"/>
  <c r="I326" i="3"/>
  <c r="H326" i="3"/>
  <c r="G326" i="3"/>
  <c r="F326" i="3"/>
  <c r="E326" i="3"/>
  <c r="D326" i="3"/>
  <c r="C326" i="3"/>
  <c r="B326" i="3"/>
  <c r="A326" i="3"/>
  <c r="K325" i="3"/>
  <c r="L325" i="3" s="1"/>
  <c r="J325" i="3"/>
  <c r="I325" i="3"/>
  <c r="H325" i="3"/>
  <c r="G325" i="3"/>
  <c r="F325" i="3"/>
  <c r="E325" i="3"/>
  <c r="D325" i="3"/>
  <c r="C325" i="3"/>
  <c r="B325" i="3"/>
  <c r="A325" i="3"/>
  <c r="K324" i="3"/>
  <c r="L324" i="3" s="1"/>
  <c r="J324" i="3"/>
  <c r="I324" i="3"/>
  <c r="H324" i="3"/>
  <c r="G324" i="3"/>
  <c r="F324" i="3"/>
  <c r="E324" i="3"/>
  <c r="D324" i="3"/>
  <c r="C324" i="3"/>
  <c r="B324" i="3"/>
  <c r="A324" i="3"/>
  <c r="K323" i="3"/>
  <c r="L323" i="3" s="1"/>
  <c r="J323" i="3"/>
  <c r="I323" i="3"/>
  <c r="H323" i="3"/>
  <c r="G323" i="3"/>
  <c r="F323" i="3"/>
  <c r="E323" i="3"/>
  <c r="D323" i="3"/>
  <c r="C323" i="3"/>
  <c r="B323" i="3"/>
  <c r="A323" i="3"/>
  <c r="K322" i="3"/>
  <c r="L322" i="3" s="1"/>
  <c r="J322" i="3"/>
  <c r="I322" i="3"/>
  <c r="H322" i="3"/>
  <c r="G322" i="3"/>
  <c r="F322" i="3"/>
  <c r="E322" i="3"/>
  <c r="D322" i="3"/>
  <c r="C322" i="3"/>
  <c r="B322" i="3"/>
  <c r="A322" i="3"/>
  <c r="K321" i="3"/>
  <c r="L321" i="3" s="1"/>
  <c r="J321" i="3"/>
  <c r="I321" i="3"/>
  <c r="H321" i="3"/>
  <c r="G321" i="3"/>
  <c r="F321" i="3"/>
  <c r="E321" i="3"/>
  <c r="D321" i="3"/>
  <c r="C321" i="3"/>
  <c r="B321" i="3"/>
  <c r="A321" i="3"/>
  <c r="K320" i="3"/>
  <c r="L320" i="3" s="1"/>
  <c r="J320" i="3"/>
  <c r="I320" i="3"/>
  <c r="H320" i="3"/>
  <c r="G320" i="3"/>
  <c r="F320" i="3"/>
  <c r="E320" i="3"/>
  <c r="D320" i="3"/>
  <c r="C320" i="3"/>
  <c r="B320" i="3"/>
  <c r="A320" i="3"/>
  <c r="K319" i="3"/>
  <c r="L319" i="3" s="1"/>
  <c r="J319" i="3"/>
  <c r="I319" i="3"/>
  <c r="H319" i="3"/>
  <c r="G319" i="3"/>
  <c r="F319" i="3"/>
  <c r="E319" i="3"/>
  <c r="D319" i="3"/>
  <c r="C319" i="3"/>
  <c r="B319" i="3"/>
  <c r="A319" i="3"/>
  <c r="K318" i="3"/>
  <c r="L318" i="3" s="1"/>
  <c r="J318" i="3"/>
  <c r="I318" i="3"/>
  <c r="H318" i="3"/>
  <c r="G318" i="3"/>
  <c r="F318" i="3"/>
  <c r="E318" i="3"/>
  <c r="D318" i="3"/>
  <c r="C318" i="3"/>
  <c r="B318" i="3"/>
  <c r="A318" i="3"/>
  <c r="K317" i="3"/>
  <c r="L317" i="3" s="1"/>
  <c r="J317" i="3"/>
  <c r="I317" i="3"/>
  <c r="H317" i="3"/>
  <c r="G317" i="3"/>
  <c r="F317" i="3"/>
  <c r="E317" i="3"/>
  <c r="D317" i="3"/>
  <c r="C317" i="3"/>
  <c r="B317" i="3"/>
  <c r="A317" i="3"/>
  <c r="L316" i="3"/>
  <c r="K316" i="3"/>
  <c r="J316" i="3"/>
  <c r="I316" i="3"/>
  <c r="H316" i="3"/>
  <c r="G316" i="3"/>
  <c r="F316" i="3"/>
  <c r="E316" i="3"/>
  <c r="D316" i="3"/>
  <c r="C316" i="3"/>
  <c r="B316" i="3"/>
  <c r="A316" i="3"/>
  <c r="K315" i="3"/>
  <c r="L315" i="3" s="1"/>
  <c r="J315" i="3"/>
  <c r="I315" i="3"/>
  <c r="H315" i="3"/>
  <c r="G315" i="3"/>
  <c r="F315" i="3"/>
  <c r="E315" i="3"/>
  <c r="D315" i="3"/>
  <c r="C315" i="3"/>
  <c r="B315" i="3"/>
  <c r="A315" i="3"/>
  <c r="L314" i="3"/>
  <c r="K314" i="3"/>
  <c r="J314" i="3"/>
  <c r="I314" i="3"/>
  <c r="H314" i="3"/>
  <c r="G314" i="3"/>
  <c r="F314" i="3"/>
  <c r="E314" i="3"/>
  <c r="D314" i="3"/>
  <c r="C314" i="3"/>
  <c r="B314" i="3"/>
  <c r="A314" i="3"/>
  <c r="K313" i="3"/>
  <c r="L313" i="3" s="1"/>
  <c r="J313" i="3"/>
  <c r="I313" i="3"/>
  <c r="H313" i="3"/>
  <c r="G313" i="3"/>
  <c r="F313" i="3"/>
  <c r="E313" i="3"/>
  <c r="D313" i="3"/>
  <c r="C313" i="3"/>
  <c r="B313" i="3"/>
  <c r="A313" i="3"/>
  <c r="K312" i="3"/>
  <c r="L312" i="3" s="1"/>
  <c r="J312" i="3"/>
  <c r="I312" i="3"/>
  <c r="H312" i="3"/>
  <c r="G312" i="3"/>
  <c r="F312" i="3"/>
  <c r="E312" i="3"/>
  <c r="D312" i="3"/>
  <c r="C312" i="3"/>
  <c r="B312" i="3"/>
  <c r="A312" i="3"/>
  <c r="K311" i="3"/>
  <c r="L311" i="3" s="1"/>
  <c r="J311" i="3"/>
  <c r="I311" i="3"/>
  <c r="H311" i="3"/>
  <c r="G311" i="3"/>
  <c r="F311" i="3"/>
  <c r="E311" i="3"/>
  <c r="D311" i="3"/>
  <c r="C311" i="3"/>
  <c r="B311" i="3"/>
  <c r="A311" i="3"/>
  <c r="K310" i="3"/>
  <c r="L310" i="3" s="1"/>
  <c r="J310" i="3"/>
  <c r="I310" i="3"/>
  <c r="H310" i="3"/>
  <c r="G310" i="3"/>
  <c r="F310" i="3"/>
  <c r="E310" i="3"/>
  <c r="D310" i="3"/>
  <c r="C310" i="3"/>
  <c r="B310" i="3"/>
  <c r="A310" i="3"/>
  <c r="K309" i="3"/>
  <c r="L309" i="3" s="1"/>
  <c r="J309" i="3"/>
  <c r="I309" i="3"/>
  <c r="H309" i="3"/>
  <c r="G309" i="3"/>
  <c r="F309" i="3"/>
  <c r="E309" i="3"/>
  <c r="D309" i="3"/>
  <c r="C309" i="3"/>
  <c r="B309" i="3"/>
  <c r="A309" i="3"/>
  <c r="L308" i="3"/>
  <c r="K308" i="3"/>
  <c r="J308" i="3"/>
  <c r="I308" i="3"/>
  <c r="H308" i="3"/>
  <c r="G308" i="3"/>
  <c r="F308" i="3"/>
  <c r="E308" i="3"/>
  <c r="D308" i="3"/>
  <c r="C308" i="3"/>
  <c r="B308" i="3"/>
  <c r="A308" i="3"/>
  <c r="K307" i="3"/>
  <c r="L307" i="3" s="1"/>
  <c r="J307" i="3"/>
  <c r="I307" i="3"/>
  <c r="H307" i="3"/>
  <c r="G307" i="3"/>
  <c r="F307" i="3"/>
  <c r="E307" i="3"/>
  <c r="D307" i="3"/>
  <c r="C307" i="3"/>
  <c r="B307" i="3"/>
  <c r="A307" i="3"/>
  <c r="L306" i="3"/>
  <c r="K306" i="3"/>
  <c r="J306" i="3"/>
  <c r="I306" i="3"/>
  <c r="H306" i="3"/>
  <c r="G306" i="3"/>
  <c r="F306" i="3"/>
  <c r="E306" i="3"/>
  <c r="D306" i="3"/>
  <c r="C306" i="3"/>
  <c r="B306" i="3"/>
  <c r="A306" i="3"/>
  <c r="K305" i="3"/>
  <c r="L305" i="3" s="1"/>
  <c r="J305" i="3"/>
  <c r="I305" i="3"/>
  <c r="H305" i="3"/>
  <c r="G305" i="3"/>
  <c r="F305" i="3"/>
  <c r="E305" i="3"/>
  <c r="D305" i="3"/>
  <c r="C305" i="3"/>
  <c r="B305" i="3"/>
  <c r="A305" i="3"/>
  <c r="K304" i="3"/>
  <c r="L304" i="3" s="1"/>
  <c r="J304" i="3"/>
  <c r="I304" i="3"/>
  <c r="H304" i="3"/>
  <c r="G304" i="3"/>
  <c r="F304" i="3"/>
  <c r="E304" i="3"/>
  <c r="D304" i="3"/>
  <c r="C304" i="3"/>
  <c r="B304" i="3"/>
  <c r="A304" i="3"/>
  <c r="K303" i="3"/>
  <c r="L303" i="3" s="1"/>
  <c r="J303" i="3"/>
  <c r="I303" i="3"/>
  <c r="H303" i="3"/>
  <c r="G303" i="3"/>
  <c r="F303" i="3"/>
  <c r="E303" i="3"/>
  <c r="D303" i="3"/>
  <c r="C303" i="3"/>
  <c r="B303" i="3"/>
  <c r="A303" i="3"/>
  <c r="K302" i="3"/>
  <c r="L302" i="3" s="1"/>
  <c r="J302" i="3"/>
  <c r="I302" i="3"/>
  <c r="H302" i="3"/>
  <c r="G302" i="3"/>
  <c r="F302" i="3"/>
  <c r="E302" i="3"/>
  <c r="D302" i="3"/>
  <c r="C302" i="3"/>
  <c r="B302" i="3"/>
  <c r="A302" i="3"/>
  <c r="K301" i="3"/>
  <c r="L301" i="3" s="1"/>
  <c r="J301" i="3"/>
  <c r="I301" i="3"/>
  <c r="H301" i="3"/>
  <c r="G301" i="3"/>
  <c r="F301" i="3"/>
  <c r="E301" i="3"/>
  <c r="D301" i="3"/>
  <c r="C301" i="3"/>
  <c r="B301" i="3"/>
  <c r="A301" i="3"/>
  <c r="L300" i="3"/>
  <c r="K300" i="3"/>
  <c r="J300" i="3"/>
  <c r="I300" i="3"/>
  <c r="H300" i="3"/>
  <c r="G300" i="3"/>
  <c r="F300" i="3"/>
  <c r="E300" i="3"/>
  <c r="D300" i="3"/>
  <c r="C300" i="3"/>
  <c r="B300" i="3"/>
  <c r="A300" i="3"/>
  <c r="K299" i="3"/>
  <c r="L299" i="3" s="1"/>
  <c r="J299" i="3"/>
  <c r="I299" i="3"/>
  <c r="H299" i="3"/>
  <c r="G299" i="3"/>
  <c r="F299" i="3"/>
  <c r="E299" i="3"/>
  <c r="D299" i="3"/>
  <c r="C299" i="3"/>
  <c r="B299" i="3"/>
  <c r="A299" i="3"/>
  <c r="L298" i="3"/>
  <c r="K298" i="3"/>
  <c r="J298" i="3"/>
  <c r="I298" i="3"/>
  <c r="H298" i="3"/>
  <c r="G298" i="3"/>
  <c r="F298" i="3"/>
  <c r="E298" i="3"/>
  <c r="D298" i="3"/>
  <c r="C298" i="3"/>
  <c r="B298" i="3"/>
  <c r="A298" i="3"/>
  <c r="K297" i="3"/>
  <c r="L297" i="3" s="1"/>
  <c r="J297" i="3"/>
  <c r="I297" i="3"/>
  <c r="H297" i="3"/>
  <c r="G297" i="3"/>
  <c r="F297" i="3"/>
  <c r="E297" i="3"/>
  <c r="D297" i="3"/>
  <c r="C297" i="3"/>
  <c r="B297" i="3"/>
  <c r="A297" i="3"/>
  <c r="K296" i="3"/>
  <c r="L296" i="3" s="1"/>
  <c r="J296" i="3"/>
  <c r="I296" i="3"/>
  <c r="H296" i="3"/>
  <c r="G296" i="3"/>
  <c r="F296" i="3"/>
  <c r="E296" i="3"/>
  <c r="D296" i="3"/>
  <c r="C296" i="3"/>
  <c r="B296" i="3"/>
  <c r="A296" i="3"/>
  <c r="K295" i="3"/>
  <c r="L295" i="3" s="1"/>
  <c r="J295" i="3"/>
  <c r="I295" i="3"/>
  <c r="H295" i="3"/>
  <c r="G295" i="3"/>
  <c r="F295" i="3"/>
  <c r="E295" i="3"/>
  <c r="D295" i="3"/>
  <c r="C295" i="3"/>
  <c r="B295" i="3"/>
  <c r="A295" i="3"/>
  <c r="K294" i="3"/>
  <c r="L294" i="3" s="1"/>
  <c r="J294" i="3"/>
  <c r="I294" i="3"/>
  <c r="H294" i="3"/>
  <c r="G294" i="3"/>
  <c r="F294" i="3"/>
  <c r="E294" i="3"/>
  <c r="D294" i="3"/>
  <c r="C294" i="3"/>
  <c r="B294" i="3"/>
  <c r="A294" i="3"/>
  <c r="K293" i="3"/>
  <c r="J293" i="3"/>
  <c r="I293" i="3"/>
  <c r="H293" i="3"/>
  <c r="G293" i="3"/>
  <c r="F293" i="3"/>
  <c r="E293" i="3"/>
  <c r="D293" i="3"/>
  <c r="C293" i="3"/>
  <c r="B293" i="3"/>
  <c r="A293" i="3"/>
  <c r="L292" i="3"/>
  <c r="K292" i="3"/>
  <c r="J292" i="3"/>
  <c r="I292" i="3"/>
  <c r="H292" i="3"/>
  <c r="G292" i="3"/>
  <c r="F292" i="3"/>
  <c r="E292" i="3"/>
  <c r="D292" i="3"/>
  <c r="C292" i="3"/>
  <c r="B292" i="3"/>
  <c r="A292" i="3"/>
  <c r="K291" i="3"/>
  <c r="L291" i="3" s="1"/>
  <c r="J291" i="3"/>
  <c r="I291" i="3"/>
  <c r="H291" i="3"/>
  <c r="G291" i="3"/>
  <c r="F291" i="3"/>
  <c r="E291" i="3"/>
  <c r="D291" i="3"/>
  <c r="C291" i="3"/>
  <c r="B291" i="3"/>
  <c r="A291" i="3"/>
  <c r="L290" i="3"/>
  <c r="K290" i="3"/>
  <c r="J290" i="3"/>
  <c r="I290" i="3"/>
  <c r="H290" i="3"/>
  <c r="G290" i="3"/>
  <c r="F290" i="3"/>
  <c r="E290" i="3"/>
  <c r="D290" i="3"/>
  <c r="C290" i="3"/>
  <c r="B290" i="3"/>
  <c r="A290" i="3"/>
  <c r="K289" i="3"/>
  <c r="L289" i="3" s="1"/>
  <c r="J289" i="3"/>
  <c r="I289" i="3"/>
  <c r="H289" i="3"/>
  <c r="G289" i="3"/>
  <c r="F289" i="3"/>
  <c r="E289" i="3"/>
  <c r="D289" i="3"/>
  <c r="C289" i="3"/>
  <c r="B289" i="3"/>
  <c r="A289" i="3"/>
  <c r="K288" i="3"/>
  <c r="L288" i="3" s="1"/>
  <c r="J288" i="3"/>
  <c r="I288" i="3"/>
  <c r="H288" i="3"/>
  <c r="G288" i="3"/>
  <c r="F288" i="3"/>
  <c r="E288" i="3"/>
  <c r="D288" i="3"/>
  <c r="C288" i="3"/>
  <c r="B288" i="3"/>
  <c r="A288" i="3"/>
  <c r="K287" i="3"/>
  <c r="L287" i="3" s="1"/>
  <c r="J287" i="3"/>
  <c r="I287" i="3"/>
  <c r="H287" i="3"/>
  <c r="G287" i="3"/>
  <c r="F287" i="3"/>
  <c r="E287" i="3"/>
  <c r="D287" i="3"/>
  <c r="C287" i="3"/>
  <c r="B287" i="3"/>
  <c r="A287" i="3"/>
  <c r="K286" i="3"/>
  <c r="L286" i="3" s="1"/>
  <c r="J286" i="3"/>
  <c r="I286" i="3"/>
  <c r="H286" i="3"/>
  <c r="G286" i="3"/>
  <c r="F286" i="3"/>
  <c r="E286" i="3"/>
  <c r="D286" i="3"/>
  <c r="C286" i="3"/>
  <c r="B286" i="3"/>
  <c r="A286" i="3"/>
  <c r="K285" i="3"/>
  <c r="L285" i="3" s="1"/>
  <c r="J285" i="3"/>
  <c r="I285" i="3"/>
  <c r="H285" i="3"/>
  <c r="G285" i="3"/>
  <c r="F285" i="3"/>
  <c r="E285" i="3"/>
  <c r="D285" i="3"/>
  <c r="C285" i="3"/>
  <c r="B285" i="3"/>
  <c r="A285" i="3"/>
  <c r="L284" i="3"/>
  <c r="K284" i="3"/>
  <c r="J284" i="3"/>
  <c r="I284" i="3"/>
  <c r="H284" i="3"/>
  <c r="G284" i="3"/>
  <c r="F284" i="3"/>
  <c r="E284" i="3"/>
  <c r="D284" i="3"/>
  <c r="C284" i="3"/>
  <c r="B284" i="3"/>
  <c r="A284" i="3"/>
  <c r="K283" i="3"/>
  <c r="L283" i="3" s="1"/>
  <c r="J283" i="3"/>
  <c r="I283" i="3"/>
  <c r="H283" i="3"/>
  <c r="G283" i="3"/>
  <c r="F283" i="3"/>
  <c r="E283" i="3"/>
  <c r="D283" i="3"/>
  <c r="C283" i="3"/>
  <c r="B283" i="3"/>
  <c r="A283" i="3"/>
  <c r="L282" i="3"/>
  <c r="K282" i="3"/>
  <c r="J282" i="3"/>
  <c r="I282" i="3"/>
  <c r="H282" i="3"/>
  <c r="G282" i="3"/>
  <c r="F282" i="3"/>
  <c r="E282" i="3"/>
  <c r="D282" i="3"/>
  <c r="C282" i="3"/>
  <c r="B282" i="3"/>
  <c r="A282" i="3"/>
  <c r="K281" i="3"/>
  <c r="L281" i="3" s="1"/>
  <c r="J281" i="3"/>
  <c r="I281" i="3"/>
  <c r="H281" i="3"/>
  <c r="G281" i="3"/>
  <c r="F281" i="3"/>
  <c r="E281" i="3"/>
  <c r="D281" i="3"/>
  <c r="C281" i="3"/>
  <c r="B281" i="3"/>
  <c r="A281" i="3"/>
  <c r="K280" i="3"/>
  <c r="L280" i="3" s="1"/>
  <c r="J280" i="3"/>
  <c r="I280" i="3"/>
  <c r="H280" i="3"/>
  <c r="G280" i="3"/>
  <c r="F280" i="3"/>
  <c r="E280" i="3"/>
  <c r="D280" i="3"/>
  <c r="C280" i="3"/>
  <c r="B280" i="3"/>
  <c r="A280" i="3"/>
  <c r="K279" i="3"/>
  <c r="L279" i="3" s="1"/>
  <c r="J279" i="3"/>
  <c r="I279" i="3"/>
  <c r="H279" i="3"/>
  <c r="G279" i="3"/>
  <c r="F279" i="3"/>
  <c r="E279" i="3"/>
  <c r="D279" i="3"/>
  <c r="C279" i="3"/>
  <c r="B279" i="3"/>
  <c r="A279" i="3"/>
  <c r="K278" i="3"/>
  <c r="L278" i="3" s="1"/>
  <c r="J278" i="3"/>
  <c r="I278" i="3"/>
  <c r="H278" i="3"/>
  <c r="G278" i="3"/>
  <c r="F278" i="3"/>
  <c r="E278" i="3"/>
  <c r="D278" i="3"/>
  <c r="C278" i="3"/>
  <c r="B278" i="3"/>
  <c r="A278" i="3"/>
  <c r="K277" i="3"/>
  <c r="L277" i="3" s="1"/>
  <c r="J277" i="3"/>
  <c r="I277" i="3"/>
  <c r="H277" i="3"/>
  <c r="G277" i="3"/>
  <c r="F277" i="3"/>
  <c r="E277" i="3"/>
  <c r="D277" i="3"/>
  <c r="C277" i="3"/>
  <c r="B277" i="3"/>
  <c r="A277" i="3"/>
  <c r="K276" i="3"/>
  <c r="L276" i="3" s="1"/>
  <c r="J276" i="3"/>
  <c r="I276" i="3"/>
  <c r="H276" i="3"/>
  <c r="G276" i="3"/>
  <c r="F276" i="3"/>
  <c r="E276" i="3"/>
  <c r="D276" i="3"/>
  <c r="C276" i="3"/>
  <c r="B276" i="3"/>
  <c r="A276" i="3"/>
  <c r="K275" i="3"/>
  <c r="L275" i="3" s="1"/>
  <c r="J275" i="3"/>
  <c r="I275" i="3"/>
  <c r="H275" i="3"/>
  <c r="G275" i="3"/>
  <c r="F275" i="3"/>
  <c r="E275" i="3"/>
  <c r="D275" i="3"/>
  <c r="C275" i="3"/>
  <c r="B275" i="3"/>
  <c r="A275" i="3"/>
  <c r="L274" i="3"/>
  <c r="K274" i="3"/>
  <c r="J274" i="3"/>
  <c r="I274" i="3"/>
  <c r="H274" i="3"/>
  <c r="G274" i="3"/>
  <c r="F274" i="3"/>
  <c r="E274" i="3"/>
  <c r="D274" i="3"/>
  <c r="C274" i="3"/>
  <c r="B274" i="3"/>
  <c r="A274" i="3"/>
  <c r="K273" i="3"/>
  <c r="L273" i="3" s="1"/>
  <c r="J273" i="3"/>
  <c r="I273" i="3"/>
  <c r="H273" i="3"/>
  <c r="G273" i="3"/>
  <c r="F273" i="3"/>
  <c r="E273" i="3"/>
  <c r="D273" i="3"/>
  <c r="C273" i="3"/>
  <c r="B273" i="3"/>
  <c r="A273" i="3"/>
  <c r="K272" i="3"/>
  <c r="L272" i="3" s="1"/>
  <c r="J272" i="3"/>
  <c r="I272" i="3"/>
  <c r="H272" i="3"/>
  <c r="G272" i="3"/>
  <c r="F272" i="3"/>
  <c r="E272" i="3"/>
  <c r="D272" i="3"/>
  <c r="C272" i="3"/>
  <c r="B272" i="3"/>
  <c r="A272" i="3"/>
  <c r="K271" i="3"/>
  <c r="L271" i="3" s="1"/>
  <c r="J271" i="3"/>
  <c r="I271" i="3"/>
  <c r="H271" i="3"/>
  <c r="G271" i="3"/>
  <c r="F271" i="3"/>
  <c r="E271" i="3"/>
  <c r="D271" i="3"/>
  <c r="C271" i="3"/>
  <c r="B271" i="3"/>
  <c r="A271" i="3"/>
  <c r="K270" i="3"/>
  <c r="L270" i="3" s="1"/>
  <c r="J270" i="3"/>
  <c r="I270" i="3"/>
  <c r="H270" i="3"/>
  <c r="G270" i="3"/>
  <c r="F270" i="3"/>
  <c r="E270" i="3"/>
  <c r="D270" i="3"/>
  <c r="C270" i="3"/>
  <c r="B270" i="3"/>
  <c r="A270" i="3"/>
  <c r="K269" i="3"/>
  <c r="L269" i="3" s="1"/>
  <c r="J269" i="3"/>
  <c r="I269" i="3"/>
  <c r="H269" i="3"/>
  <c r="G269" i="3"/>
  <c r="F269" i="3"/>
  <c r="E269" i="3"/>
  <c r="D269" i="3"/>
  <c r="C269" i="3"/>
  <c r="B269" i="3"/>
  <c r="A269" i="3"/>
  <c r="L268" i="3"/>
  <c r="K268" i="3"/>
  <c r="J268" i="3"/>
  <c r="I268" i="3"/>
  <c r="H268" i="3"/>
  <c r="G268" i="3"/>
  <c r="F268" i="3"/>
  <c r="E268" i="3"/>
  <c r="D268" i="3"/>
  <c r="C268" i="3"/>
  <c r="B268" i="3"/>
  <c r="A268" i="3"/>
  <c r="K267" i="3"/>
  <c r="L267" i="3" s="1"/>
  <c r="J267" i="3"/>
  <c r="I267" i="3"/>
  <c r="H267" i="3"/>
  <c r="G267" i="3"/>
  <c r="F267" i="3"/>
  <c r="E267" i="3"/>
  <c r="D267" i="3"/>
  <c r="C267" i="3"/>
  <c r="B267" i="3"/>
  <c r="A267" i="3"/>
  <c r="L266" i="3"/>
  <c r="K266" i="3"/>
  <c r="J266" i="3"/>
  <c r="I266" i="3"/>
  <c r="H266" i="3"/>
  <c r="G266" i="3"/>
  <c r="F266" i="3"/>
  <c r="E266" i="3"/>
  <c r="D266" i="3"/>
  <c r="C266" i="3"/>
  <c r="B266" i="3"/>
  <c r="A266" i="3"/>
  <c r="K265" i="3"/>
  <c r="L265" i="3" s="1"/>
  <c r="J265" i="3"/>
  <c r="I265" i="3"/>
  <c r="H265" i="3"/>
  <c r="G265" i="3"/>
  <c r="F265" i="3"/>
  <c r="E265" i="3"/>
  <c r="D265" i="3"/>
  <c r="C265" i="3"/>
  <c r="B265" i="3"/>
  <c r="A265" i="3"/>
  <c r="K264" i="3"/>
  <c r="L264" i="3" s="1"/>
  <c r="J264" i="3"/>
  <c r="I264" i="3"/>
  <c r="H264" i="3"/>
  <c r="G264" i="3"/>
  <c r="F264" i="3"/>
  <c r="E264" i="3"/>
  <c r="D264" i="3"/>
  <c r="C264" i="3"/>
  <c r="B264" i="3"/>
  <c r="A264" i="3"/>
  <c r="K263" i="3"/>
  <c r="L263" i="3" s="1"/>
  <c r="J263" i="3"/>
  <c r="I263" i="3"/>
  <c r="H263" i="3"/>
  <c r="G263" i="3"/>
  <c r="F263" i="3"/>
  <c r="E263" i="3"/>
  <c r="D263" i="3"/>
  <c r="C263" i="3"/>
  <c r="B263" i="3"/>
  <c r="A263" i="3"/>
  <c r="K262" i="3"/>
  <c r="L262" i="3" s="1"/>
  <c r="J262" i="3"/>
  <c r="I262" i="3"/>
  <c r="H262" i="3"/>
  <c r="G262" i="3"/>
  <c r="F262" i="3"/>
  <c r="E262" i="3"/>
  <c r="D262" i="3"/>
  <c r="C262" i="3"/>
  <c r="B262" i="3"/>
  <c r="A262" i="3"/>
  <c r="K261" i="3"/>
  <c r="L261" i="3" s="1"/>
  <c r="J261" i="3"/>
  <c r="I261" i="3"/>
  <c r="H261" i="3"/>
  <c r="G261" i="3"/>
  <c r="F261" i="3"/>
  <c r="E261" i="3"/>
  <c r="D261" i="3"/>
  <c r="C261" i="3"/>
  <c r="B261" i="3"/>
  <c r="A261" i="3"/>
  <c r="K260" i="3"/>
  <c r="L260" i="3" s="1"/>
  <c r="J260" i="3"/>
  <c r="I260" i="3"/>
  <c r="H260" i="3"/>
  <c r="G260" i="3"/>
  <c r="F260" i="3"/>
  <c r="E260" i="3"/>
  <c r="D260" i="3"/>
  <c r="C260" i="3"/>
  <c r="B260" i="3"/>
  <c r="A260" i="3"/>
  <c r="K259" i="3"/>
  <c r="L259" i="3" s="1"/>
  <c r="J259" i="3"/>
  <c r="I259" i="3"/>
  <c r="H259" i="3"/>
  <c r="G259" i="3"/>
  <c r="F259" i="3"/>
  <c r="E259" i="3"/>
  <c r="D259" i="3"/>
  <c r="C259" i="3"/>
  <c r="B259" i="3"/>
  <c r="A259" i="3"/>
  <c r="L258" i="3"/>
  <c r="K258" i="3"/>
  <c r="J258" i="3"/>
  <c r="I258" i="3"/>
  <c r="H258" i="3"/>
  <c r="G258" i="3"/>
  <c r="F258" i="3"/>
  <c r="E258" i="3"/>
  <c r="D258" i="3"/>
  <c r="C258" i="3"/>
  <c r="B258" i="3"/>
  <c r="A258" i="3"/>
  <c r="K257" i="3"/>
  <c r="L257" i="3" s="1"/>
  <c r="J257" i="3"/>
  <c r="I257" i="3"/>
  <c r="H257" i="3"/>
  <c r="G257" i="3"/>
  <c r="F257" i="3"/>
  <c r="E257" i="3"/>
  <c r="D257" i="3"/>
  <c r="C257" i="3"/>
  <c r="B257" i="3"/>
  <c r="A257" i="3"/>
  <c r="K256" i="3"/>
  <c r="L256" i="3" s="1"/>
  <c r="J256" i="3"/>
  <c r="I256" i="3"/>
  <c r="H256" i="3"/>
  <c r="G256" i="3"/>
  <c r="F256" i="3"/>
  <c r="E256" i="3"/>
  <c r="D256" i="3"/>
  <c r="C256" i="3"/>
  <c r="B256" i="3"/>
  <c r="A256" i="3"/>
  <c r="K255" i="3"/>
  <c r="L255" i="3" s="1"/>
  <c r="J255" i="3"/>
  <c r="I255" i="3"/>
  <c r="H255" i="3"/>
  <c r="G255" i="3"/>
  <c r="F255" i="3"/>
  <c r="E255" i="3"/>
  <c r="D255" i="3"/>
  <c r="C255" i="3"/>
  <c r="B255" i="3"/>
  <c r="A255" i="3"/>
  <c r="K254" i="3"/>
  <c r="L254" i="3" s="1"/>
  <c r="J254" i="3"/>
  <c r="I254" i="3"/>
  <c r="H254" i="3"/>
  <c r="G254" i="3"/>
  <c r="F254" i="3"/>
  <c r="E254" i="3"/>
  <c r="D254" i="3"/>
  <c r="C254" i="3"/>
  <c r="B254" i="3"/>
  <c r="A254" i="3"/>
  <c r="K253" i="3"/>
  <c r="L253" i="3" s="1"/>
  <c r="J253" i="3"/>
  <c r="I253" i="3"/>
  <c r="H253" i="3"/>
  <c r="G253" i="3"/>
  <c r="F253" i="3"/>
  <c r="E253" i="3"/>
  <c r="D253" i="3"/>
  <c r="C253" i="3"/>
  <c r="B253" i="3"/>
  <c r="A253" i="3"/>
  <c r="L252" i="3"/>
  <c r="K252" i="3"/>
  <c r="J252" i="3"/>
  <c r="I252" i="3"/>
  <c r="H252" i="3"/>
  <c r="G252" i="3"/>
  <c r="F252" i="3"/>
  <c r="E252" i="3"/>
  <c r="D252" i="3"/>
  <c r="C252" i="3"/>
  <c r="B252" i="3"/>
  <c r="A252" i="3"/>
  <c r="K251" i="3"/>
  <c r="L251" i="3" s="1"/>
  <c r="J251" i="3"/>
  <c r="I251" i="3"/>
  <c r="H251" i="3"/>
  <c r="G251" i="3"/>
  <c r="F251" i="3"/>
  <c r="E251" i="3"/>
  <c r="D251" i="3"/>
  <c r="C251" i="3"/>
  <c r="B251" i="3"/>
  <c r="A251" i="3"/>
  <c r="L250" i="3"/>
  <c r="K250" i="3"/>
  <c r="J250" i="3"/>
  <c r="I250" i="3"/>
  <c r="H250" i="3"/>
  <c r="G250" i="3"/>
  <c r="F250" i="3"/>
  <c r="E250" i="3"/>
  <c r="D250" i="3"/>
  <c r="C250" i="3"/>
  <c r="B250" i="3"/>
  <c r="A250" i="3"/>
  <c r="K249" i="3"/>
  <c r="L249" i="3" s="1"/>
  <c r="J249" i="3"/>
  <c r="I249" i="3"/>
  <c r="H249" i="3"/>
  <c r="G249" i="3"/>
  <c r="F249" i="3"/>
  <c r="E249" i="3"/>
  <c r="D249" i="3"/>
  <c r="C249" i="3"/>
  <c r="B249" i="3"/>
  <c r="A249" i="3"/>
  <c r="K248" i="3"/>
  <c r="L248" i="3" s="1"/>
  <c r="J248" i="3"/>
  <c r="I248" i="3"/>
  <c r="H248" i="3"/>
  <c r="G248" i="3"/>
  <c r="F248" i="3"/>
  <c r="E248" i="3"/>
  <c r="D248" i="3"/>
  <c r="C248" i="3"/>
  <c r="B248" i="3"/>
  <c r="A248" i="3"/>
  <c r="K247" i="3"/>
  <c r="L247" i="3" s="1"/>
  <c r="J247" i="3"/>
  <c r="I247" i="3"/>
  <c r="H247" i="3"/>
  <c r="G247" i="3"/>
  <c r="F247" i="3"/>
  <c r="E247" i="3"/>
  <c r="D247" i="3"/>
  <c r="C247" i="3"/>
  <c r="B247" i="3"/>
  <c r="A247" i="3"/>
  <c r="K246" i="3"/>
  <c r="L246" i="3" s="1"/>
  <c r="J246" i="3"/>
  <c r="I246" i="3"/>
  <c r="H246" i="3"/>
  <c r="G246" i="3"/>
  <c r="F246" i="3"/>
  <c r="E246" i="3"/>
  <c r="D246" i="3"/>
  <c r="C246" i="3"/>
  <c r="B246" i="3"/>
  <c r="A246" i="3"/>
  <c r="K245" i="3"/>
  <c r="L245" i="3" s="1"/>
  <c r="J245" i="3"/>
  <c r="I245" i="3"/>
  <c r="H245" i="3"/>
  <c r="G245" i="3"/>
  <c r="F245" i="3"/>
  <c r="E245" i="3"/>
  <c r="D245" i="3"/>
  <c r="C245" i="3"/>
  <c r="B245" i="3"/>
  <c r="A245" i="3"/>
  <c r="K244" i="3"/>
  <c r="L244" i="3" s="1"/>
  <c r="J244" i="3"/>
  <c r="I244" i="3"/>
  <c r="H244" i="3"/>
  <c r="G244" i="3"/>
  <c r="F244" i="3"/>
  <c r="E244" i="3"/>
  <c r="D244" i="3"/>
  <c r="C244" i="3"/>
  <c r="B244" i="3"/>
  <c r="A244" i="3"/>
  <c r="K243" i="3"/>
  <c r="L243" i="3" s="1"/>
  <c r="J243" i="3"/>
  <c r="I243" i="3"/>
  <c r="H243" i="3"/>
  <c r="G243" i="3"/>
  <c r="F243" i="3"/>
  <c r="E243" i="3"/>
  <c r="D243" i="3"/>
  <c r="C243" i="3"/>
  <c r="B243" i="3"/>
  <c r="A243" i="3"/>
  <c r="L242" i="3"/>
  <c r="K242" i="3"/>
  <c r="J242" i="3"/>
  <c r="I242" i="3"/>
  <c r="H242" i="3"/>
  <c r="G242" i="3"/>
  <c r="F242" i="3"/>
  <c r="E242" i="3"/>
  <c r="D242" i="3"/>
  <c r="C242" i="3"/>
  <c r="B242" i="3"/>
  <c r="A242" i="3"/>
  <c r="K241" i="3"/>
  <c r="L241" i="3" s="1"/>
  <c r="J241" i="3"/>
  <c r="I241" i="3"/>
  <c r="H241" i="3"/>
  <c r="G241" i="3"/>
  <c r="F241" i="3"/>
  <c r="E241" i="3"/>
  <c r="D241" i="3"/>
  <c r="C241" i="3"/>
  <c r="B241" i="3"/>
  <c r="A241" i="3"/>
  <c r="K240" i="3"/>
  <c r="L240" i="3" s="1"/>
  <c r="J240" i="3"/>
  <c r="I240" i="3"/>
  <c r="H240" i="3"/>
  <c r="G240" i="3"/>
  <c r="F240" i="3"/>
  <c r="E240" i="3"/>
  <c r="D240" i="3"/>
  <c r="C240" i="3"/>
  <c r="B240" i="3"/>
  <c r="A240" i="3"/>
  <c r="K239" i="3"/>
  <c r="L239" i="3" s="1"/>
  <c r="J239" i="3"/>
  <c r="I239" i="3"/>
  <c r="H239" i="3"/>
  <c r="G239" i="3"/>
  <c r="F239" i="3"/>
  <c r="E239" i="3"/>
  <c r="D239" i="3"/>
  <c r="C239" i="3"/>
  <c r="B239" i="3"/>
  <c r="A239" i="3"/>
  <c r="K238" i="3"/>
  <c r="L238" i="3" s="1"/>
  <c r="J238" i="3"/>
  <c r="I238" i="3"/>
  <c r="H238" i="3"/>
  <c r="G238" i="3"/>
  <c r="F238" i="3"/>
  <c r="E238" i="3"/>
  <c r="D238" i="3"/>
  <c r="C238" i="3"/>
  <c r="B238" i="3"/>
  <c r="A238" i="3"/>
  <c r="K237" i="3"/>
  <c r="L237" i="3" s="1"/>
  <c r="J237" i="3"/>
  <c r="I237" i="3"/>
  <c r="H237" i="3"/>
  <c r="G237" i="3"/>
  <c r="F237" i="3"/>
  <c r="E237" i="3"/>
  <c r="D237" i="3"/>
  <c r="C237" i="3"/>
  <c r="B237" i="3"/>
  <c r="A237" i="3"/>
  <c r="L236" i="3"/>
  <c r="K236" i="3"/>
  <c r="J236" i="3"/>
  <c r="I236" i="3"/>
  <c r="H236" i="3"/>
  <c r="G236" i="3"/>
  <c r="F236" i="3"/>
  <c r="E236" i="3"/>
  <c r="D236" i="3"/>
  <c r="C236" i="3"/>
  <c r="B236" i="3"/>
  <c r="A236" i="3"/>
  <c r="K235" i="3"/>
  <c r="L235" i="3" s="1"/>
  <c r="J235" i="3"/>
  <c r="I235" i="3"/>
  <c r="H235" i="3"/>
  <c r="G235" i="3"/>
  <c r="F235" i="3"/>
  <c r="E235" i="3"/>
  <c r="D235" i="3"/>
  <c r="C235" i="3"/>
  <c r="B235" i="3"/>
  <c r="A235" i="3"/>
  <c r="L234" i="3"/>
  <c r="K234" i="3"/>
  <c r="J234" i="3"/>
  <c r="I234" i="3"/>
  <c r="H234" i="3"/>
  <c r="G234" i="3"/>
  <c r="F234" i="3"/>
  <c r="E234" i="3"/>
  <c r="D234" i="3"/>
  <c r="C234" i="3"/>
  <c r="B234" i="3"/>
  <c r="A234" i="3"/>
  <c r="K233" i="3"/>
  <c r="L233" i="3" s="1"/>
  <c r="J233" i="3"/>
  <c r="I233" i="3"/>
  <c r="H233" i="3"/>
  <c r="G233" i="3"/>
  <c r="F233" i="3"/>
  <c r="E233" i="3"/>
  <c r="D233" i="3"/>
  <c r="C233" i="3"/>
  <c r="B233" i="3"/>
  <c r="A233" i="3"/>
  <c r="K232" i="3"/>
  <c r="L232" i="3" s="1"/>
  <c r="J232" i="3"/>
  <c r="I232" i="3"/>
  <c r="H232" i="3"/>
  <c r="G232" i="3"/>
  <c r="F232" i="3"/>
  <c r="E232" i="3"/>
  <c r="D232" i="3"/>
  <c r="C232" i="3"/>
  <c r="B232" i="3"/>
  <c r="A232" i="3"/>
  <c r="K231" i="3"/>
  <c r="L231" i="3" s="1"/>
  <c r="J231" i="3"/>
  <c r="I231" i="3"/>
  <c r="H231" i="3"/>
  <c r="G231" i="3"/>
  <c r="F231" i="3"/>
  <c r="E231" i="3"/>
  <c r="D231" i="3"/>
  <c r="C231" i="3"/>
  <c r="B231" i="3"/>
  <c r="A231" i="3"/>
  <c r="K230" i="3"/>
  <c r="L230" i="3" s="1"/>
  <c r="J230" i="3"/>
  <c r="I230" i="3"/>
  <c r="H230" i="3"/>
  <c r="G230" i="3"/>
  <c r="F230" i="3"/>
  <c r="E230" i="3"/>
  <c r="D230" i="3"/>
  <c r="C230" i="3"/>
  <c r="B230" i="3"/>
  <c r="A230" i="3"/>
  <c r="K229" i="3"/>
  <c r="L229" i="3" s="1"/>
  <c r="J229" i="3"/>
  <c r="I229" i="3"/>
  <c r="H229" i="3"/>
  <c r="G229" i="3"/>
  <c r="F229" i="3"/>
  <c r="E229" i="3"/>
  <c r="D229" i="3"/>
  <c r="C229" i="3"/>
  <c r="B229" i="3"/>
  <c r="A229" i="3"/>
  <c r="K228" i="3"/>
  <c r="L228" i="3" s="1"/>
  <c r="J228" i="3"/>
  <c r="I228" i="3"/>
  <c r="H228" i="3"/>
  <c r="G228" i="3"/>
  <c r="F228" i="3"/>
  <c r="E228" i="3"/>
  <c r="D228" i="3"/>
  <c r="C228" i="3"/>
  <c r="B228" i="3"/>
  <c r="A228" i="3"/>
  <c r="K227" i="3"/>
  <c r="L227" i="3" s="1"/>
  <c r="J227" i="3"/>
  <c r="I227" i="3"/>
  <c r="H227" i="3"/>
  <c r="G227" i="3"/>
  <c r="F227" i="3"/>
  <c r="E227" i="3"/>
  <c r="D227" i="3"/>
  <c r="C227" i="3"/>
  <c r="B227" i="3"/>
  <c r="A227" i="3"/>
  <c r="L226" i="3"/>
  <c r="K226" i="3"/>
  <c r="J226" i="3"/>
  <c r="I226" i="3"/>
  <c r="H226" i="3"/>
  <c r="G226" i="3"/>
  <c r="F226" i="3"/>
  <c r="E226" i="3"/>
  <c r="D226" i="3"/>
  <c r="C226" i="3"/>
  <c r="B226" i="3"/>
  <c r="A226" i="3"/>
  <c r="K225" i="3"/>
  <c r="L225" i="3" s="1"/>
  <c r="J225" i="3"/>
  <c r="I225" i="3"/>
  <c r="H225" i="3"/>
  <c r="G225" i="3"/>
  <c r="F225" i="3"/>
  <c r="E225" i="3"/>
  <c r="D225" i="3"/>
  <c r="C225" i="3"/>
  <c r="B225" i="3"/>
  <c r="A225" i="3"/>
  <c r="K224" i="3"/>
  <c r="L224" i="3" s="1"/>
  <c r="J224" i="3"/>
  <c r="I224" i="3"/>
  <c r="H224" i="3"/>
  <c r="G224" i="3"/>
  <c r="F224" i="3"/>
  <c r="E224" i="3"/>
  <c r="D224" i="3"/>
  <c r="C224" i="3"/>
  <c r="B224" i="3"/>
  <c r="A224" i="3"/>
  <c r="K223" i="3"/>
  <c r="L223" i="3" s="1"/>
  <c r="J223" i="3"/>
  <c r="I223" i="3"/>
  <c r="H223" i="3"/>
  <c r="G223" i="3"/>
  <c r="F223" i="3"/>
  <c r="E223" i="3"/>
  <c r="D223" i="3"/>
  <c r="C223" i="3"/>
  <c r="B223" i="3"/>
  <c r="A223" i="3"/>
  <c r="K222" i="3"/>
  <c r="L222" i="3" s="1"/>
  <c r="J222" i="3"/>
  <c r="I222" i="3"/>
  <c r="H222" i="3"/>
  <c r="G222" i="3"/>
  <c r="F222" i="3"/>
  <c r="E222" i="3"/>
  <c r="D222" i="3"/>
  <c r="C222" i="3"/>
  <c r="B222" i="3"/>
  <c r="A222" i="3"/>
  <c r="K221" i="3"/>
  <c r="L221" i="3" s="1"/>
  <c r="J221" i="3"/>
  <c r="I221" i="3"/>
  <c r="H221" i="3"/>
  <c r="G221" i="3"/>
  <c r="F221" i="3"/>
  <c r="E221" i="3"/>
  <c r="D221" i="3"/>
  <c r="C221" i="3"/>
  <c r="B221" i="3"/>
  <c r="A221" i="3"/>
  <c r="K220" i="3"/>
  <c r="J220" i="3"/>
  <c r="I220" i="3"/>
  <c r="H220" i="3"/>
  <c r="G220" i="3"/>
  <c r="F220" i="3"/>
  <c r="L220" i="3" s="1"/>
  <c r="E220" i="3"/>
  <c r="D220" i="3"/>
  <c r="C220" i="3"/>
  <c r="B220" i="3"/>
  <c r="A220" i="3"/>
  <c r="K219" i="3"/>
  <c r="L219" i="3" s="1"/>
  <c r="J219" i="3"/>
  <c r="I219" i="3"/>
  <c r="H219" i="3"/>
  <c r="G219" i="3"/>
  <c r="F219" i="3"/>
  <c r="E219" i="3"/>
  <c r="D219" i="3"/>
  <c r="C219" i="3"/>
  <c r="B219" i="3"/>
  <c r="A219" i="3"/>
  <c r="L218" i="3"/>
  <c r="K218" i="3"/>
  <c r="J218" i="3"/>
  <c r="I218" i="3"/>
  <c r="H218" i="3"/>
  <c r="G218" i="3"/>
  <c r="F218" i="3"/>
  <c r="E218" i="3"/>
  <c r="D218" i="3"/>
  <c r="C218" i="3"/>
  <c r="B218" i="3"/>
  <c r="A218" i="3"/>
  <c r="K217" i="3"/>
  <c r="L217" i="3" s="1"/>
  <c r="J217" i="3"/>
  <c r="I217" i="3"/>
  <c r="H217" i="3"/>
  <c r="G217" i="3"/>
  <c r="F217" i="3"/>
  <c r="E217" i="3"/>
  <c r="D217" i="3"/>
  <c r="C217" i="3"/>
  <c r="B217" i="3"/>
  <c r="A217" i="3"/>
  <c r="K216" i="3"/>
  <c r="L216" i="3" s="1"/>
  <c r="J216" i="3"/>
  <c r="I216" i="3"/>
  <c r="H216" i="3"/>
  <c r="G216" i="3"/>
  <c r="F216" i="3"/>
  <c r="E216" i="3"/>
  <c r="D216" i="3"/>
  <c r="C216" i="3"/>
  <c r="B216" i="3"/>
  <c r="A216" i="3"/>
  <c r="K215" i="3"/>
  <c r="J215" i="3"/>
  <c r="I215" i="3"/>
  <c r="H215" i="3"/>
  <c r="G215" i="3"/>
  <c r="F215" i="3"/>
  <c r="E215" i="3"/>
  <c r="D215" i="3"/>
  <c r="C215" i="3"/>
  <c r="B215" i="3"/>
  <c r="A215" i="3"/>
  <c r="K214" i="3"/>
  <c r="L214" i="3" s="1"/>
  <c r="J214" i="3"/>
  <c r="I214" i="3"/>
  <c r="H214" i="3"/>
  <c r="G214" i="3"/>
  <c r="F214" i="3"/>
  <c r="E214" i="3"/>
  <c r="D214" i="3"/>
  <c r="C214" i="3"/>
  <c r="B214" i="3"/>
  <c r="A214" i="3"/>
  <c r="K213" i="3"/>
  <c r="L213" i="3" s="1"/>
  <c r="J213" i="3"/>
  <c r="I213" i="3"/>
  <c r="H213" i="3"/>
  <c r="G213" i="3"/>
  <c r="F213" i="3"/>
  <c r="E213" i="3"/>
  <c r="D213" i="3"/>
  <c r="C213" i="3"/>
  <c r="B213" i="3"/>
  <c r="A213" i="3"/>
  <c r="K212" i="3"/>
  <c r="L212" i="3" s="1"/>
  <c r="J212" i="3"/>
  <c r="I212" i="3"/>
  <c r="H212" i="3"/>
  <c r="G212" i="3"/>
  <c r="F212" i="3"/>
  <c r="E212" i="3"/>
  <c r="D212" i="3"/>
  <c r="C212" i="3"/>
  <c r="B212" i="3"/>
  <c r="A212" i="3"/>
  <c r="K211" i="3"/>
  <c r="L211" i="3" s="1"/>
  <c r="J211" i="3"/>
  <c r="I211" i="3"/>
  <c r="H211" i="3"/>
  <c r="G211" i="3"/>
  <c r="F211" i="3"/>
  <c r="E211" i="3"/>
  <c r="D211" i="3"/>
  <c r="C211" i="3"/>
  <c r="B211" i="3"/>
  <c r="A211" i="3"/>
  <c r="L210" i="3"/>
  <c r="K210" i="3"/>
  <c r="J210" i="3"/>
  <c r="I210" i="3"/>
  <c r="H210" i="3"/>
  <c r="G210" i="3"/>
  <c r="F210" i="3"/>
  <c r="E210" i="3"/>
  <c r="D210" i="3"/>
  <c r="C210" i="3"/>
  <c r="B210" i="3"/>
  <c r="A210" i="3"/>
  <c r="K209" i="3"/>
  <c r="L209" i="3" s="1"/>
  <c r="J209" i="3"/>
  <c r="I209" i="3"/>
  <c r="H209" i="3"/>
  <c r="G209" i="3"/>
  <c r="F209" i="3"/>
  <c r="E209" i="3"/>
  <c r="D209" i="3"/>
  <c r="C209" i="3"/>
  <c r="B209" i="3"/>
  <c r="A209" i="3"/>
  <c r="K208" i="3"/>
  <c r="L208" i="3" s="1"/>
  <c r="J208" i="3"/>
  <c r="I208" i="3"/>
  <c r="H208" i="3"/>
  <c r="G208" i="3"/>
  <c r="F208" i="3"/>
  <c r="E208" i="3"/>
  <c r="D208" i="3"/>
  <c r="C208" i="3"/>
  <c r="B208" i="3"/>
  <c r="A208" i="3"/>
  <c r="K207" i="3"/>
  <c r="L207" i="3" s="1"/>
  <c r="J207" i="3"/>
  <c r="I207" i="3"/>
  <c r="H207" i="3"/>
  <c r="G207" i="3"/>
  <c r="F207" i="3"/>
  <c r="E207" i="3"/>
  <c r="D207" i="3"/>
  <c r="C207" i="3"/>
  <c r="B207" i="3"/>
  <c r="A207" i="3"/>
  <c r="K206" i="3"/>
  <c r="L206" i="3" s="1"/>
  <c r="J206" i="3"/>
  <c r="I206" i="3"/>
  <c r="H206" i="3"/>
  <c r="G206" i="3"/>
  <c r="F206" i="3"/>
  <c r="E206" i="3"/>
  <c r="D206" i="3"/>
  <c r="C206" i="3"/>
  <c r="B206" i="3"/>
  <c r="A206" i="3"/>
  <c r="K205" i="3"/>
  <c r="L205" i="3" s="1"/>
  <c r="J205" i="3"/>
  <c r="I205" i="3"/>
  <c r="H205" i="3"/>
  <c r="G205" i="3"/>
  <c r="F205" i="3"/>
  <c r="E205" i="3"/>
  <c r="D205" i="3"/>
  <c r="C205" i="3"/>
  <c r="B205" i="3"/>
  <c r="A205" i="3"/>
  <c r="L204" i="3"/>
  <c r="K204" i="3"/>
  <c r="J204" i="3"/>
  <c r="I204" i="3"/>
  <c r="H204" i="3"/>
  <c r="G204" i="3"/>
  <c r="F204" i="3"/>
  <c r="E204" i="3"/>
  <c r="D204" i="3"/>
  <c r="C204" i="3"/>
  <c r="B204" i="3"/>
  <c r="A204" i="3"/>
  <c r="K203" i="3"/>
  <c r="L203" i="3" s="1"/>
  <c r="J203" i="3"/>
  <c r="I203" i="3"/>
  <c r="H203" i="3"/>
  <c r="G203" i="3"/>
  <c r="F203" i="3"/>
  <c r="E203" i="3"/>
  <c r="D203" i="3"/>
  <c r="C203" i="3"/>
  <c r="B203" i="3"/>
  <c r="A203" i="3"/>
  <c r="L202" i="3"/>
  <c r="K202" i="3"/>
  <c r="J202" i="3"/>
  <c r="I202" i="3"/>
  <c r="H202" i="3"/>
  <c r="G202" i="3"/>
  <c r="F202" i="3"/>
  <c r="E202" i="3"/>
  <c r="D202" i="3"/>
  <c r="C202" i="3"/>
  <c r="B202" i="3"/>
  <c r="A202" i="3"/>
  <c r="K201" i="3"/>
  <c r="L201" i="3" s="1"/>
  <c r="J201" i="3"/>
  <c r="I201" i="3"/>
  <c r="H201" i="3"/>
  <c r="G201" i="3"/>
  <c r="F201" i="3"/>
  <c r="E201" i="3"/>
  <c r="D201" i="3"/>
  <c r="C201" i="3"/>
  <c r="B201" i="3"/>
  <c r="A201" i="3"/>
  <c r="K200" i="3"/>
  <c r="L200" i="3" s="1"/>
  <c r="J200" i="3"/>
  <c r="I200" i="3"/>
  <c r="H200" i="3"/>
  <c r="G200" i="3"/>
  <c r="F200" i="3"/>
  <c r="E200" i="3"/>
  <c r="D200" i="3"/>
  <c r="C200" i="3"/>
  <c r="B200" i="3"/>
  <c r="A200" i="3"/>
  <c r="K199" i="3"/>
  <c r="L199" i="3" s="1"/>
  <c r="J199" i="3"/>
  <c r="I199" i="3"/>
  <c r="H199" i="3"/>
  <c r="G199" i="3"/>
  <c r="F199" i="3"/>
  <c r="E199" i="3"/>
  <c r="D199" i="3"/>
  <c r="C199" i="3"/>
  <c r="B199" i="3"/>
  <c r="A199" i="3"/>
  <c r="K198" i="3"/>
  <c r="L198" i="3" s="1"/>
  <c r="J198" i="3"/>
  <c r="I198" i="3"/>
  <c r="H198" i="3"/>
  <c r="G198" i="3"/>
  <c r="F198" i="3"/>
  <c r="E198" i="3"/>
  <c r="D198" i="3"/>
  <c r="C198" i="3"/>
  <c r="B198" i="3"/>
  <c r="A198" i="3"/>
  <c r="K197" i="3"/>
  <c r="L197" i="3" s="1"/>
  <c r="J197" i="3"/>
  <c r="I197" i="3"/>
  <c r="H197" i="3"/>
  <c r="G197" i="3"/>
  <c r="F197" i="3"/>
  <c r="E197" i="3"/>
  <c r="D197" i="3"/>
  <c r="C197" i="3"/>
  <c r="B197" i="3"/>
  <c r="A197" i="3"/>
  <c r="K196" i="3"/>
  <c r="L196" i="3" s="1"/>
  <c r="J196" i="3"/>
  <c r="I196" i="3"/>
  <c r="H196" i="3"/>
  <c r="G196" i="3"/>
  <c r="F196" i="3"/>
  <c r="E196" i="3"/>
  <c r="D196" i="3"/>
  <c r="C196" i="3"/>
  <c r="B196" i="3"/>
  <c r="A196" i="3"/>
  <c r="K195" i="3"/>
  <c r="L195" i="3" s="1"/>
  <c r="J195" i="3"/>
  <c r="I195" i="3"/>
  <c r="H195" i="3"/>
  <c r="G195" i="3"/>
  <c r="F195" i="3"/>
  <c r="E195" i="3"/>
  <c r="D195" i="3"/>
  <c r="C195" i="3"/>
  <c r="B195" i="3"/>
  <c r="A195" i="3"/>
  <c r="L194" i="3"/>
  <c r="K194" i="3"/>
  <c r="J194" i="3"/>
  <c r="I194" i="3"/>
  <c r="H194" i="3"/>
  <c r="G194" i="3"/>
  <c r="F194" i="3"/>
  <c r="E194" i="3"/>
  <c r="D194" i="3"/>
  <c r="C194" i="3"/>
  <c r="B194" i="3"/>
  <c r="A194" i="3"/>
  <c r="K193" i="3"/>
  <c r="L193" i="3" s="1"/>
  <c r="J193" i="3"/>
  <c r="I193" i="3"/>
  <c r="H193" i="3"/>
  <c r="G193" i="3"/>
  <c r="F193" i="3"/>
  <c r="E193" i="3"/>
  <c r="D193" i="3"/>
  <c r="C193" i="3"/>
  <c r="B193" i="3"/>
  <c r="A193" i="3"/>
  <c r="K192" i="3"/>
  <c r="L192" i="3" s="1"/>
  <c r="J192" i="3"/>
  <c r="I192" i="3"/>
  <c r="H192" i="3"/>
  <c r="G192" i="3"/>
  <c r="F192" i="3"/>
  <c r="E192" i="3"/>
  <c r="D192" i="3"/>
  <c r="C192" i="3"/>
  <c r="B192" i="3"/>
  <c r="A192" i="3"/>
  <c r="K191" i="3"/>
  <c r="L191" i="3" s="1"/>
  <c r="J191" i="3"/>
  <c r="I191" i="3"/>
  <c r="H191" i="3"/>
  <c r="G191" i="3"/>
  <c r="F191" i="3"/>
  <c r="E191" i="3"/>
  <c r="D191" i="3"/>
  <c r="C191" i="3"/>
  <c r="B191" i="3"/>
  <c r="A191" i="3"/>
  <c r="K190" i="3"/>
  <c r="L190" i="3" s="1"/>
  <c r="J190" i="3"/>
  <c r="I190" i="3"/>
  <c r="H190" i="3"/>
  <c r="G190" i="3"/>
  <c r="F190" i="3"/>
  <c r="E190" i="3"/>
  <c r="D190" i="3"/>
  <c r="C190" i="3"/>
  <c r="B190" i="3"/>
  <c r="A190" i="3"/>
  <c r="K189" i="3"/>
  <c r="L189" i="3" s="1"/>
  <c r="J189" i="3"/>
  <c r="I189" i="3"/>
  <c r="H189" i="3"/>
  <c r="G189" i="3"/>
  <c r="F189" i="3"/>
  <c r="E189" i="3"/>
  <c r="D189" i="3"/>
  <c r="C189" i="3"/>
  <c r="B189" i="3"/>
  <c r="A189" i="3"/>
  <c r="L188" i="3"/>
  <c r="K188" i="3"/>
  <c r="J188" i="3"/>
  <c r="I188" i="3"/>
  <c r="H188" i="3"/>
  <c r="G188" i="3"/>
  <c r="F188" i="3"/>
  <c r="E188" i="3"/>
  <c r="D188" i="3"/>
  <c r="C188" i="3"/>
  <c r="B188" i="3"/>
  <c r="A188" i="3"/>
  <c r="K187" i="3"/>
  <c r="L187" i="3" s="1"/>
  <c r="J187" i="3"/>
  <c r="I187" i="3"/>
  <c r="H187" i="3"/>
  <c r="G187" i="3"/>
  <c r="F187" i="3"/>
  <c r="E187" i="3"/>
  <c r="D187" i="3"/>
  <c r="C187" i="3"/>
  <c r="B187" i="3"/>
  <c r="A187" i="3"/>
  <c r="L186" i="3"/>
  <c r="K186" i="3"/>
  <c r="J186" i="3"/>
  <c r="I186" i="3"/>
  <c r="H186" i="3"/>
  <c r="G186" i="3"/>
  <c r="F186" i="3"/>
  <c r="E186" i="3"/>
  <c r="D186" i="3"/>
  <c r="C186" i="3"/>
  <c r="B186" i="3"/>
  <c r="A186" i="3"/>
  <c r="K185" i="3"/>
  <c r="L185" i="3" s="1"/>
  <c r="J185" i="3"/>
  <c r="I185" i="3"/>
  <c r="H185" i="3"/>
  <c r="G185" i="3"/>
  <c r="F185" i="3"/>
  <c r="E185" i="3"/>
  <c r="D185" i="3"/>
  <c r="C185" i="3"/>
  <c r="B185" i="3"/>
  <c r="A185" i="3"/>
  <c r="K184" i="3"/>
  <c r="L184" i="3" s="1"/>
  <c r="J184" i="3"/>
  <c r="I184" i="3"/>
  <c r="H184" i="3"/>
  <c r="G184" i="3"/>
  <c r="F184" i="3"/>
  <c r="E184" i="3"/>
  <c r="D184" i="3"/>
  <c r="C184" i="3"/>
  <c r="B184" i="3"/>
  <c r="A184" i="3"/>
  <c r="K183" i="3"/>
  <c r="L183" i="3" s="1"/>
  <c r="J183" i="3"/>
  <c r="I183" i="3"/>
  <c r="H183" i="3"/>
  <c r="G183" i="3"/>
  <c r="F183" i="3"/>
  <c r="E183" i="3"/>
  <c r="D183" i="3"/>
  <c r="C183" i="3"/>
  <c r="B183" i="3"/>
  <c r="A183" i="3"/>
  <c r="K182" i="3"/>
  <c r="L182" i="3" s="1"/>
  <c r="J182" i="3"/>
  <c r="I182" i="3"/>
  <c r="H182" i="3"/>
  <c r="G182" i="3"/>
  <c r="F182" i="3"/>
  <c r="E182" i="3"/>
  <c r="D182" i="3"/>
  <c r="C182" i="3"/>
  <c r="B182" i="3"/>
  <c r="A182" i="3"/>
  <c r="K181" i="3"/>
  <c r="L181" i="3" s="1"/>
  <c r="J181" i="3"/>
  <c r="I181" i="3"/>
  <c r="H181" i="3"/>
  <c r="G181" i="3"/>
  <c r="F181" i="3"/>
  <c r="E181" i="3"/>
  <c r="D181" i="3"/>
  <c r="C181" i="3"/>
  <c r="B181" i="3"/>
  <c r="A181" i="3"/>
  <c r="K180" i="3"/>
  <c r="L180" i="3" s="1"/>
  <c r="J180" i="3"/>
  <c r="I180" i="3"/>
  <c r="H180" i="3"/>
  <c r="G180" i="3"/>
  <c r="F180" i="3"/>
  <c r="E180" i="3"/>
  <c r="D180" i="3"/>
  <c r="C180" i="3"/>
  <c r="B180" i="3"/>
  <c r="A180" i="3"/>
  <c r="K179" i="3"/>
  <c r="L179" i="3" s="1"/>
  <c r="J179" i="3"/>
  <c r="I179" i="3"/>
  <c r="H179" i="3"/>
  <c r="G179" i="3"/>
  <c r="F179" i="3"/>
  <c r="E179" i="3"/>
  <c r="D179" i="3"/>
  <c r="C179" i="3"/>
  <c r="B179" i="3"/>
  <c r="A179" i="3"/>
  <c r="L178" i="3"/>
  <c r="K178" i="3"/>
  <c r="J178" i="3"/>
  <c r="I178" i="3"/>
  <c r="H178" i="3"/>
  <c r="G178" i="3"/>
  <c r="F178" i="3"/>
  <c r="E178" i="3"/>
  <c r="D178" i="3"/>
  <c r="C178" i="3"/>
  <c r="B178" i="3"/>
  <c r="A178" i="3"/>
  <c r="K177" i="3"/>
  <c r="L177" i="3" s="1"/>
  <c r="J177" i="3"/>
  <c r="I177" i="3"/>
  <c r="H177" i="3"/>
  <c r="G177" i="3"/>
  <c r="F177" i="3"/>
  <c r="E177" i="3"/>
  <c r="D177" i="3"/>
  <c r="C177" i="3"/>
  <c r="B177" i="3"/>
  <c r="A177" i="3"/>
  <c r="K176" i="3"/>
  <c r="L176" i="3" s="1"/>
  <c r="J176" i="3"/>
  <c r="I176" i="3"/>
  <c r="H176" i="3"/>
  <c r="G176" i="3"/>
  <c r="F176" i="3"/>
  <c r="E176" i="3"/>
  <c r="D176" i="3"/>
  <c r="C176" i="3"/>
  <c r="B176" i="3"/>
  <c r="A176" i="3"/>
  <c r="K175" i="3"/>
  <c r="L175" i="3" s="1"/>
  <c r="J175" i="3"/>
  <c r="I175" i="3"/>
  <c r="H175" i="3"/>
  <c r="G175" i="3"/>
  <c r="F175" i="3"/>
  <c r="E175" i="3"/>
  <c r="D175" i="3"/>
  <c r="C175" i="3"/>
  <c r="B175" i="3"/>
  <c r="A175" i="3"/>
  <c r="K174" i="3"/>
  <c r="L174" i="3" s="1"/>
  <c r="J174" i="3"/>
  <c r="I174" i="3"/>
  <c r="H174" i="3"/>
  <c r="G174" i="3"/>
  <c r="F174" i="3"/>
  <c r="E174" i="3"/>
  <c r="D174" i="3"/>
  <c r="C174" i="3"/>
  <c r="B174" i="3"/>
  <c r="A174" i="3"/>
  <c r="K173" i="3"/>
  <c r="L173" i="3" s="1"/>
  <c r="J173" i="3"/>
  <c r="I173" i="3"/>
  <c r="H173" i="3"/>
  <c r="G173" i="3"/>
  <c r="F173" i="3"/>
  <c r="E173" i="3"/>
  <c r="D173" i="3"/>
  <c r="C173" i="3"/>
  <c r="B173" i="3"/>
  <c r="A173" i="3"/>
  <c r="L172" i="3"/>
  <c r="K172" i="3"/>
  <c r="J172" i="3"/>
  <c r="I172" i="3"/>
  <c r="H172" i="3"/>
  <c r="G172" i="3"/>
  <c r="F172" i="3"/>
  <c r="E172" i="3"/>
  <c r="D172" i="3"/>
  <c r="C172" i="3"/>
  <c r="B172" i="3"/>
  <c r="A172" i="3"/>
  <c r="K171" i="3"/>
  <c r="L171" i="3" s="1"/>
  <c r="J171" i="3"/>
  <c r="I171" i="3"/>
  <c r="H171" i="3"/>
  <c r="G171" i="3"/>
  <c r="F171" i="3"/>
  <c r="E171" i="3"/>
  <c r="D171" i="3"/>
  <c r="C171" i="3"/>
  <c r="B171" i="3"/>
  <c r="A171" i="3"/>
  <c r="L170" i="3"/>
  <c r="K170" i="3"/>
  <c r="J170" i="3"/>
  <c r="I170" i="3"/>
  <c r="H170" i="3"/>
  <c r="G170" i="3"/>
  <c r="F170" i="3"/>
  <c r="E170" i="3"/>
  <c r="D170" i="3"/>
  <c r="C170" i="3"/>
  <c r="B170" i="3"/>
  <c r="A170" i="3"/>
  <c r="K169" i="3"/>
  <c r="L169" i="3" s="1"/>
  <c r="J169" i="3"/>
  <c r="I169" i="3"/>
  <c r="H169" i="3"/>
  <c r="G169" i="3"/>
  <c r="F169" i="3"/>
  <c r="E169" i="3"/>
  <c r="D169" i="3"/>
  <c r="C169" i="3"/>
  <c r="B169" i="3"/>
  <c r="A169" i="3"/>
  <c r="K168" i="3"/>
  <c r="L168" i="3" s="1"/>
  <c r="J168" i="3"/>
  <c r="I168" i="3"/>
  <c r="H168" i="3"/>
  <c r="G168" i="3"/>
  <c r="F168" i="3"/>
  <c r="E168" i="3"/>
  <c r="D168" i="3"/>
  <c r="C168" i="3"/>
  <c r="B168" i="3"/>
  <c r="A168" i="3"/>
  <c r="K167" i="3"/>
  <c r="L167" i="3" s="1"/>
  <c r="J167" i="3"/>
  <c r="I167" i="3"/>
  <c r="H167" i="3"/>
  <c r="G167" i="3"/>
  <c r="F167" i="3"/>
  <c r="E167" i="3"/>
  <c r="D167" i="3"/>
  <c r="C167" i="3"/>
  <c r="B167" i="3"/>
  <c r="A167" i="3"/>
  <c r="K166" i="3"/>
  <c r="L166" i="3" s="1"/>
  <c r="J166" i="3"/>
  <c r="I166" i="3"/>
  <c r="H166" i="3"/>
  <c r="G166" i="3"/>
  <c r="F166" i="3"/>
  <c r="E166" i="3"/>
  <c r="D166" i="3"/>
  <c r="C166" i="3"/>
  <c r="B166" i="3"/>
  <c r="A166" i="3"/>
  <c r="K165" i="3"/>
  <c r="L165" i="3" s="1"/>
  <c r="J165" i="3"/>
  <c r="I165" i="3"/>
  <c r="H165" i="3"/>
  <c r="G165" i="3"/>
  <c r="F165" i="3"/>
  <c r="E165" i="3"/>
  <c r="D165" i="3"/>
  <c r="C165" i="3"/>
  <c r="B165" i="3"/>
  <c r="A165" i="3"/>
  <c r="K164" i="3"/>
  <c r="L164" i="3" s="1"/>
  <c r="J164" i="3"/>
  <c r="I164" i="3"/>
  <c r="H164" i="3"/>
  <c r="G164" i="3"/>
  <c r="F164" i="3"/>
  <c r="E164" i="3"/>
  <c r="D164" i="3"/>
  <c r="C164" i="3"/>
  <c r="B164" i="3"/>
  <c r="A164" i="3"/>
  <c r="K163" i="3"/>
  <c r="J163" i="3"/>
  <c r="I163" i="3"/>
  <c r="H163" i="3"/>
  <c r="G163" i="3"/>
  <c r="F163" i="3"/>
  <c r="E163" i="3"/>
  <c r="D163" i="3"/>
  <c r="C163" i="3"/>
  <c r="B163" i="3"/>
  <c r="A163" i="3"/>
  <c r="L162" i="3"/>
  <c r="K162" i="3"/>
  <c r="J162" i="3"/>
  <c r="I162" i="3"/>
  <c r="H162" i="3"/>
  <c r="G162" i="3"/>
  <c r="F162" i="3"/>
  <c r="E162" i="3"/>
  <c r="D162" i="3"/>
  <c r="C162" i="3"/>
  <c r="B162" i="3"/>
  <c r="A162" i="3"/>
  <c r="K161" i="3"/>
  <c r="L161" i="3" s="1"/>
  <c r="J161" i="3"/>
  <c r="I161" i="3"/>
  <c r="H161" i="3"/>
  <c r="G161" i="3"/>
  <c r="F161" i="3"/>
  <c r="E161" i="3"/>
  <c r="D161" i="3"/>
  <c r="C161" i="3"/>
  <c r="B161" i="3"/>
  <c r="A161" i="3"/>
  <c r="K160" i="3"/>
  <c r="L160" i="3" s="1"/>
  <c r="J160" i="3"/>
  <c r="I160" i="3"/>
  <c r="H160" i="3"/>
  <c r="G160" i="3"/>
  <c r="F160" i="3"/>
  <c r="E160" i="3"/>
  <c r="D160" i="3"/>
  <c r="C160" i="3"/>
  <c r="B160" i="3"/>
  <c r="A160" i="3"/>
  <c r="K159" i="3"/>
  <c r="L159" i="3" s="1"/>
  <c r="J159" i="3"/>
  <c r="I159" i="3"/>
  <c r="H159" i="3"/>
  <c r="G159" i="3"/>
  <c r="F159" i="3"/>
  <c r="E159" i="3"/>
  <c r="D159" i="3"/>
  <c r="C159" i="3"/>
  <c r="B159" i="3"/>
  <c r="A159" i="3"/>
  <c r="K158" i="3"/>
  <c r="L158" i="3" s="1"/>
  <c r="J158" i="3"/>
  <c r="I158" i="3"/>
  <c r="H158" i="3"/>
  <c r="G158" i="3"/>
  <c r="F158" i="3"/>
  <c r="E158" i="3"/>
  <c r="D158" i="3"/>
  <c r="C158" i="3"/>
  <c r="B158" i="3"/>
  <c r="A158" i="3"/>
  <c r="K157" i="3"/>
  <c r="L157" i="3" s="1"/>
  <c r="J157" i="3"/>
  <c r="I157" i="3"/>
  <c r="H157" i="3"/>
  <c r="G157" i="3"/>
  <c r="F157" i="3"/>
  <c r="E157" i="3"/>
  <c r="D157" i="3"/>
  <c r="C157" i="3"/>
  <c r="B157" i="3"/>
  <c r="A157" i="3"/>
  <c r="L156" i="3"/>
  <c r="K156" i="3"/>
  <c r="J156" i="3"/>
  <c r="I156" i="3"/>
  <c r="H156" i="3"/>
  <c r="G156" i="3"/>
  <c r="F156" i="3"/>
  <c r="E156" i="3"/>
  <c r="D156" i="3"/>
  <c r="C156" i="3"/>
  <c r="B156" i="3"/>
  <c r="A156" i="3"/>
  <c r="K155" i="3"/>
  <c r="L155" i="3" s="1"/>
  <c r="J155" i="3"/>
  <c r="I155" i="3"/>
  <c r="H155" i="3"/>
  <c r="G155" i="3"/>
  <c r="F155" i="3"/>
  <c r="E155" i="3"/>
  <c r="D155" i="3"/>
  <c r="C155" i="3"/>
  <c r="B155" i="3"/>
  <c r="A155" i="3"/>
  <c r="L154" i="3"/>
  <c r="K154" i="3"/>
  <c r="J154" i="3"/>
  <c r="I154" i="3"/>
  <c r="H154" i="3"/>
  <c r="G154" i="3"/>
  <c r="F154" i="3"/>
  <c r="E154" i="3"/>
  <c r="D154" i="3"/>
  <c r="C154" i="3"/>
  <c r="B154" i="3"/>
  <c r="A154" i="3"/>
  <c r="K153" i="3"/>
  <c r="L153" i="3" s="1"/>
  <c r="J153" i="3"/>
  <c r="I153" i="3"/>
  <c r="H153" i="3"/>
  <c r="G153" i="3"/>
  <c r="F153" i="3"/>
  <c r="E153" i="3"/>
  <c r="D153" i="3"/>
  <c r="C153" i="3"/>
  <c r="B153" i="3"/>
  <c r="A153" i="3"/>
  <c r="K152" i="3"/>
  <c r="L152" i="3" s="1"/>
  <c r="J152" i="3"/>
  <c r="I152" i="3"/>
  <c r="H152" i="3"/>
  <c r="G152" i="3"/>
  <c r="F152" i="3"/>
  <c r="E152" i="3"/>
  <c r="D152" i="3"/>
  <c r="C152" i="3"/>
  <c r="B152" i="3"/>
  <c r="A152" i="3"/>
  <c r="K151" i="3"/>
  <c r="L151" i="3" s="1"/>
  <c r="J151" i="3"/>
  <c r="I151" i="3"/>
  <c r="H151" i="3"/>
  <c r="G151" i="3"/>
  <c r="F151" i="3"/>
  <c r="E151" i="3"/>
  <c r="D151" i="3"/>
  <c r="C151" i="3"/>
  <c r="B151" i="3"/>
  <c r="A151" i="3"/>
  <c r="K150" i="3"/>
  <c r="L150" i="3" s="1"/>
  <c r="J150" i="3"/>
  <c r="I150" i="3"/>
  <c r="H150" i="3"/>
  <c r="G150" i="3"/>
  <c r="F150" i="3"/>
  <c r="E150" i="3"/>
  <c r="D150" i="3"/>
  <c r="C150" i="3"/>
  <c r="B150" i="3"/>
  <c r="A150" i="3"/>
  <c r="K149" i="3"/>
  <c r="L149" i="3" s="1"/>
  <c r="J149" i="3"/>
  <c r="I149" i="3"/>
  <c r="H149" i="3"/>
  <c r="G149" i="3"/>
  <c r="F149" i="3"/>
  <c r="E149" i="3"/>
  <c r="D149" i="3"/>
  <c r="C149" i="3"/>
  <c r="B149" i="3"/>
  <c r="A149" i="3"/>
  <c r="K148" i="3"/>
  <c r="L148" i="3" s="1"/>
  <c r="J148" i="3"/>
  <c r="I148" i="3"/>
  <c r="H148" i="3"/>
  <c r="G148" i="3"/>
  <c r="F148" i="3"/>
  <c r="E148" i="3"/>
  <c r="D148" i="3"/>
  <c r="C148" i="3"/>
  <c r="B148" i="3"/>
  <c r="A148" i="3"/>
  <c r="K147" i="3"/>
  <c r="L147" i="3" s="1"/>
  <c r="J147" i="3"/>
  <c r="I147" i="3"/>
  <c r="H147" i="3"/>
  <c r="G147" i="3"/>
  <c r="F147" i="3"/>
  <c r="E147" i="3"/>
  <c r="D147" i="3"/>
  <c r="C147" i="3"/>
  <c r="B147" i="3"/>
  <c r="A147" i="3"/>
  <c r="L146" i="3"/>
  <c r="K146" i="3"/>
  <c r="J146" i="3"/>
  <c r="I146" i="3"/>
  <c r="H146" i="3"/>
  <c r="G146" i="3"/>
  <c r="F146" i="3"/>
  <c r="E146" i="3"/>
  <c r="D146" i="3"/>
  <c r="C146" i="3"/>
  <c r="B146" i="3"/>
  <c r="A146" i="3"/>
  <c r="K145" i="3"/>
  <c r="L145" i="3" s="1"/>
  <c r="J145" i="3"/>
  <c r="I145" i="3"/>
  <c r="H145" i="3"/>
  <c r="G145" i="3"/>
  <c r="F145" i="3"/>
  <c r="E145" i="3"/>
  <c r="D145" i="3"/>
  <c r="C145" i="3"/>
  <c r="B145" i="3"/>
  <c r="A145" i="3"/>
  <c r="K144" i="3"/>
  <c r="L144" i="3" s="1"/>
  <c r="J144" i="3"/>
  <c r="I144" i="3"/>
  <c r="H144" i="3"/>
  <c r="G144" i="3"/>
  <c r="F144" i="3"/>
  <c r="E144" i="3"/>
  <c r="D144" i="3"/>
  <c r="C144" i="3"/>
  <c r="B144" i="3"/>
  <c r="A144" i="3"/>
  <c r="K143" i="3"/>
  <c r="L143" i="3" s="1"/>
  <c r="J143" i="3"/>
  <c r="I143" i="3"/>
  <c r="H143" i="3"/>
  <c r="G143" i="3"/>
  <c r="F143" i="3"/>
  <c r="E143" i="3"/>
  <c r="D143" i="3"/>
  <c r="C143" i="3"/>
  <c r="B143" i="3"/>
  <c r="A143" i="3"/>
  <c r="K142" i="3"/>
  <c r="L142" i="3" s="1"/>
  <c r="J142" i="3"/>
  <c r="I142" i="3"/>
  <c r="H142" i="3"/>
  <c r="G142" i="3"/>
  <c r="F142" i="3"/>
  <c r="E142" i="3"/>
  <c r="D142" i="3"/>
  <c r="C142" i="3"/>
  <c r="B142" i="3"/>
  <c r="A142" i="3"/>
  <c r="K141" i="3"/>
  <c r="L141" i="3" s="1"/>
  <c r="J141" i="3"/>
  <c r="I141" i="3"/>
  <c r="H141" i="3"/>
  <c r="G141" i="3"/>
  <c r="F141" i="3"/>
  <c r="E141" i="3"/>
  <c r="D141" i="3"/>
  <c r="C141" i="3"/>
  <c r="B141" i="3"/>
  <c r="A141" i="3"/>
  <c r="K140" i="3"/>
  <c r="J140" i="3"/>
  <c r="I140" i="3"/>
  <c r="H140" i="3"/>
  <c r="G140" i="3"/>
  <c r="F140" i="3"/>
  <c r="L140" i="3" s="1"/>
  <c r="E140" i="3"/>
  <c r="D140" i="3"/>
  <c r="C140" i="3"/>
  <c r="B140" i="3"/>
  <c r="A140" i="3"/>
  <c r="K139" i="3"/>
  <c r="L139" i="3" s="1"/>
  <c r="J139" i="3"/>
  <c r="I139" i="3"/>
  <c r="H139" i="3"/>
  <c r="G139" i="3"/>
  <c r="F139" i="3"/>
  <c r="E139" i="3"/>
  <c r="D139" i="3"/>
  <c r="C139" i="3"/>
  <c r="B139" i="3"/>
  <c r="A139" i="3"/>
  <c r="L138" i="3"/>
  <c r="K138" i="3"/>
  <c r="J138" i="3"/>
  <c r="I138" i="3"/>
  <c r="H138" i="3"/>
  <c r="G138" i="3"/>
  <c r="F138" i="3"/>
  <c r="E138" i="3"/>
  <c r="D138" i="3"/>
  <c r="C138" i="3"/>
  <c r="B138" i="3"/>
  <c r="A138" i="3"/>
  <c r="K137" i="3"/>
  <c r="L137" i="3" s="1"/>
  <c r="J137" i="3"/>
  <c r="I137" i="3"/>
  <c r="H137" i="3"/>
  <c r="G137" i="3"/>
  <c r="F137" i="3"/>
  <c r="E137" i="3"/>
  <c r="D137" i="3"/>
  <c r="C137" i="3"/>
  <c r="B137" i="3"/>
  <c r="A137" i="3"/>
  <c r="K136" i="3"/>
  <c r="L136" i="3" s="1"/>
  <c r="J136" i="3"/>
  <c r="I136" i="3"/>
  <c r="H136" i="3"/>
  <c r="G136" i="3"/>
  <c r="F136" i="3"/>
  <c r="E136" i="3"/>
  <c r="D136" i="3"/>
  <c r="C136" i="3"/>
  <c r="B136" i="3"/>
  <c r="A136" i="3"/>
  <c r="K135" i="3"/>
  <c r="L135" i="3" s="1"/>
  <c r="J135" i="3"/>
  <c r="I135" i="3"/>
  <c r="H135" i="3"/>
  <c r="G135" i="3"/>
  <c r="F135" i="3"/>
  <c r="E135" i="3"/>
  <c r="D135" i="3"/>
  <c r="C135" i="3"/>
  <c r="B135" i="3"/>
  <c r="A135" i="3"/>
  <c r="K134" i="3"/>
  <c r="L134" i="3" s="1"/>
  <c r="J134" i="3"/>
  <c r="I134" i="3"/>
  <c r="H134" i="3"/>
  <c r="G134" i="3"/>
  <c r="F134" i="3"/>
  <c r="E134" i="3"/>
  <c r="D134" i="3"/>
  <c r="C134" i="3"/>
  <c r="B134" i="3"/>
  <c r="A134" i="3"/>
  <c r="K133" i="3"/>
  <c r="J133" i="3"/>
  <c r="I133" i="3"/>
  <c r="H133" i="3"/>
  <c r="G133" i="3"/>
  <c r="F133" i="3"/>
  <c r="E133" i="3"/>
  <c r="D133" i="3"/>
  <c r="C133" i="3"/>
  <c r="B133" i="3"/>
  <c r="A133" i="3"/>
  <c r="K132" i="3"/>
  <c r="L132" i="3" s="1"/>
  <c r="J132" i="3"/>
  <c r="I132" i="3"/>
  <c r="H132" i="3"/>
  <c r="G132" i="3"/>
  <c r="F132" i="3"/>
  <c r="E132" i="3"/>
  <c r="D132" i="3"/>
  <c r="C132" i="3"/>
  <c r="B132" i="3"/>
  <c r="A132" i="3"/>
  <c r="K131" i="3"/>
  <c r="J131" i="3"/>
  <c r="I131" i="3"/>
  <c r="H131" i="3"/>
  <c r="G131" i="3"/>
  <c r="F131" i="3"/>
  <c r="E131" i="3"/>
  <c r="D131" i="3"/>
  <c r="C131" i="3"/>
  <c r="B131" i="3"/>
  <c r="A131" i="3"/>
  <c r="L130" i="3"/>
  <c r="K130" i="3"/>
  <c r="J130" i="3"/>
  <c r="I130" i="3"/>
  <c r="H130" i="3"/>
  <c r="G130" i="3"/>
  <c r="F130" i="3"/>
  <c r="E130" i="3"/>
  <c r="D130" i="3"/>
  <c r="C130" i="3"/>
  <c r="B130" i="3"/>
  <c r="A130" i="3"/>
  <c r="K129" i="3"/>
  <c r="L129" i="3" s="1"/>
  <c r="J129" i="3"/>
  <c r="I129" i="3"/>
  <c r="H129" i="3"/>
  <c r="G129" i="3"/>
  <c r="F129" i="3"/>
  <c r="E129" i="3"/>
  <c r="D129" i="3"/>
  <c r="C129" i="3"/>
  <c r="B129" i="3"/>
  <c r="A129" i="3"/>
  <c r="K128" i="3"/>
  <c r="L128" i="3" s="1"/>
  <c r="J128" i="3"/>
  <c r="I128" i="3"/>
  <c r="H128" i="3"/>
  <c r="G128" i="3"/>
  <c r="F128" i="3"/>
  <c r="E128" i="3"/>
  <c r="D128" i="3"/>
  <c r="C128" i="3"/>
  <c r="B128" i="3"/>
  <c r="A128" i="3"/>
  <c r="K127" i="3"/>
  <c r="L127" i="3" s="1"/>
  <c r="J127" i="3"/>
  <c r="I127" i="3"/>
  <c r="H127" i="3"/>
  <c r="G127" i="3"/>
  <c r="F127" i="3"/>
  <c r="E127" i="3"/>
  <c r="D127" i="3"/>
  <c r="C127" i="3"/>
  <c r="B127" i="3"/>
  <c r="A127" i="3"/>
  <c r="K126" i="3"/>
  <c r="L126" i="3" s="1"/>
  <c r="J126" i="3"/>
  <c r="I126" i="3"/>
  <c r="H126" i="3"/>
  <c r="G126" i="3"/>
  <c r="F126" i="3"/>
  <c r="E126" i="3"/>
  <c r="D126" i="3"/>
  <c r="C126" i="3"/>
  <c r="B126" i="3"/>
  <c r="A126" i="3"/>
  <c r="K125" i="3"/>
  <c r="L125" i="3" s="1"/>
  <c r="J125" i="3"/>
  <c r="I125" i="3"/>
  <c r="H125" i="3"/>
  <c r="G125" i="3"/>
  <c r="F125" i="3"/>
  <c r="E125" i="3"/>
  <c r="D125" i="3"/>
  <c r="C125" i="3"/>
  <c r="B125" i="3"/>
  <c r="A125" i="3"/>
  <c r="L124" i="3"/>
  <c r="K124" i="3"/>
  <c r="J124" i="3"/>
  <c r="I124" i="3"/>
  <c r="H124" i="3"/>
  <c r="G124" i="3"/>
  <c r="F124" i="3"/>
  <c r="E124" i="3"/>
  <c r="D124" i="3"/>
  <c r="C124" i="3"/>
  <c r="B124" i="3"/>
  <c r="A124" i="3"/>
  <c r="K123" i="3"/>
  <c r="L123" i="3" s="1"/>
  <c r="J123" i="3"/>
  <c r="I123" i="3"/>
  <c r="H123" i="3"/>
  <c r="G123" i="3"/>
  <c r="F123" i="3"/>
  <c r="E123" i="3"/>
  <c r="D123" i="3"/>
  <c r="C123" i="3"/>
  <c r="B123" i="3"/>
  <c r="A123" i="3"/>
  <c r="L122" i="3"/>
  <c r="K122" i="3"/>
  <c r="J122" i="3"/>
  <c r="I122" i="3"/>
  <c r="H122" i="3"/>
  <c r="G122" i="3"/>
  <c r="F122" i="3"/>
  <c r="E122" i="3"/>
  <c r="D122" i="3"/>
  <c r="C122" i="3"/>
  <c r="B122" i="3"/>
  <c r="A122" i="3"/>
  <c r="K121" i="3"/>
  <c r="L121" i="3" s="1"/>
  <c r="J121" i="3"/>
  <c r="I121" i="3"/>
  <c r="H121" i="3"/>
  <c r="G121" i="3"/>
  <c r="F121" i="3"/>
  <c r="E121" i="3"/>
  <c r="D121" i="3"/>
  <c r="C121" i="3"/>
  <c r="B121" i="3"/>
  <c r="A121" i="3"/>
  <c r="K120" i="3"/>
  <c r="L120" i="3" s="1"/>
  <c r="J120" i="3"/>
  <c r="I120" i="3"/>
  <c r="H120" i="3"/>
  <c r="G120" i="3"/>
  <c r="F120" i="3"/>
  <c r="E120" i="3"/>
  <c r="D120" i="3"/>
  <c r="C120" i="3"/>
  <c r="B120" i="3"/>
  <c r="A120" i="3"/>
  <c r="K119" i="3"/>
  <c r="L119" i="3" s="1"/>
  <c r="J119" i="3"/>
  <c r="I119" i="3"/>
  <c r="H119" i="3"/>
  <c r="G119" i="3"/>
  <c r="F119" i="3"/>
  <c r="E119" i="3"/>
  <c r="D119" i="3"/>
  <c r="C119" i="3"/>
  <c r="B119" i="3"/>
  <c r="A119" i="3"/>
  <c r="K118" i="3"/>
  <c r="L118" i="3" s="1"/>
  <c r="J118" i="3"/>
  <c r="I118" i="3"/>
  <c r="H118" i="3"/>
  <c r="G118" i="3"/>
  <c r="F118" i="3"/>
  <c r="E118" i="3"/>
  <c r="D118" i="3"/>
  <c r="C118" i="3"/>
  <c r="B118" i="3"/>
  <c r="A118" i="3"/>
  <c r="K117" i="3"/>
  <c r="L117" i="3" s="1"/>
  <c r="J117" i="3"/>
  <c r="I117" i="3"/>
  <c r="H117" i="3"/>
  <c r="G117" i="3"/>
  <c r="F117" i="3"/>
  <c r="E117" i="3"/>
  <c r="D117" i="3"/>
  <c r="C117" i="3"/>
  <c r="B117" i="3"/>
  <c r="A117" i="3"/>
  <c r="K116" i="3"/>
  <c r="L116" i="3" s="1"/>
  <c r="J116" i="3"/>
  <c r="I116" i="3"/>
  <c r="H116" i="3"/>
  <c r="G116" i="3"/>
  <c r="F116" i="3"/>
  <c r="E116" i="3"/>
  <c r="D116" i="3"/>
  <c r="C116" i="3"/>
  <c r="B116" i="3"/>
  <c r="A116" i="3"/>
  <c r="K115" i="3"/>
  <c r="L115" i="3" s="1"/>
  <c r="J115" i="3"/>
  <c r="I115" i="3"/>
  <c r="H115" i="3"/>
  <c r="G115" i="3"/>
  <c r="F115" i="3"/>
  <c r="E115" i="3"/>
  <c r="D115" i="3"/>
  <c r="C115" i="3"/>
  <c r="B115" i="3"/>
  <c r="A115" i="3"/>
  <c r="L114" i="3"/>
  <c r="K114" i="3"/>
  <c r="J114" i="3"/>
  <c r="I114" i="3"/>
  <c r="H114" i="3"/>
  <c r="G114" i="3"/>
  <c r="F114" i="3"/>
  <c r="E114" i="3"/>
  <c r="D114" i="3"/>
  <c r="C114" i="3"/>
  <c r="B114" i="3"/>
  <c r="A114" i="3"/>
  <c r="K113" i="3"/>
  <c r="L113" i="3" s="1"/>
  <c r="J113" i="3"/>
  <c r="I113" i="3"/>
  <c r="H113" i="3"/>
  <c r="G113" i="3"/>
  <c r="F113" i="3"/>
  <c r="E113" i="3"/>
  <c r="D113" i="3"/>
  <c r="C113" i="3"/>
  <c r="B113" i="3"/>
  <c r="A113" i="3"/>
  <c r="K112" i="3"/>
  <c r="L112" i="3" s="1"/>
  <c r="J112" i="3"/>
  <c r="I112" i="3"/>
  <c r="H112" i="3"/>
  <c r="G112" i="3"/>
  <c r="F112" i="3"/>
  <c r="E112" i="3"/>
  <c r="D112" i="3"/>
  <c r="C112" i="3"/>
  <c r="B112" i="3"/>
  <c r="A112" i="3"/>
  <c r="K111" i="3"/>
  <c r="L111" i="3" s="1"/>
  <c r="J111" i="3"/>
  <c r="I111" i="3"/>
  <c r="H111" i="3"/>
  <c r="G111" i="3"/>
  <c r="F111" i="3"/>
  <c r="E111" i="3"/>
  <c r="D111" i="3"/>
  <c r="C111" i="3"/>
  <c r="B111" i="3"/>
  <c r="A111" i="3"/>
  <c r="K110" i="3"/>
  <c r="L110" i="3" s="1"/>
  <c r="J110" i="3"/>
  <c r="I110" i="3"/>
  <c r="H110" i="3"/>
  <c r="G110" i="3"/>
  <c r="F110" i="3"/>
  <c r="E110" i="3"/>
  <c r="D110" i="3"/>
  <c r="C110" i="3"/>
  <c r="B110" i="3"/>
  <c r="A110" i="3"/>
  <c r="K109" i="3"/>
  <c r="L109" i="3" s="1"/>
  <c r="J109" i="3"/>
  <c r="I109" i="3"/>
  <c r="H109" i="3"/>
  <c r="G109" i="3"/>
  <c r="F109" i="3"/>
  <c r="E109" i="3"/>
  <c r="D109" i="3"/>
  <c r="C109" i="3"/>
  <c r="B109" i="3"/>
  <c r="A109" i="3"/>
  <c r="L108" i="3"/>
  <c r="K108" i="3"/>
  <c r="J108" i="3"/>
  <c r="I108" i="3"/>
  <c r="H108" i="3"/>
  <c r="G108" i="3"/>
  <c r="F108" i="3"/>
  <c r="E108" i="3"/>
  <c r="D108" i="3"/>
  <c r="C108" i="3"/>
  <c r="B108" i="3"/>
  <c r="A108" i="3"/>
  <c r="K107" i="3"/>
  <c r="L107" i="3" s="1"/>
  <c r="J107" i="3"/>
  <c r="I107" i="3"/>
  <c r="H107" i="3"/>
  <c r="G107" i="3"/>
  <c r="F107" i="3"/>
  <c r="E107" i="3"/>
  <c r="D107" i="3"/>
  <c r="C107" i="3"/>
  <c r="B107" i="3"/>
  <c r="A107" i="3"/>
  <c r="L106" i="3"/>
  <c r="K106" i="3"/>
  <c r="J106" i="3"/>
  <c r="I106" i="3"/>
  <c r="H106" i="3"/>
  <c r="G106" i="3"/>
  <c r="F106" i="3"/>
  <c r="E106" i="3"/>
  <c r="D106" i="3"/>
  <c r="C106" i="3"/>
  <c r="B106" i="3"/>
  <c r="A106" i="3"/>
  <c r="K105" i="3"/>
  <c r="J105" i="3"/>
  <c r="I105" i="3"/>
  <c r="H105" i="3"/>
  <c r="G105" i="3"/>
  <c r="F105" i="3"/>
  <c r="E105" i="3"/>
  <c r="D105" i="3"/>
  <c r="C105" i="3"/>
  <c r="B105" i="3"/>
  <c r="A105" i="3"/>
  <c r="K104" i="3"/>
  <c r="L104" i="3" s="1"/>
  <c r="J104" i="3"/>
  <c r="I104" i="3"/>
  <c r="H104" i="3"/>
  <c r="G104" i="3"/>
  <c r="F104" i="3"/>
  <c r="E104" i="3"/>
  <c r="D104" i="3"/>
  <c r="C104" i="3"/>
  <c r="B104" i="3"/>
  <c r="A104" i="3"/>
  <c r="K103" i="3"/>
  <c r="L103" i="3" s="1"/>
  <c r="J103" i="3"/>
  <c r="I103" i="3"/>
  <c r="H103" i="3"/>
  <c r="G103" i="3"/>
  <c r="F103" i="3"/>
  <c r="E103" i="3"/>
  <c r="D103" i="3"/>
  <c r="C103" i="3"/>
  <c r="B103" i="3"/>
  <c r="A103" i="3"/>
  <c r="K102" i="3"/>
  <c r="L102" i="3" s="1"/>
  <c r="J102" i="3"/>
  <c r="I102" i="3"/>
  <c r="H102" i="3"/>
  <c r="G102" i="3"/>
  <c r="F102" i="3"/>
  <c r="E102" i="3"/>
  <c r="D102" i="3"/>
  <c r="C102" i="3"/>
  <c r="B102" i="3"/>
  <c r="A102" i="3"/>
  <c r="K101" i="3"/>
  <c r="J101" i="3"/>
  <c r="I101" i="3"/>
  <c r="H101" i="3"/>
  <c r="G101" i="3"/>
  <c r="F101" i="3"/>
  <c r="E101" i="3"/>
  <c r="D101" i="3"/>
  <c r="C101" i="3"/>
  <c r="B101" i="3"/>
  <c r="A101" i="3"/>
  <c r="K100" i="3"/>
  <c r="L100" i="3" s="1"/>
  <c r="J100" i="3"/>
  <c r="I100" i="3"/>
  <c r="H100" i="3"/>
  <c r="G100" i="3"/>
  <c r="F100" i="3"/>
  <c r="E100" i="3"/>
  <c r="D100" i="3"/>
  <c r="C100" i="3"/>
  <c r="B100" i="3"/>
  <c r="A100" i="3"/>
  <c r="K99" i="3"/>
  <c r="J99" i="3"/>
  <c r="I99" i="3"/>
  <c r="H99" i="3"/>
  <c r="G99" i="3"/>
  <c r="F99" i="3"/>
  <c r="E99" i="3"/>
  <c r="D99" i="3"/>
  <c r="C99" i="3"/>
  <c r="B99" i="3"/>
  <c r="A99" i="3"/>
  <c r="K98" i="3"/>
  <c r="L98" i="3" s="1"/>
  <c r="J98" i="3"/>
  <c r="I98" i="3"/>
  <c r="H98" i="3"/>
  <c r="G98" i="3"/>
  <c r="F98" i="3"/>
  <c r="E98" i="3"/>
  <c r="D98" i="3"/>
  <c r="C98" i="3"/>
  <c r="B98" i="3"/>
  <c r="A98" i="3"/>
  <c r="K97" i="3"/>
  <c r="L97" i="3" s="1"/>
  <c r="J97" i="3"/>
  <c r="I97" i="3"/>
  <c r="H97" i="3"/>
  <c r="G97" i="3"/>
  <c r="F97" i="3"/>
  <c r="E97" i="3"/>
  <c r="D97" i="3"/>
  <c r="C97" i="3"/>
  <c r="B97" i="3"/>
  <c r="A97" i="3"/>
  <c r="K96" i="3"/>
  <c r="L96" i="3" s="1"/>
  <c r="J96" i="3"/>
  <c r="I96" i="3"/>
  <c r="H96" i="3"/>
  <c r="G96" i="3"/>
  <c r="F96" i="3"/>
  <c r="E96" i="3"/>
  <c r="D96" i="3"/>
  <c r="C96" i="3"/>
  <c r="B96" i="3"/>
  <c r="A96" i="3"/>
  <c r="K95" i="3"/>
  <c r="L95" i="3" s="1"/>
  <c r="J95" i="3"/>
  <c r="I95" i="3"/>
  <c r="H95" i="3"/>
  <c r="G95" i="3"/>
  <c r="F95" i="3"/>
  <c r="E95" i="3"/>
  <c r="D95" i="3"/>
  <c r="C95" i="3"/>
  <c r="B95" i="3"/>
  <c r="A95" i="3"/>
  <c r="K94" i="3"/>
  <c r="L94" i="3" s="1"/>
  <c r="J94" i="3"/>
  <c r="I94" i="3"/>
  <c r="H94" i="3"/>
  <c r="G94" i="3"/>
  <c r="F94" i="3"/>
  <c r="E94" i="3"/>
  <c r="D94" i="3"/>
  <c r="C94" i="3"/>
  <c r="B94" i="3"/>
  <c r="A94" i="3"/>
  <c r="K93" i="3"/>
  <c r="L93" i="3" s="1"/>
  <c r="J93" i="3"/>
  <c r="I93" i="3"/>
  <c r="H93" i="3"/>
  <c r="G93" i="3"/>
  <c r="F93" i="3"/>
  <c r="E93" i="3"/>
  <c r="D93" i="3"/>
  <c r="C93" i="3"/>
  <c r="B93" i="3"/>
  <c r="A93" i="3"/>
  <c r="L92" i="3"/>
  <c r="K92" i="3"/>
  <c r="J92" i="3"/>
  <c r="I92" i="3"/>
  <c r="H92" i="3"/>
  <c r="G92" i="3"/>
  <c r="F92" i="3"/>
  <c r="E92" i="3"/>
  <c r="D92" i="3"/>
  <c r="C92" i="3"/>
  <c r="B92" i="3"/>
  <c r="A92" i="3"/>
  <c r="K91" i="3"/>
  <c r="L91" i="3" s="1"/>
  <c r="J91" i="3"/>
  <c r="I91" i="3"/>
  <c r="H91" i="3"/>
  <c r="G91" i="3"/>
  <c r="F91" i="3"/>
  <c r="E91" i="3"/>
  <c r="D91" i="3"/>
  <c r="C91" i="3"/>
  <c r="B91" i="3"/>
  <c r="A91" i="3"/>
  <c r="L90" i="3"/>
  <c r="K90" i="3"/>
  <c r="J90" i="3"/>
  <c r="I90" i="3"/>
  <c r="H90" i="3"/>
  <c r="G90" i="3"/>
  <c r="F90" i="3"/>
  <c r="E90" i="3"/>
  <c r="D90" i="3"/>
  <c r="C90" i="3"/>
  <c r="B90" i="3"/>
  <c r="A90" i="3"/>
  <c r="K89" i="3"/>
  <c r="L89" i="3" s="1"/>
  <c r="J89" i="3"/>
  <c r="I89" i="3"/>
  <c r="H89" i="3"/>
  <c r="G89" i="3"/>
  <c r="F89" i="3"/>
  <c r="E89" i="3"/>
  <c r="D89" i="3"/>
  <c r="C89" i="3"/>
  <c r="B89" i="3"/>
  <c r="A89" i="3"/>
  <c r="K88" i="3"/>
  <c r="L88" i="3" s="1"/>
  <c r="J88" i="3"/>
  <c r="I88" i="3"/>
  <c r="H88" i="3"/>
  <c r="G88" i="3"/>
  <c r="F88" i="3"/>
  <c r="E88" i="3"/>
  <c r="D88" i="3"/>
  <c r="C88" i="3"/>
  <c r="B88" i="3"/>
  <c r="A88" i="3"/>
  <c r="K87" i="3"/>
  <c r="J87" i="3"/>
  <c r="I87" i="3"/>
  <c r="H87" i="3"/>
  <c r="G87" i="3"/>
  <c r="F87" i="3"/>
  <c r="E87" i="3"/>
  <c r="D87" i="3"/>
  <c r="C87" i="3"/>
  <c r="B87" i="3"/>
  <c r="A87" i="3"/>
  <c r="K86" i="3"/>
  <c r="L86" i="3" s="1"/>
  <c r="J86" i="3"/>
  <c r="I86" i="3"/>
  <c r="H86" i="3"/>
  <c r="G86" i="3"/>
  <c r="F86" i="3"/>
  <c r="E86" i="3"/>
  <c r="D86" i="3"/>
  <c r="C86" i="3"/>
  <c r="B86" i="3"/>
  <c r="A86" i="3"/>
  <c r="K85" i="3"/>
  <c r="L85" i="3" s="1"/>
  <c r="J85" i="3"/>
  <c r="I85" i="3"/>
  <c r="H85" i="3"/>
  <c r="G85" i="3"/>
  <c r="F85" i="3"/>
  <c r="E85" i="3"/>
  <c r="D85" i="3"/>
  <c r="C85" i="3"/>
  <c r="B85" i="3"/>
  <c r="A85" i="3"/>
  <c r="K84" i="3"/>
  <c r="L84" i="3" s="1"/>
  <c r="J84" i="3"/>
  <c r="I84" i="3"/>
  <c r="H84" i="3"/>
  <c r="G84" i="3"/>
  <c r="F84" i="3"/>
  <c r="E84" i="3"/>
  <c r="D84" i="3"/>
  <c r="C84" i="3"/>
  <c r="B84" i="3"/>
  <c r="A84" i="3"/>
  <c r="K83" i="3"/>
  <c r="L83" i="3" s="1"/>
  <c r="J83" i="3"/>
  <c r="I83" i="3"/>
  <c r="H83" i="3"/>
  <c r="G83" i="3"/>
  <c r="F83" i="3"/>
  <c r="E83" i="3"/>
  <c r="D83" i="3"/>
  <c r="C83" i="3"/>
  <c r="B83" i="3"/>
  <c r="A83" i="3"/>
  <c r="K82" i="3"/>
  <c r="L82" i="3" s="1"/>
  <c r="J82" i="3"/>
  <c r="I82" i="3"/>
  <c r="H82" i="3"/>
  <c r="G82" i="3"/>
  <c r="F82" i="3"/>
  <c r="E82" i="3"/>
  <c r="D82" i="3"/>
  <c r="C82" i="3"/>
  <c r="B82" i="3"/>
  <c r="A82" i="3"/>
  <c r="K81" i="3"/>
  <c r="L81" i="3" s="1"/>
  <c r="J81" i="3"/>
  <c r="I81" i="3"/>
  <c r="H81" i="3"/>
  <c r="G81" i="3"/>
  <c r="F81" i="3"/>
  <c r="E81" i="3"/>
  <c r="D81" i="3"/>
  <c r="C81" i="3"/>
  <c r="B81" i="3"/>
  <c r="A81" i="3"/>
  <c r="K80" i="3"/>
  <c r="L80" i="3" s="1"/>
  <c r="J80" i="3"/>
  <c r="I80" i="3"/>
  <c r="H80" i="3"/>
  <c r="G80" i="3"/>
  <c r="F80" i="3"/>
  <c r="E80" i="3"/>
  <c r="D80" i="3"/>
  <c r="C80" i="3"/>
  <c r="B80" i="3"/>
  <c r="A80" i="3"/>
  <c r="K79" i="3"/>
  <c r="L79" i="3" s="1"/>
  <c r="J79" i="3"/>
  <c r="I79" i="3"/>
  <c r="H79" i="3"/>
  <c r="G79" i="3"/>
  <c r="F79" i="3"/>
  <c r="E79" i="3"/>
  <c r="D79" i="3"/>
  <c r="C79" i="3"/>
  <c r="B79" i="3"/>
  <c r="A79" i="3"/>
  <c r="K78" i="3"/>
  <c r="L78" i="3" s="1"/>
  <c r="J78" i="3"/>
  <c r="I78" i="3"/>
  <c r="H78" i="3"/>
  <c r="G78" i="3"/>
  <c r="F78" i="3"/>
  <c r="E78" i="3"/>
  <c r="D78" i="3"/>
  <c r="C78" i="3"/>
  <c r="B78" i="3"/>
  <c r="A78" i="3"/>
  <c r="K77" i="3"/>
  <c r="L77" i="3" s="1"/>
  <c r="J77" i="3"/>
  <c r="I77" i="3"/>
  <c r="H77" i="3"/>
  <c r="G77" i="3"/>
  <c r="F77" i="3"/>
  <c r="E77" i="3"/>
  <c r="D77" i="3"/>
  <c r="C77" i="3"/>
  <c r="B77" i="3"/>
  <c r="A77" i="3"/>
  <c r="L76" i="3"/>
  <c r="K76" i="3"/>
  <c r="J76" i="3"/>
  <c r="I76" i="3"/>
  <c r="H76" i="3"/>
  <c r="G76" i="3"/>
  <c r="F76" i="3"/>
  <c r="E76" i="3"/>
  <c r="D76" i="3"/>
  <c r="C76" i="3"/>
  <c r="B76" i="3"/>
  <c r="A76" i="3"/>
  <c r="K75" i="3"/>
  <c r="L75" i="3" s="1"/>
  <c r="J75" i="3"/>
  <c r="I75" i="3"/>
  <c r="H75" i="3"/>
  <c r="G75" i="3"/>
  <c r="F75" i="3"/>
  <c r="E75" i="3"/>
  <c r="D75" i="3"/>
  <c r="C75" i="3"/>
  <c r="B75" i="3"/>
  <c r="A75" i="3"/>
  <c r="L74" i="3"/>
  <c r="K74" i="3"/>
  <c r="J74" i="3"/>
  <c r="I74" i="3"/>
  <c r="H74" i="3"/>
  <c r="G74" i="3"/>
  <c r="F74" i="3"/>
  <c r="E74" i="3"/>
  <c r="D74" i="3"/>
  <c r="C74" i="3"/>
  <c r="B74" i="3"/>
  <c r="A74" i="3"/>
  <c r="K73" i="3"/>
  <c r="L73" i="3" s="1"/>
  <c r="J73" i="3"/>
  <c r="I73" i="3"/>
  <c r="H73" i="3"/>
  <c r="G73" i="3"/>
  <c r="F73" i="3"/>
  <c r="E73" i="3"/>
  <c r="D73" i="3"/>
  <c r="C73" i="3"/>
  <c r="B73" i="3"/>
  <c r="A73" i="3"/>
  <c r="K72" i="3"/>
  <c r="L72" i="3" s="1"/>
  <c r="J72" i="3"/>
  <c r="I72" i="3"/>
  <c r="H72" i="3"/>
  <c r="G72" i="3"/>
  <c r="F72" i="3"/>
  <c r="E72" i="3"/>
  <c r="D72" i="3"/>
  <c r="C72" i="3"/>
  <c r="B72" i="3"/>
  <c r="A72" i="3"/>
  <c r="K71" i="3"/>
  <c r="L71" i="3" s="1"/>
  <c r="J71" i="3"/>
  <c r="I71" i="3"/>
  <c r="H71" i="3"/>
  <c r="G71" i="3"/>
  <c r="F71" i="3"/>
  <c r="E71" i="3"/>
  <c r="D71" i="3"/>
  <c r="C71" i="3"/>
  <c r="B71" i="3"/>
  <c r="A71" i="3"/>
  <c r="K70" i="3"/>
  <c r="L70" i="3" s="1"/>
  <c r="J70" i="3"/>
  <c r="I70" i="3"/>
  <c r="H70" i="3"/>
  <c r="G70" i="3"/>
  <c r="F70" i="3"/>
  <c r="E70" i="3"/>
  <c r="D70" i="3"/>
  <c r="C70" i="3"/>
  <c r="B70" i="3"/>
  <c r="A70" i="3"/>
  <c r="K69" i="3"/>
  <c r="L69" i="3" s="1"/>
  <c r="J69" i="3"/>
  <c r="I69" i="3"/>
  <c r="H69" i="3"/>
  <c r="G69" i="3"/>
  <c r="F69" i="3"/>
  <c r="E69" i="3"/>
  <c r="D69" i="3"/>
  <c r="C69" i="3"/>
  <c r="B69" i="3"/>
  <c r="A69" i="3"/>
  <c r="K68" i="3"/>
  <c r="L68" i="3" s="1"/>
  <c r="J68" i="3"/>
  <c r="I68" i="3"/>
  <c r="H68" i="3"/>
  <c r="G68" i="3"/>
  <c r="F68" i="3"/>
  <c r="E68" i="3"/>
  <c r="D68" i="3"/>
  <c r="C68" i="3"/>
  <c r="B68" i="3"/>
  <c r="A68" i="3"/>
  <c r="K67" i="3"/>
  <c r="L67" i="3" s="1"/>
  <c r="J67" i="3"/>
  <c r="I67" i="3"/>
  <c r="H67" i="3"/>
  <c r="G67" i="3"/>
  <c r="F67" i="3"/>
  <c r="E67" i="3"/>
  <c r="D67" i="3"/>
  <c r="C67" i="3"/>
  <c r="B67" i="3"/>
  <c r="A67" i="3"/>
  <c r="K66" i="3"/>
  <c r="L66" i="3" s="1"/>
  <c r="J66" i="3"/>
  <c r="I66" i="3"/>
  <c r="H66" i="3"/>
  <c r="G66" i="3"/>
  <c r="F66" i="3"/>
  <c r="E66" i="3"/>
  <c r="D66" i="3"/>
  <c r="C66" i="3"/>
  <c r="B66" i="3"/>
  <c r="A66" i="3"/>
  <c r="K65" i="3"/>
  <c r="L65" i="3" s="1"/>
  <c r="J65" i="3"/>
  <c r="I65" i="3"/>
  <c r="H65" i="3"/>
  <c r="G65" i="3"/>
  <c r="F65" i="3"/>
  <c r="E65" i="3"/>
  <c r="D65" i="3"/>
  <c r="C65" i="3"/>
  <c r="B65" i="3"/>
  <c r="A65" i="3"/>
  <c r="K64" i="3"/>
  <c r="L64" i="3" s="1"/>
  <c r="J64" i="3"/>
  <c r="I64" i="3"/>
  <c r="H64" i="3"/>
  <c r="G64" i="3"/>
  <c r="F64" i="3"/>
  <c r="E64" i="3"/>
  <c r="D64" i="3"/>
  <c r="C64" i="3"/>
  <c r="B64" i="3"/>
  <c r="A64" i="3"/>
  <c r="K63" i="3"/>
  <c r="L63" i="3" s="1"/>
  <c r="J63" i="3"/>
  <c r="I63" i="3"/>
  <c r="H63" i="3"/>
  <c r="G63" i="3"/>
  <c r="F63" i="3"/>
  <c r="E63" i="3"/>
  <c r="D63" i="3"/>
  <c r="C63" i="3"/>
  <c r="B63" i="3"/>
  <c r="A63" i="3"/>
  <c r="K62" i="3"/>
  <c r="L62" i="3" s="1"/>
  <c r="J62" i="3"/>
  <c r="I62" i="3"/>
  <c r="H62" i="3"/>
  <c r="G62" i="3"/>
  <c r="F62" i="3"/>
  <c r="E62" i="3"/>
  <c r="D62" i="3"/>
  <c r="C62" i="3"/>
  <c r="B62" i="3"/>
  <c r="A62" i="3"/>
  <c r="K61" i="3"/>
  <c r="L61" i="3" s="1"/>
  <c r="J61" i="3"/>
  <c r="I61" i="3"/>
  <c r="H61" i="3"/>
  <c r="G61" i="3"/>
  <c r="F61" i="3"/>
  <c r="E61" i="3"/>
  <c r="D61" i="3"/>
  <c r="C61" i="3"/>
  <c r="B61" i="3"/>
  <c r="A61" i="3"/>
  <c r="L60" i="3"/>
  <c r="K60" i="3"/>
  <c r="J60" i="3"/>
  <c r="I60" i="3"/>
  <c r="H60" i="3"/>
  <c r="G60" i="3"/>
  <c r="F60" i="3"/>
  <c r="E60" i="3"/>
  <c r="D60" i="3"/>
  <c r="C60" i="3"/>
  <c r="B60" i="3"/>
  <c r="A60" i="3"/>
  <c r="K59" i="3"/>
  <c r="L59" i="3" s="1"/>
  <c r="J59" i="3"/>
  <c r="I59" i="3"/>
  <c r="H59" i="3"/>
  <c r="G59" i="3"/>
  <c r="F59" i="3"/>
  <c r="E59" i="3"/>
  <c r="D59" i="3"/>
  <c r="C59" i="3"/>
  <c r="B59" i="3"/>
  <c r="A59" i="3"/>
  <c r="L58" i="3"/>
  <c r="K58" i="3"/>
  <c r="J58" i="3"/>
  <c r="I58" i="3"/>
  <c r="H58" i="3"/>
  <c r="G58" i="3"/>
  <c r="F58" i="3"/>
  <c r="E58" i="3"/>
  <c r="D58" i="3"/>
  <c r="C58" i="3"/>
  <c r="B58" i="3"/>
  <c r="A58" i="3"/>
  <c r="K57" i="3"/>
  <c r="J57" i="3"/>
  <c r="I57" i="3"/>
  <c r="H57" i="3"/>
  <c r="G57" i="3"/>
  <c r="F57" i="3"/>
  <c r="E57" i="3"/>
  <c r="D57" i="3"/>
  <c r="C57" i="3"/>
  <c r="B57" i="3"/>
  <c r="A57" i="3"/>
  <c r="K56" i="3"/>
  <c r="L56" i="3" s="1"/>
  <c r="J56" i="3"/>
  <c r="I56" i="3"/>
  <c r="H56" i="3"/>
  <c r="G56" i="3"/>
  <c r="F56" i="3"/>
  <c r="E56" i="3"/>
  <c r="D56" i="3"/>
  <c r="C56" i="3"/>
  <c r="B56" i="3"/>
  <c r="A56" i="3"/>
  <c r="K55" i="3"/>
  <c r="L55" i="3" s="1"/>
  <c r="J55" i="3"/>
  <c r="I55" i="3"/>
  <c r="H55" i="3"/>
  <c r="G55" i="3"/>
  <c r="F55" i="3"/>
  <c r="E55" i="3"/>
  <c r="D55" i="3"/>
  <c r="C55" i="3"/>
  <c r="B55" i="3"/>
  <c r="A55" i="3"/>
  <c r="K54" i="3"/>
  <c r="L54" i="3" s="1"/>
  <c r="J54" i="3"/>
  <c r="I54" i="3"/>
  <c r="H54" i="3"/>
  <c r="G54" i="3"/>
  <c r="F54" i="3"/>
  <c r="E54" i="3"/>
  <c r="D54" i="3"/>
  <c r="C54" i="3"/>
  <c r="B54" i="3"/>
  <c r="A54" i="3"/>
  <c r="K53" i="3"/>
  <c r="J53" i="3"/>
  <c r="I53" i="3"/>
  <c r="H53" i="3"/>
  <c r="G53" i="3"/>
  <c r="F53" i="3"/>
  <c r="E53" i="3"/>
  <c r="D53" i="3"/>
  <c r="C53" i="3"/>
  <c r="B53" i="3"/>
  <c r="A53" i="3"/>
  <c r="K52" i="3"/>
  <c r="L52" i="3" s="1"/>
  <c r="J52" i="3"/>
  <c r="I52" i="3"/>
  <c r="H52" i="3"/>
  <c r="G52" i="3"/>
  <c r="F52" i="3"/>
  <c r="E52" i="3"/>
  <c r="D52" i="3"/>
  <c r="C52" i="3"/>
  <c r="B52" i="3"/>
  <c r="A52" i="3"/>
  <c r="K51" i="3"/>
  <c r="J51" i="3"/>
  <c r="I51" i="3"/>
  <c r="H51" i="3"/>
  <c r="G51" i="3"/>
  <c r="F51" i="3"/>
  <c r="E51" i="3"/>
  <c r="D51" i="3"/>
  <c r="C51" i="3"/>
  <c r="B51" i="3"/>
  <c r="A51" i="3"/>
  <c r="K50" i="3"/>
  <c r="L50" i="3" s="1"/>
  <c r="J50" i="3"/>
  <c r="I50" i="3"/>
  <c r="H50" i="3"/>
  <c r="G50" i="3"/>
  <c r="F50" i="3"/>
  <c r="E50" i="3"/>
  <c r="D50" i="3"/>
  <c r="C50" i="3"/>
  <c r="B50" i="3"/>
  <c r="A50" i="3"/>
  <c r="K49" i="3"/>
  <c r="L49" i="3" s="1"/>
  <c r="J49" i="3"/>
  <c r="I49" i="3"/>
  <c r="H49" i="3"/>
  <c r="G49" i="3"/>
  <c r="F49" i="3"/>
  <c r="E49" i="3"/>
  <c r="D49" i="3"/>
  <c r="C49" i="3"/>
  <c r="B49" i="3"/>
  <c r="A49" i="3"/>
  <c r="K48" i="3"/>
  <c r="L48" i="3" s="1"/>
  <c r="J48" i="3"/>
  <c r="I48" i="3"/>
  <c r="H48" i="3"/>
  <c r="G48" i="3"/>
  <c r="F48" i="3"/>
  <c r="E48" i="3"/>
  <c r="D48" i="3"/>
  <c r="C48" i="3"/>
  <c r="B48" i="3"/>
  <c r="A48" i="3"/>
  <c r="K47" i="3"/>
  <c r="L47" i="3" s="1"/>
  <c r="J47" i="3"/>
  <c r="I47" i="3"/>
  <c r="H47" i="3"/>
  <c r="G47" i="3"/>
  <c r="F47" i="3"/>
  <c r="E47" i="3"/>
  <c r="D47" i="3"/>
  <c r="C47" i="3"/>
  <c r="B47" i="3"/>
  <c r="A47" i="3"/>
  <c r="K46" i="3"/>
  <c r="L46" i="3" s="1"/>
  <c r="J46" i="3"/>
  <c r="I46" i="3"/>
  <c r="H46" i="3"/>
  <c r="G46" i="3"/>
  <c r="F46" i="3"/>
  <c r="E46" i="3"/>
  <c r="D46" i="3"/>
  <c r="C46" i="3"/>
  <c r="B46" i="3"/>
  <c r="A46" i="3"/>
  <c r="K45" i="3"/>
  <c r="L45" i="3" s="1"/>
  <c r="J45" i="3"/>
  <c r="I45" i="3"/>
  <c r="H45" i="3"/>
  <c r="G45" i="3"/>
  <c r="F45" i="3"/>
  <c r="E45" i="3"/>
  <c r="D45" i="3"/>
  <c r="C45" i="3"/>
  <c r="B45" i="3"/>
  <c r="A45" i="3"/>
  <c r="L44" i="3"/>
  <c r="K44" i="3"/>
  <c r="J44" i="3"/>
  <c r="I44" i="3"/>
  <c r="H44" i="3"/>
  <c r="G44" i="3"/>
  <c r="F44" i="3"/>
  <c r="E44" i="3"/>
  <c r="D44" i="3"/>
  <c r="C44" i="3"/>
  <c r="B44" i="3"/>
  <c r="A44" i="3"/>
  <c r="K43" i="3"/>
  <c r="L43" i="3" s="1"/>
  <c r="J43" i="3"/>
  <c r="I43" i="3"/>
  <c r="H43" i="3"/>
  <c r="G43" i="3"/>
  <c r="F43" i="3"/>
  <c r="E43" i="3"/>
  <c r="D43" i="3"/>
  <c r="C43" i="3"/>
  <c r="B43" i="3"/>
  <c r="A43" i="3"/>
  <c r="L42" i="3"/>
  <c r="K42" i="3"/>
  <c r="J42" i="3"/>
  <c r="I42" i="3"/>
  <c r="H42" i="3"/>
  <c r="G42" i="3"/>
  <c r="F42" i="3"/>
  <c r="E42" i="3"/>
  <c r="D42" i="3"/>
  <c r="C42" i="3"/>
  <c r="B42" i="3"/>
  <c r="A42" i="3"/>
  <c r="K41" i="3"/>
  <c r="L41" i="3" s="1"/>
  <c r="J41" i="3"/>
  <c r="I41" i="3"/>
  <c r="H41" i="3"/>
  <c r="G41" i="3"/>
  <c r="F41" i="3"/>
  <c r="E41" i="3"/>
  <c r="D41" i="3"/>
  <c r="C41" i="3"/>
  <c r="B41" i="3"/>
  <c r="A41" i="3"/>
  <c r="K40" i="3"/>
  <c r="L40" i="3" s="1"/>
  <c r="J40" i="3"/>
  <c r="I40" i="3"/>
  <c r="H40" i="3"/>
  <c r="G40" i="3"/>
  <c r="F40" i="3"/>
  <c r="E40" i="3"/>
  <c r="D40" i="3"/>
  <c r="C40" i="3"/>
  <c r="B40" i="3"/>
  <c r="A40" i="3"/>
  <c r="K39" i="3"/>
  <c r="L39" i="3" s="1"/>
  <c r="J39" i="3"/>
  <c r="I39" i="3"/>
  <c r="H39" i="3"/>
  <c r="G39" i="3"/>
  <c r="F39" i="3"/>
  <c r="E39" i="3"/>
  <c r="D39" i="3"/>
  <c r="C39" i="3"/>
  <c r="B39" i="3"/>
  <c r="A39" i="3"/>
  <c r="K38" i="3"/>
  <c r="L38" i="3" s="1"/>
  <c r="J38" i="3"/>
  <c r="I38" i="3"/>
  <c r="H38" i="3"/>
  <c r="G38" i="3"/>
  <c r="F38" i="3"/>
  <c r="E38" i="3"/>
  <c r="D38" i="3"/>
  <c r="C38" i="3"/>
  <c r="B38" i="3"/>
  <c r="A38" i="3"/>
  <c r="K37" i="3"/>
  <c r="L37" i="3" s="1"/>
  <c r="J37" i="3"/>
  <c r="I37" i="3"/>
  <c r="H37" i="3"/>
  <c r="G37" i="3"/>
  <c r="F37" i="3"/>
  <c r="E37" i="3"/>
  <c r="D37" i="3"/>
  <c r="C37" i="3"/>
  <c r="B37" i="3"/>
  <c r="A37" i="3"/>
  <c r="K36" i="3"/>
  <c r="L36" i="3" s="1"/>
  <c r="J36" i="3"/>
  <c r="I36" i="3"/>
  <c r="H36" i="3"/>
  <c r="G36" i="3"/>
  <c r="F36" i="3"/>
  <c r="E36" i="3"/>
  <c r="D36" i="3"/>
  <c r="C36" i="3"/>
  <c r="B36" i="3"/>
  <c r="A36" i="3"/>
  <c r="K35" i="3"/>
  <c r="L35" i="3" s="1"/>
  <c r="J35" i="3"/>
  <c r="I35" i="3"/>
  <c r="H35" i="3"/>
  <c r="G35" i="3"/>
  <c r="F35" i="3"/>
  <c r="E35" i="3"/>
  <c r="D35" i="3"/>
  <c r="C35" i="3"/>
  <c r="B35" i="3"/>
  <c r="A35" i="3"/>
  <c r="K34" i="3"/>
  <c r="L34" i="3" s="1"/>
  <c r="J34" i="3"/>
  <c r="I34" i="3"/>
  <c r="H34" i="3"/>
  <c r="G34" i="3"/>
  <c r="F34" i="3"/>
  <c r="E34" i="3"/>
  <c r="D34" i="3"/>
  <c r="C34" i="3"/>
  <c r="B34" i="3"/>
  <c r="A34" i="3"/>
  <c r="K33" i="3"/>
  <c r="L33" i="3" s="1"/>
  <c r="J33" i="3"/>
  <c r="I33" i="3"/>
  <c r="H33" i="3"/>
  <c r="G33" i="3"/>
  <c r="F33" i="3"/>
  <c r="E33" i="3"/>
  <c r="D33" i="3"/>
  <c r="C33" i="3"/>
  <c r="B33" i="3"/>
  <c r="A33" i="3"/>
  <c r="K32" i="3"/>
  <c r="L32" i="3" s="1"/>
  <c r="J32" i="3"/>
  <c r="I32" i="3"/>
  <c r="H32" i="3"/>
  <c r="G32" i="3"/>
  <c r="F32" i="3"/>
  <c r="E32" i="3"/>
  <c r="D32" i="3"/>
  <c r="C32" i="3"/>
  <c r="B32" i="3"/>
  <c r="A32" i="3"/>
  <c r="K31" i="3"/>
  <c r="L31" i="3" s="1"/>
  <c r="J31" i="3"/>
  <c r="I31" i="3"/>
  <c r="H31" i="3"/>
  <c r="G31" i="3"/>
  <c r="F31" i="3"/>
  <c r="E31" i="3"/>
  <c r="D31" i="3"/>
  <c r="C31" i="3"/>
  <c r="B31" i="3"/>
  <c r="A31" i="3"/>
  <c r="K30" i="3"/>
  <c r="L30" i="3" s="1"/>
  <c r="J30" i="3"/>
  <c r="I30" i="3"/>
  <c r="H30" i="3"/>
  <c r="G30" i="3"/>
  <c r="F30" i="3"/>
  <c r="E30" i="3"/>
  <c r="D30" i="3"/>
  <c r="C30" i="3"/>
  <c r="B30" i="3"/>
  <c r="A30" i="3"/>
  <c r="K29" i="3"/>
  <c r="L29" i="3" s="1"/>
  <c r="J29" i="3"/>
  <c r="I29" i="3"/>
  <c r="H29" i="3"/>
  <c r="G29" i="3"/>
  <c r="F29" i="3"/>
  <c r="E29" i="3"/>
  <c r="D29" i="3"/>
  <c r="C29" i="3"/>
  <c r="B29" i="3"/>
  <c r="A29" i="3"/>
  <c r="K28" i="3"/>
  <c r="J28" i="3"/>
  <c r="I28" i="3"/>
  <c r="H28" i="3"/>
  <c r="G28" i="3"/>
  <c r="F28" i="3"/>
  <c r="L28" i="3" s="1"/>
  <c r="E28" i="3"/>
  <c r="D28" i="3"/>
  <c r="C28" i="3"/>
  <c r="B28" i="3"/>
  <c r="A28" i="3"/>
  <c r="K27" i="3"/>
  <c r="L27" i="3" s="1"/>
  <c r="J27" i="3"/>
  <c r="I27" i="3"/>
  <c r="H27" i="3"/>
  <c r="G27" i="3"/>
  <c r="F27" i="3"/>
  <c r="E27" i="3"/>
  <c r="D27" i="3"/>
  <c r="C27" i="3"/>
  <c r="B27" i="3"/>
  <c r="A27" i="3"/>
  <c r="L26" i="3"/>
  <c r="K26" i="3"/>
  <c r="J26" i="3"/>
  <c r="I26" i="3"/>
  <c r="H26" i="3"/>
  <c r="G26" i="3"/>
  <c r="F26" i="3"/>
  <c r="E26" i="3"/>
  <c r="D26" i="3"/>
  <c r="C26" i="3"/>
  <c r="B26" i="3"/>
  <c r="A26" i="3"/>
  <c r="K25" i="3"/>
  <c r="L25" i="3" s="1"/>
  <c r="J25" i="3"/>
  <c r="I25" i="3"/>
  <c r="H25" i="3"/>
  <c r="G25" i="3"/>
  <c r="F25" i="3"/>
  <c r="E25" i="3"/>
  <c r="D25" i="3"/>
  <c r="C25" i="3"/>
  <c r="B25" i="3"/>
  <c r="A25" i="3"/>
  <c r="K24" i="3"/>
  <c r="L24" i="3" s="1"/>
  <c r="J24" i="3"/>
  <c r="I24" i="3"/>
  <c r="H24" i="3"/>
  <c r="G24" i="3"/>
  <c r="F24" i="3"/>
  <c r="E24" i="3"/>
  <c r="D24" i="3"/>
  <c r="C24" i="3"/>
  <c r="B24" i="3"/>
  <c r="A24" i="3"/>
  <c r="K23" i="3"/>
  <c r="J23" i="3"/>
  <c r="I23" i="3"/>
  <c r="H23" i="3"/>
  <c r="G23" i="3"/>
  <c r="F23" i="3"/>
  <c r="E23" i="3"/>
  <c r="D23" i="3"/>
  <c r="C23" i="3"/>
  <c r="B23" i="3"/>
  <c r="A23" i="3"/>
  <c r="K22" i="3"/>
  <c r="L22" i="3" s="1"/>
  <c r="J22" i="3"/>
  <c r="I22" i="3"/>
  <c r="H22" i="3"/>
  <c r="G22" i="3"/>
  <c r="F22" i="3"/>
  <c r="E22" i="3"/>
  <c r="D22" i="3"/>
  <c r="C22" i="3"/>
  <c r="B22" i="3"/>
  <c r="A22" i="3"/>
  <c r="K21" i="3"/>
  <c r="J21" i="3"/>
  <c r="I21" i="3"/>
  <c r="H21" i="3"/>
  <c r="G21" i="3"/>
  <c r="F21" i="3"/>
  <c r="E21" i="3"/>
  <c r="D21" i="3"/>
  <c r="C21" i="3"/>
  <c r="B21" i="3"/>
  <c r="A21" i="3"/>
  <c r="K20" i="3"/>
  <c r="L20" i="3" s="1"/>
  <c r="J20" i="3"/>
  <c r="I20" i="3"/>
  <c r="H20" i="3"/>
  <c r="G20" i="3"/>
  <c r="F20" i="3"/>
  <c r="E20" i="3"/>
  <c r="D20" i="3"/>
  <c r="C20" i="3"/>
  <c r="B20" i="3"/>
  <c r="A20" i="3"/>
  <c r="K19" i="3"/>
  <c r="J19" i="3"/>
  <c r="I19" i="3"/>
  <c r="H19" i="3"/>
  <c r="G19" i="3"/>
  <c r="F19" i="3"/>
  <c r="E19" i="3"/>
  <c r="D19" i="3"/>
  <c r="C19" i="3"/>
  <c r="B19" i="3"/>
  <c r="A19" i="3"/>
  <c r="K18" i="3"/>
  <c r="L18" i="3" s="1"/>
  <c r="J18" i="3"/>
  <c r="I18" i="3"/>
  <c r="H18" i="3"/>
  <c r="G18" i="3"/>
  <c r="F18" i="3"/>
  <c r="E18" i="3"/>
  <c r="D18" i="3"/>
  <c r="C18" i="3"/>
  <c r="B18" i="3"/>
  <c r="A18" i="3"/>
  <c r="K17" i="3"/>
  <c r="L17" i="3" s="1"/>
  <c r="J17" i="3"/>
  <c r="I17" i="3"/>
  <c r="H17" i="3"/>
  <c r="G17" i="3"/>
  <c r="F17" i="3"/>
  <c r="E17" i="3"/>
  <c r="D17" i="3"/>
  <c r="C17" i="3"/>
  <c r="B17" i="3"/>
  <c r="A17" i="3"/>
  <c r="K16" i="3"/>
  <c r="L16" i="3" s="1"/>
  <c r="J16" i="3"/>
  <c r="I16" i="3"/>
  <c r="H16" i="3"/>
  <c r="G16" i="3"/>
  <c r="F16" i="3"/>
  <c r="E16" i="3"/>
  <c r="D16" i="3"/>
  <c r="C16" i="3"/>
  <c r="B16" i="3"/>
  <c r="A16" i="3"/>
  <c r="K15" i="3"/>
  <c r="L15" i="3" s="1"/>
  <c r="J15" i="3"/>
  <c r="I15" i="3"/>
  <c r="H15" i="3"/>
  <c r="G15" i="3"/>
  <c r="F15" i="3"/>
  <c r="E15" i="3"/>
  <c r="D15" i="3"/>
  <c r="C15" i="3"/>
  <c r="B15" i="3"/>
  <c r="A15" i="3"/>
  <c r="K14" i="3"/>
  <c r="L14" i="3" s="1"/>
  <c r="J14" i="3"/>
  <c r="I14" i="3"/>
  <c r="H14" i="3"/>
  <c r="G14" i="3"/>
  <c r="F14" i="3"/>
  <c r="E14" i="3"/>
  <c r="D14" i="3"/>
  <c r="C14" i="3"/>
  <c r="B14" i="3"/>
  <c r="A14" i="3"/>
  <c r="K13" i="3"/>
  <c r="L13" i="3" s="1"/>
  <c r="J13" i="3"/>
  <c r="I13" i="3"/>
  <c r="H13" i="3"/>
  <c r="G13" i="3"/>
  <c r="F13" i="3"/>
  <c r="E13" i="3"/>
  <c r="D13" i="3"/>
  <c r="C13" i="3"/>
  <c r="B13" i="3"/>
  <c r="A13" i="3"/>
  <c r="K12" i="3"/>
  <c r="J12" i="3"/>
  <c r="I12" i="3"/>
  <c r="H12" i="3"/>
  <c r="G12" i="3"/>
  <c r="F12" i="3"/>
  <c r="L12" i="3" s="1"/>
  <c r="E12" i="3"/>
  <c r="D12" i="3"/>
  <c r="C12" i="3"/>
  <c r="B12" i="3"/>
  <c r="A12" i="3"/>
  <c r="K11" i="3"/>
  <c r="L11" i="3" s="1"/>
  <c r="J11" i="3"/>
  <c r="I11" i="3"/>
  <c r="H11" i="3"/>
  <c r="G11" i="3"/>
  <c r="F11" i="3"/>
  <c r="E11" i="3"/>
  <c r="D11" i="3"/>
  <c r="C11" i="3"/>
  <c r="B11" i="3"/>
  <c r="A11" i="3"/>
  <c r="L10" i="3"/>
  <c r="K10" i="3"/>
  <c r="J10" i="3"/>
  <c r="I10" i="3"/>
  <c r="H10" i="3"/>
  <c r="G10" i="3"/>
  <c r="F10" i="3"/>
  <c r="E10" i="3"/>
  <c r="D10" i="3"/>
  <c r="C10" i="3"/>
  <c r="B10" i="3"/>
  <c r="A10" i="3"/>
  <c r="K9" i="3"/>
  <c r="L9" i="3" s="1"/>
  <c r="J9" i="3"/>
  <c r="I9" i="3"/>
  <c r="H9" i="3"/>
  <c r="G9" i="3"/>
  <c r="F9" i="3"/>
  <c r="E9" i="3"/>
  <c r="D9" i="3"/>
  <c r="C9" i="3"/>
  <c r="B9" i="3"/>
  <c r="A9" i="3"/>
  <c r="K8" i="3"/>
  <c r="L8" i="3" s="1"/>
  <c r="J8" i="3"/>
  <c r="I8" i="3"/>
  <c r="H8" i="3"/>
  <c r="G8" i="3"/>
  <c r="F8" i="3"/>
  <c r="E8" i="3"/>
  <c r="D8" i="3"/>
  <c r="C8" i="3"/>
  <c r="B8" i="3"/>
  <c r="A8" i="3"/>
  <c r="K7" i="3"/>
  <c r="L7" i="3" s="1"/>
  <c r="J7" i="3"/>
  <c r="I7" i="3"/>
  <c r="H7" i="3"/>
  <c r="G7" i="3"/>
  <c r="F7" i="3"/>
  <c r="E7" i="3"/>
  <c r="D7" i="3"/>
  <c r="C7" i="3"/>
  <c r="B7" i="3"/>
  <c r="A7" i="3"/>
  <c r="K6" i="3"/>
  <c r="L6" i="3" s="1"/>
  <c r="J6" i="3"/>
  <c r="I6" i="3"/>
  <c r="H6" i="3"/>
  <c r="G6" i="3"/>
  <c r="F6" i="3"/>
  <c r="E6" i="3"/>
  <c r="D6" i="3"/>
  <c r="C6" i="3"/>
  <c r="B6" i="3"/>
  <c r="A6" i="3"/>
  <c r="K5" i="3"/>
  <c r="J5" i="3"/>
  <c r="I5" i="3"/>
  <c r="H5" i="3"/>
  <c r="G5" i="3"/>
  <c r="F5" i="3"/>
  <c r="E5" i="3"/>
  <c r="D5" i="3"/>
  <c r="C5" i="3"/>
  <c r="B5" i="3"/>
  <c r="A5" i="3"/>
  <c r="J3" i="3"/>
  <c r="F3" i="3"/>
  <c r="H11" i="4" l="1"/>
  <c r="L375" i="3"/>
  <c r="L399" i="3"/>
  <c r="L431" i="3"/>
  <c r="L550" i="3"/>
  <c r="L678" i="3"/>
  <c r="L676" i="3"/>
  <c r="L57" i="3"/>
  <c r="L105" i="3"/>
  <c r="L23" i="3"/>
  <c r="L215" i="3"/>
  <c r="L352" i="3"/>
  <c r="L368" i="3"/>
  <c r="L596" i="3"/>
  <c r="L694" i="3"/>
  <c r="L87" i="3"/>
  <c r="L5" i="3"/>
  <c r="L21" i="3"/>
  <c r="L53" i="3"/>
  <c r="L101" i="3"/>
  <c r="L133" i="3"/>
  <c r="L293" i="3"/>
  <c r="L395" i="3"/>
  <c r="L742" i="3"/>
  <c r="L19" i="3"/>
  <c r="L51" i="3"/>
  <c r="L99" i="3"/>
  <c r="L131" i="3"/>
  <c r="L163" i="3"/>
  <c r="L559" i="3"/>
  <c r="L575" i="3"/>
  <c r="L591" i="3"/>
  <c r="L477" i="3"/>
  <c r="L493" i="3"/>
  <c r="L557" i="3"/>
  <c r="L637" i="3"/>
  <c r="L685" i="3"/>
  <c r="L523" i="3"/>
  <c r="L539" i="3"/>
  <c r="L587" i="3"/>
  <c r="L651" i="3"/>
  <c r="L699" i="3"/>
  <c r="L794" i="3"/>
  <c r="L801" i="3"/>
  <c r="H37" i="4"/>
  <c r="H41" i="4"/>
  <c r="H64" i="4"/>
  <c r="H15" i="4"/>
  <c r="L780" i="3"/>
  <c r="L860" i="3"/>
  <c r="L892" i="3"/>
  <c r="H44" i="4"/>
  <c r="H43" i="4"/>
  <c r="H97" i="4"/>
  <c r="J7" i="8"/>
  <c r="E10" i="6"/>
  <c r="G72" i="7"/>
  <c r="G64" i="7"/>
  <c r="G56" i="7"/>
  <c r="G75" i="7"/>
  <c r="G67" i="7"/>
  <c r="G59" i="7"/>
  <c r="G70" i="7"/>
  <c r="G62" i="7"/>
  <c r="G54" i="7"/>
  <c r="G73" i="7"/>
  <c r="G65" i="7"/>
  <c r="G57" i="7"/>
  <c r="G76" i="7"/>
  <c r="G68" i="7"/>
  <c r="G60" i="7"/>
  <c r="G71" i="7"/>
  <c r="G63" i="7"/>
  <c r="G55" i="7"/>
  <c r="G74" i="7"/>
  <c r="G66" i="7"/>
  <c r="G58" i="7"/>
  <c r="G69" i="7"/>
  <c r="G61" i="7"/>
  <c r="G53" i="7"/>
  <c r="E7" i="6"/>
  <c r="C57" i="10"/>
  <c r="C58" i="10" s="1"/>
  <c r="C59" i="10" s="1"/>
  <c r="H49" i="4"/>
  <c r="G24" i="7"/>
  <c r="G16" i="7"/>
  <c r="G8" i="7"/>
  <c r="G27" i="7"/>
  <c r="G19" i="7"/>
  <c r="G11" i="7"/>
  <c r="G22" i="7"/>
  <c r="G14" i="7"/>
  <c r="G6" i="7"/>
  <c r="G25" i="7"/>
  <c r="G17" i="7"/>
  <c r="G9" i="7"/>
  <c r="G28" i="7"/>
  <c r="G20" i="7"/>
  <c r="G12" i="7"/>
  <c r="G23" i="7"/>
  <c r="G15" i="7"/>
  <c r="G7" i="7"/>
  <c r="G26" i="7"/>
  <c r="G18" i="7"/>
  <c r="G10" i="7"/>
  <c r="G21" i="7"/>
  <c r="G13" i="7"/>
  <c r="G5" i="7"/>
  <c r="E8" i="6"/>
  <c r="G96" i="7"/>
  <c r="G88" i="7"/>
  <c r="G80" i="7"/>
  <c r="G99" i="7"/>
  <c r="G91" i="7"/>
  <c r="G83" i="7"/>
  <c r="G94" i="7"/>
  <c r="G86" i="7"/>
  <c r="G78" i="7"/>
  <c r="G97" i="7"/>
  <c r="G89" i="7"/>
  <c r="G81" i="7"/>
  <c r="G100" i="7"/>
  <c r="G92" i="7"/>
  <c r="G84" i="7"/>
  <c r="G95" i="7"/>
  <c r="G87" i="7"/>
  <c r="G79" i="7"/>
  <c r="G98" i="7"/>
  <c r="G90" i="7"/>
  <c r="G82" i="7"/>
  <c r="G93" i="7"/>
  <c r="G85" i="7"/>
  <c r="G77" i="7"/>
  <c r="H73" i="4"/>
  <c r="H89" i="4"/>
  <c r="G48" i="7"/>
  <c r="G40" i="7"/>
  <c r="G32" i="7"/>
  <c r="G51" i="7"/>
  <c r="G43" i="7"/>
  <c r="G35" i="7"/>
  <c r="G46" i="7"/>
  <c r="G38" i="7"/>
  <c r="G30" i="7"/>
  <c r="G49" i="7"/>
  <c r="G41" i="7"/>
  <c r="G33" i="7"/>
  <c r="G52" i="7"/>
  <c r="G44" i="7"/>
  <c r="G36" i="7"/>
  <c r="G47" i="7"/>
  <c r="G39" i="7"/>
  <c r="G31" i="7"/>
  <c r="G50" i="7"/>
  <c r="G42" i="7"/>
  <c r="G34" i="7"/>
  <c r="G45" i="7"/>
  <c r="G37" i="7"/>
  <c r="G29" i="7"/>
  <c r="E7" i="7"/>
  <c r="E15" i="7"/>
  <c r="E23" i="7"/>
  <c r="E31" i="7"/>
  <c r="E39" i="7"/>
  <c r="E47" i="7"/>
  <c r="E55" i="7"/>
  <c r="E63" i="7"/>
  <c r="E71" i="7"/>
  <c r="F5" i="8"/>
  <c r="E6" i="8"/>
  <c r="E9" i="8" s="1"/>
  <c r="D7" i="8"/>
  <c r="C8" i="8"/>
  <c r="J8" i="8" s="1"/>
  <c r="B9" i="8"/>
  <c r="G5" i="8"/>
  <c r="F6" i="8"/>
  <c r="E7" i="8"/>
  <c r="D8" i="8"/>
  <c r="E17" i="7"/>
  <c r="E25" i="7"/>
  <c r="E41" i="7"/>
  <c r="E49" i="7"/>
  <c r="E65" i="7"/>
  <c r="E73" i="7"/>
  <c r="E89" i="7"/>
  <c r="E97" i="7"/>
  <c r="H5" i="8"/>
  <c r="H9" i="8" s="1"/>
  <c r="G6" i="8"/>
  <c r="F7" i="8"/>
  <c r="E8" i="8"/>
  <c r="E86" i="7"/>
  <c r="I5" i="8"/>
  <c r="I9" i="8" s="1"/>
  <c r="H6" i="8"/>
  <c r="G7" i="8"/>
  <c r="F8" i="8"/>
  <c r="I6" i="8"/>
  <c r="J6" i="8" s="1"/>
  <c r="H7" i="8"/>
  <c r="G8" i="8"/>
  <c r="C5" i="8"/>
  <c r="H8" i="8"/>
  <c r="D5" i="8"/>
  <c r="J5" i="8" l="1"/>
  <c r="J9" i="8" s="1"/>
  <c r="C9" i="8"/>
  <c r="G9" i="8"/>
  <c r="D9" i="8"/>
  <c r="C63" i="10"/>
  <c r="K52" i="10"/>
  <c r="K48" i="10"/>
  <c r="K44" i="10"/>
  <c r="K40" i="10"/>
  <c r="K36" i="10"/>
  <c r="K32" i="10"/>
  <c r="K28" i="10"/>
  <c r="K24" i="10"/>
  <c r="K20" i="10"/>
  <c r="K16" i="10"/>
  <c r="K12" i="10"/>
  <c r="K8" i="10"/>
  <c r="I16" i="9"/>
  <c r="I14" i="9"/>
  <c r="I12" i="9"/>
  <c r="I10" i="9"/>
  <c r="I8" i="9"/>
  <c r="I6" i="9"/>
  <c r="J52" i="10"/>
  <c r="L52" i="10" s="1"/>
  <c r="J48" i="10"/>
  <c r="J44" i="10"/>
  <c r="J40" i="10"/>
  <c r="L40" i="10" s="1"/>
  <c r="J36" i="10"/>
  <c r="L36" i="10" s="1"/>
  <c r="J32" i="10"/>
  <c r="L32" i="10" s="1"/>
  <c r="J28" i="10"/>
  <c r="L28" i="10" s="1"/>
  <c r="J24" i="10"/>
  <c r="L24" i="10" s="1"/>
  <c r="J20" i="10"/>
  <c r="L20" i="10" s="1"/>
  <c r="J16" i="10"/>
  <c r="J12" i="10"/>
  <c r="J8" i="10"/>
  <c r="L8" i="10" s="1"/>
  <c r="H16" i="9"/>
  <c r="H14" i="9"/>
  <c r="H12" i="9"/>
  <c r="H10" i="9"/>
  <c r="H8" i="9"/>
  <c r="H6" i="9"/>
  <c r="K49" i="10"/>
  <c r="K45" i="10"/>
  <c r="K41" i="10"/>
  <c r="K37" i="10"/>
  <c r="K33" i="10"/>
  <c r="K29" i="10"/>
  <c r="K25" i="10"/>
  <c r="K21" i="10"/>
  <c r="K17" i="10"/>
  <c r="K13" i="10"/>
  <c r="K9" i="10"/>
  <c r="K5" i="10"/>
  <c r="J49" i="10"/>
  <c r="L49" i="10" s="1"/>
  <c r="J45" i="10"/>
  <c r="L45" i="10" s="1"/>
  <c r="J41" i="10"/>
  <c r="L41" i="10" s="1"/>
  <c r="J37" i="10"/>
  <c r="J33" i="10"/>
  <c r="J29" i="10"/>
  <c r="J25" i="10"/>
  <c r="J21" i="10"/>
  <c r="L21" i="10" s="1"/>
  <c r="J17" i="10"/>
  <c r="L17" i="10" s="1"/>
  <c r="J13" i="10"/>
  <c r="L13" i="10" s="1"/>
  <c r="J9" i="10"/>
  <c r="L9" i="10" s="1"/>
  <c r="J5" i="10"/>
  <c r="K50" i="10"/>
  <c r="K46" i="10"/>
  <c r="K42" i="10"/>
  <c r="K38" i="10"/>
  <c r="K34" i="10"/>
  <c r="K30" i="10"/>
  <c r="K26" i="10"/>
  <c r="K22" i="10"/>
  <c r="K18" i="10"/>
  <c r="K14" i="10"/>
  <c r="K10" i="10"/>
  <c r="K6" i="10"/>
  <c r="I15" i="9"/>
  <c r="I13" i="9"/>
  <c r="I11" i="9"/>
  <c r="I9" i="9"/>
  <c r="I7" i="9"/>
  <c r="I5" i="9"/>
  <c r="J50" i="10"/>
  <c r="J46" i="10"/>
  <c r="L46" i="10" s="1"/>
  <c r="J42" i="10"/>
  <c r="L42" i="10" s="1"/>
  <c r="J38" i="10"/>
  <c r="L38" i="10" s="1"/>
  <c r="J34" i="10"/>
  <c r="L34" i="10" s="1"/>
  <c r="J30" i="10"/>
  <c r="J26" i="10"/>
  <c r="J22" i="10"/>
  <c r="L22" i="10" s="1"/>
  <c r="J18" i="10"/>
  <c r="L18" i="10" s="1"/>
  <c r="J14" i="10"/>
  <c r="L14" i="10" s="1"/>
  <c r="J10" i="10"/>
  <c r="L10" i="10" s="1"/>
  <c r="J6" i="10"/>
  <c r="L6" i="10" s="1"/>
  <c r="H15" i="9"/>
  <c r="H13" i="9"/>
  <c r="H11" i="9"/>
  <c r="H9" i="9"/>
  <c r="H7" i="9"/>
  <c r="H5" i="9"/>
  <c r="K51" i="10"/>
  <c r="K47" i="10"/>
  <c r="K43" i="10"/>
  <c r="K39" i="10"/>
  <c r="K35" i="10"/>
  <c r="K31" i="10"/>
  <c r="K27" i="10"/>
  <c r="K23" i="10"/>
  <c r="K19" i="10"/>
  <c r="K15" i="10"/>
  <c r="K11" i="10"/>
  <c r="K7" i="10"/>
  <c r="J51" i="10"/>
  <c r="J47" i="10"/>
  <c r="J43" i="10"/>
  <c r="J39" i="10"/>
  <c r="L39" i="10" s="1"/>
  <c r="J35" i="10"/>
  <c r="L35" i="10" s="1"/>
  <c r="J31" i="10"/>
  <c r="L31" i="10" s="1"/>
  <c r="J27" i="10"/>
  <c r="L27" i="10" s="1"/>
  <c r="J23" i="10"/>
  <c r="J19" i="10"/>
  <c r="J15" i="10"/>
  <c r="J11" i="10"/>
  <c r="J7" i="10"/>
  <c r="L7" i="10" s="1"/>
  <c r="F9" i="8"/>
  <c r="L11" i="10" l="1"/>
  <c r="L43" i="10"/>
  <c r="L50" i="10"/>
  <c r="L25" i="10"/>
  <c r="L15" i="10"/>
  <c r="L29" i="10"/>
  <c r="L47" i="10"/>
  <c r="L51" i="10"/>
  <c r="L26" i="10"/>
  <c r="L33" i="10"/>
  <c r="L12" i="10"/>
  <c r="L44" i="10"/>
  <c r="L19" i="10"/>
  <c r="L23" i="10"/>
  <c r="L30" i="10"/>
  <c r="L5" i="10"/>
  <c r="C62" i="10" s="1"/>
  <c r="L37" i="10"/>
  <c r="L16" i="10"/>
  <c r="L48" i="10"/>
</calcChain>
</file>

<file path=xl/sharedStrings.xml><?xml version="1.0" encoding="utf-8"?>
<sst xmlns="http://schemas.openxmlformats.org/spreadsheetml/2006/main" count="3044" uniqueCount="1015">
  <si>
    <t>S&amp;OP demand and material review - data and calculations</t>
  </si>
  <si>
    <t>SYNTHETIC DATA. Region names and the North America revenue weighting come from public filings and public role titles. Every order, date and dollar figure is generated. This demonstrates a method and represents no company's actual business.</t>
  </si>
  <si>
    <t>Tab</t>
  </si>
  <si>
    <t>What is on it</t>
  </si>
  <si>
    <t>Type</t>
  </si>
  <si>
    <t>Raw Orders</t>
  </si>
  <si>
    <t>The order book as an ERP would extract it. Values only, one row per project.</t>
  </si>
  <si>
    <t>source</t>
  </si>
  <si>
    <t>Engineered Orders</t>
  </si>
  <si>
    <t>Fields derived per order: material committed, slip, status, material at risk.</t>
  </si>
  <si>
    <t>formulas</t>
  </si>
  <si>
    <t>Monthly by Region</t>
  </si>
  <si>
    <t>Bookings, conversions, backlog and book-to-bill by region and month.</t>
  </si>
  <si>
    <t>Slip by Market</t>
  </si>
  <si>
    <t>Schedule slip distribution per market, P10 / P50 / P90.</t>
  </si>
  <si>
    <t>Region vs Market</t>
  </si>
  <si>
    <t>Each market's P90 against its region's blended P90.</t>
  </si>
  <si>
    <t>Lookback</t>
  </si>
  <si>
    <t>Expected against actual conversion by region and month, with cumulative bias.</t>
  </si>
  <si>
    <t>Commitment</t>
  </si>
  <si>
    <t>Material committed against backlog at a range of realization assumptions.</t>
  </si>
  <si>
    <t>MC Forward</t>
  </si>
  <si>
    <t>Forward requirement by month. Simulated P10/P50/P90; calibrated bounds are formulas.</t>
  </si>
  <si>
    <t>mixed</t>
  </si>
  <si>
    <t>MC Calibration</t>
  </si>
  <si>
    <t>Walk-forward coverage test. The conformal step is worked in full, as formulas.</t>
  </si>
  <si>
    <t>On the two model-output tabs</t>
  </si>
  <si>
    <t>Excel reproduces every aggregate in this workbook, including the conformal calibration, which is worked in full on the calibration tab. The one thing it cannot reasonably do is run 4,000 simulations across 895 orders, so the P10/P50/P90 columns on the two MC tabs are simulated values. Everything derived from them is a formula. The scripts are in the same repository.</t>
  </si>
  <si>
    <t>Material rate used throughout</t>
  </si>
  <si>
    <t>Raw order book</t>
  </si>
  <si>
    <t>order_id</t>
  </si>
  <si>
    <t>region</t>
  </si>
  <si>
    <t>market</t>
  </si>
  <si>
    <t>booked_month</t>
  </si>
  <si>
    <t>mw</t>
  </si>
  <si>
    <t>order_value</t>
  </si>
  <si>
    <t>promised_months</t>
  </si>
  <si>
    <t>expected_conversion</t>
  </si>
  <si>
    <t>actual_conversion</t>
  </si>
  <si>
    <t>cancelled</t>
  </si>
  <si>
    <t>slip_months</t>
  </si>
  <si>
    <t>NX-00001</t>
  </si>
  <si>
    <t>North America</t>
  </si>
  <si>
    <t>US / Canada</t>
  </si>
  <si>
    <t>NX-00002</t>
  </si>
  <si>
    <t>NX-00003</t>
  </si>
  <si>
    <t>NX-00004</t>
  </si>
  <si>
    <t>NX-00005</t>
  </si>
  <si>
    <t>NX-00006</t>
  </si>
  <si>
    <t>NX-00007</t>
  </si>
  <si>
    <t>NX-00008</t>
  </si>
  <si>
    <t>NX-00009</t>
  </si>
  <si>
    <t>NX-00010</t>
  </si>
  <si>
    <t>NX-00011</t>
  </si>
  <si>
    <t>NX-00012</t>
  </si>
  <si>
    <t>NX-00013</t>
  </si>
  <si>
    <t>EMEA</t>
  </si>
  <si>
    <t>Europe</t>
  </si>
  <si>
    <t>NX-00014</t>
  </si>
  <si>
    <t>NX-00015</t>
  </si>
  <si>
    <t>NX-00016</t>
  </si>
  <si>
    <t>NX-00017</t>
  </si>
  <si>
    <t>MENA</t>
  </si>
  <si>
    <t>NX-00018</t>
  </si>
  <si>
    <t>NX-00019</t>
  </si>
  <si>
    <t>APAC</t>
  </si>
  <si>
    <t>India</t>
  </si>
  <si>
    <t>NX-00020</t>
  </si>
  <si>
    <t>NX-00021</t>
  </si>
  <si>
    <t>NX-00022</t>
  </si>
  <si>
    <t>Australia/SEA</t>
  </si>
  <si>
    <t>NX-00023</t>
  </si>
  <si>
    <t>LATAM</t>
  </si>
  <si>
    <t>NX-00024</t>
  </si>
  <si>
    <t>NX-00025</t>
  </si>
  <si>
    <t>NX-00026</t>
  </si>
  <si>
    <t>NX-00027</t>
  </si>
  <si>
    <t>NX-00028</t>
  </si>
  <si>
    <t>NX-00029</t>
  </si>
  <si>
    <t>NX-00030</t>
  </si>
  <si>
    <t>NX-00031</t>
  </si>
  <si>
    <t>NX-00032</t>
  </si>
  <si>
    <t>NX-00033</t>
  </si>
  <si>
    <t>NX-00034</t>
  </si>
  <si>
    <t>NX-00035</t>
  </si>
  <si>
    <t>NX-00036</t>
  </si>
  <si>
    <t>NX-00037</t>
  </si>
  <si>
    <t>NX-00038</t>
  </si>
  <si>
    <t>NX-00039</t>
  </si>
  <si>
    <t>NX-00040</t>
  </si>
  <si>
    <t>NX-00041</t>
  </si>
  <si>
    <t>NX-00042</t>
  </si>
  <si>
    <t>NX-00043</t>
  </si>
  <si>
    <t>NX-00044</t>
  </si>
  <si>
    <t>NX-00045</t>
  </si>
  <si>
    <t>NX-00046</t>
  </si>
  <si>
    <t>NX-00047</t>
  </si>
  <si>
    <t>NX-00048</t>
  </si>
  <si>
    <t>NX-00049</t>
  </si>
  <si>
    <t>NX-00050</t>
  </si>
  <si>
    <t>NX-00051</t>
  </si>
  <si>
    <t>NX-00052</t>
  </si>
  <si>
    <t>NX-00053</t>
  </si>
  <si>
    <t>NX-00054</t>
  </si>
  <si>
    <t>NX-00055</t>
  </si>
  <si>
    <t>NX-00056</t>
  </si>
  <si>
    <t>NX-00057</t>
  </si>
  <si>
    <t>NX-00058</t>
  </si>
  <si>
    <t>NX-00059</t>
  </si>
  <si>
    <t>NX-00060</t>
  </si>
  <si>
    <t>NX-00061</t>
  </si>
  <si>
    <t>NX-00062</t>
  </si>
  <si>
    <t>NX-00063</t>
  </si>
  <si>
    <t>NX-00064</t>
  </si>
  <si>
    <t>NX-00065</t>
  </si>
  <si>
    <t>NX-00066</t>
  </si>
  <si>
    <t>NX-00067</t>
  </si>
  <si>
    <t>NX-00068</t>
  </si>
  <si>
    <t>NX-00069</t>
  </si>
  <si>
    <t>NX-00070</t>
  </si>
  <si>
    <t>NX-00071</t>
  </si>
  <si>
    <t>NX-00072</t>
  </si>
  <si>
    <t>NX-00073</t>
  </si>
  <si>
    <t>NX-00074</t>
  </si>
  <si>
    <t>NX-00075</t>
  </si>
  <si>
    <t>NX-00076</t>
  </si>
  <si>
    <t>NX-00077</t>
  </si>
  <si>
    <t>NX-00078</t>
  </si>
  <si>
    <t>NX-00079</t>
  </si>
  <si>
    <t>NX-00080</t>
  </si>
  <si>
    <t>NX-00081</t>
  </si>
  <si>
    <t>NX-00082</t>
  </si>
  <si>
    <t>NX-00083</t>
  </si>
  <si>
    <t>NX-00084</t>
  </si>
  <si>
    <t>NX-00085</t>
  </si>
  <si>
    <t>NX-00086</t>
  </si>
  <si>
    <t>NX-00087</t>
  </si>
  <si>
    <t>NX-00088</t>
  </si>
  <si>
    <t>NX-00089</t>
  </si>
  <si>
    <t>NX-00090</t>
  </si>
  <si>
    <t>NX-00091</t>
  </si>
  <si>
    <t>NX-00092</t>
  </si>
  <si>
    <t>NX-00093</t>
  </si>
  <si>
    <t>NX-00094</t>
  </si>
  <si>
    <t>NX-00095</t>
  </si>
  <si>
    <t>NX-00096</t>
  </si>
  <si>
    <t>NX-00097</t>
  </si>
  <si>
    <t>NX-00098</t>
  </si>
  <si>
    <t>NX-00099</t>
  </si>
  <si>
    <t>NX-00100</t>
  </si>
  <si>
    <t>NX-00101</t>
  </si>
  <si>
    <t>NX-00102</t>
  </si>
  <si>
    <t>NX-00103</t>
  </si>
  <si>
    <t>NX-00104</t>
  </si>
  <si>
    <t>NX-00105</t>
  </si>
  <si>
    <t>NX-00106</t>
  </si>
  <si>
    <t>NX-00107</t>
  </si>
  <si>
    <t>NX-00108</t>
  </si>
  <si>
    <t>NX-00109</t>
  </si>
  <si>
    <t>NX-00110</t>
  </si>
  <si>
    <t>NX-00111</t>
  </si>
  <si>
    <t>NX-00112</t>
  </si>
  <si>
    <t>NX-00113</t>
  </si>
  <si>
    <t>NX-00114</t>
  </si>
  <si>
    <t>NX-00115</t>
  </si>
  <si>
    <t>NX-00116</t>
  </si>
  <si>
    <t>NX-00117</t>
  </si>
  <si>
    <t>NX-00118</t>
  </si>
  <si>
    <t>NX-00119</t>
  </si>
  <si>
    <t>NX-00120</t>
  </si>
  <si>
    <t>NX-00121</t>
  </si>
  <si>
    <t>NX-00122</t>
  </si>
  <si>
    <t>NX-00123</t>
  </si>
  <si>
    <t>NX-00124</t>
  </si>
  <si>
    <t>NX-00125</t>
  </si>
  <si>
    <t>NX-00126</t>
  </si>
  <si>
    <t>NX-00127</t>
  </si>
  <si>
    <t>NX-00128</t>
  </si>
  <si>
    <t>NX-00129</t>
  </si>
  <si>
    <t>NX-00130</t>
  </si>
  <si>
    <t>NX-00131</t>
  </si>
  <si>
    <t>NX-00132</t>
  </si>
  <si>
    <t>NX-00133</t>
  </si>
  <si>
    <t>NX-00134</t>
  </si>
  <si>
    <t>NX-00135</t>
  </si>
  <si>
    <t>NX-00136</t>
  </si>
  <si>
    <t>NX-00137</t>
  </si>
  <si>
    <t>NX-00138</t>
  </si>
  <si>
    <t>NX-00139</t>
  </si>
  <si>
    <t>NX-00140</t>
  </si>
  <si>
    <t>NX-00141</t>
  </si>
  <si>
    <t>NX-00142</t>
  </si>
  <si>
    <t>NX-00143</t>
  </si>
  <si>
    <t>NX-00144</t>
  </si>
  <si>
    <t>NX-00145</t>
  </si>
  <si>
    <t>NX-00146</t>
  </si>
  <si>
    <t>NX-00147</t>
  </si>
  <si>
    <t>NX-00148</t>
  </si>
  <si>
    <t>NX-00149</t>
  </si>
  <si>
    <t>NX-00150</t>
  </si>
  <si>
    <t>NX-00151</t>
  </si>
  <si>
    <t>NX-00152</t>
  </si>
  <si>
    <t>NX-00153</t>
  </si>
  <si>
    <t>NX-00154</t>
  </si>
  <si>
    <t>NX-00155</t>
  </si>
  <si>
    <t>NX-00156</t>
  </si>
  <si>
    <t>NX-00157</t>
  </si>
  <si>
    <t>NX-00158</t>
  </si>
  <si>
    <t>NX-00159</t>
  </si>
  <si>
    <t>NX-00160</t>
  </si>
  <si>
    <t>NX-00161</t>
  </si>
  <si>
    <t>NX-00162</t>
  </si>
  <si>
    <t>NX-00163</t>
  </si>
  <si>
    <t>NX-00164</t>
  </si>
  <si>
    <t>NX-00165</t>
  </si>
  <si>
    <t>NX-00166</t>
  </si>
  <si>
    <t>NX-00167</t>
  </si>
  <si>
    <t>NX-00168</t>
  </si>
  <si>
    <t>NX-00169</t>
  </si>
  <si>
    <t>NX-00170</t>
  </si>
  <si>
    <t>NX-00171</t>
  </si>
  <si>
    <t>NX-00172</t>
  </si>
  <si>
    <t>NX-00173</t>
  </si>
  <si>
    <t>NX-00174</t>
  </si>
  <si>
    <t>NX-00175</t>
  </si>
  <si>
    <t>NX-00176</t>
  </si>
  <si>
    <t>NX-00177</t>
  </si>
  <si>
    <t>NX-00178</t>
  </si>
  <si>
    <t>NX-00179</t>
  </si>
  <si>
    <t>NX-00180</t>
  </si>
  <si>
    <t>NX-00181</t>
  </si>
  <si>
    <t>NX-00182</t>
  </si>
  <si>
    <t>NX-00183</t>
  </si>
  <si>
    <t>NX-00184</t>
  </si>
  <si>
    <t>NX-00185</t>
  </si>
  <si>
    <t>NX-00186</t>
  </si>
  <si>
    <t>NX-00187</t>
  </si>
  <si>
    <t>NX-00188</t>
  </si>
  <si>
    <t>NX-00189</t>
  </si>
  <si>
    <t>NX-00190</t>
  </si>
  <si>
    <t>NX-00191</t>
  </si>
  <si>
    <t>NX-00192</t>
  </si>
  <si>
    <t>NX-00193</t>
  </si>
  <si>
    <t>NX-00194</t>
  </si>
  <si>
    <t>NX-00195</t>
  </si>
  <si>
    <t>NX-00196</t>
  </si>
  <si>
    <t>NX-00197</t>
  </si>
  <si>
    <t>NX-00198</t>
  </si>
  <si>
    <t>NX-00199</t>
  </si>
  <si>
    <t>NX-00200</t>
  </si>
  <si>
    <t>NX-00201</t>
  </si>
  <si>
    <t>NX-00202</t>
  </si>
  <si>
    <t>NX-00203</t>
  </si>
  <si>
    <t>NX-00204</t>
  </si>
  <si>
    <t>NX-00205</t>
  </si>
  <si>
    <t>NX-00206</t>
  </si>
  <si>
    <t>NX-00207</t>
  </si>
  <si>
    <t>NX-00208</t>
  </si>
  <si>
    <t>NX-00209</t>
  </si>
  <si>
    <t>NX-00210</t>
  </si>
  <si>
    <t>NX-00211</t>
  </si>
  <si>
    <t>NX-00212</t>
  </si>
  <si>
    <t>NX-00213</t>
  </si>
  <si>
    <t>NX-00214</t>
  </si>
  <si>
    <t>NX-00215</t>
  </si>
  <si>
    <t>NX-00216</t>
  </si>
  <si>
    <t>NX-00217</t>
  </si>
  <si>
    <t>NX-00218</t>
  </si>
  <si>
    <t>NX-00219</t>
  </si>
  <si>
    <t>NX-00220</t>
  </si>
  <si>
    <t>NX-00221</t>
  </si>
  <si>
    <t>NX-00222</t>
  </si>
  <si>
    <t>NX-00223</t>
  </si>
  <si>
    <t>NX-00224</t>
  </si>
  <si>
    <t>NX-00225</t>
  </si>
  <si>
    <t>NX-00226</t>
  </si>
  <si>
    <t>NX-00227</t>
  </si>
  <si>
    <t>NX-00228</t>
  </si>
  <si>
    <t>NX-00229</t>
  </si>
  <si>
    <t>NX-00230</t>
  </si>
  <si>
    <t>NX-00231</t>
  </si>
  <si>
    <t>NX-00232</t>
  </si>
  <si>
    <t>NX-00233</t>
  </si>
  <si>
    <t>NX-00234</t>
  </si>
  <si>
    <t>NX-00235</t>
  </si>
  <si>
    <t>NX-00236</t>
  </si>
  <si>
    <t>NX-00237</t>
  </si>
  <si>
    <t>NX-00238</t>
  </si>
  <si>
    <t>NX-00239</t>
  </si>
  <si>
    <t>NX-00240</t>
  </si>
  <si>
    <t>NX-00241</t>
  </si>
  <si>
    <t>NX-00242</t>
  </si>
  <si>
    <t>NX-00243</t>
  </si>
  <si>
    <t>NX-00244</t>
  </si>
  <si>
    <t>NX-00245</t>
  </si>
  <si>
    <t>NX-00246</t>
  </si>
  <si>
    <t>NX-00247</t>
  </si>
  <si>
    <t>NX-00248</t>
  </si>
  <si>
    <t>NX-00249</t>
  </si>
  <si>
    <t>NX-00250</t>
  </si>
  <si>
    <t>NX-00251</t>
  </si>
  <si>
    <t>NX-00252</t>
  </si>
  <si>
    <t>NX-00253</t>
  </si>
  <si>
    <t>NX-00254</t>
  </si>
  <si>
    <t>NX-00255</t>
  </si>
  <si>
    <t>NX-00256</t>
  </si>
  <si>
    <t>NX-00257</t>
  </si>
  <si>
    <t>NX-00258</t>
  </si>
  <si>
    <t>NX-00259</t>
  </si>
  <si>
    <t>NX-00260</t>
  </si>
  <si>
    <t>NX-00261</t>
  </si>
  <si>
    <t>NX-00262</t>
  </si>
  <si>
    <t>NX-00263</t>
  </si>
  <si>
    <t>NX-00264</t>
  </si>
  <si>
    <t>NX-00265</t>
  </si>
  <si>
    <t>NX-00266</t>
  </si>
  <si>
    <t>NX-00267</t>
  </si>
  <si>
    <t>NX-00268</t>
  </si>
  <si>
    <t>NX-00269</t>
  </si>
  <si>
    <t>NX-00270</t>
  </si>
  <si>
    <t>NX-00271</t>
  </si>
  <si>
    <t>NX-00272</t>
  </si>
  <si>
    <t>NX-00273</t>
  </si>
  <si>
    <t>NX-00274</t>
  </si>
  <si>
    <t>NX-00275</t>
  </si>
  <si>
    <t>NX-00276</t>
  </si>
  <si>
    <t>NX-00277</t>
  </si>
  <si>
    <t>NX-00278</t>
  </si>
  <si>
    <t>NX-00279</t>
  </si>
  <si>
    <t>NX-00280</t>
  </si>
  <si>
    <t>NX-00281</t>
  </si>
  <si>
    <t>NX-00282</t>
  </si>
  <si>
    <t>NX-00283</t>
  </si>
  <si>
    <t>NX-00284</t>
  </si>
  <si>
    <t>NX-00285</t>
  </si>
  <si>
    <t>NX-00286</t>
  </si>
  <si>
    <t>NX-00287</t>
  </si>
  <si>
    <t>NX-00288</t>
  </si>
  <si>
    <t>NX-00289</t>
  </si>
  <si>
    <t>NX-00290</t>
  </si>
  <si>
    <t>NX-00291</t>
  </si>
  <si>
    <t>NX-00292</t>
  </si>
  <si>
    <t>NX-00293</t>
  </si>
  <si>
    <t>NX-00294</t>
  </si>
  <si>
    <t>NX-00295</t>
  </si>
  <si>
    <t>NX-00296</t>
  </si>
  <si>
    <t>NX-00297</t>
  </si>
  <si>
    <t>NX-00298</t>
  </si>
  <si>
    <t>NX-00299</t>
  </si>
  <si>
    <t>NX-00300</t>
  </si>
  <si>
    <t>NX-00301</t>
  </si>
  <si>
    <t>NX-00302</t>
  </si>
  <si>
    <t>NX-00303</t>
  </si>
  <si>
    <t>NX-00304</t>
  </si>
  <si>
    <t>NX-00305</t>
  </si>
  <si>
    <t>NX-00306</t>
  </si>
  <si>
    <t>NX-00307</t>
  </si>
  <si>
    <t>NX-00308</t>
  </si>
  <si>
    <t>NX-00309</t>
  </si>
  <si>
    <t>NX-00310</t>
  </si>
  <si>
    <t>NX-00311</t>
  </si>
  <si>
    <t>NX-00312</t>
  </si>
  <si>
    <t>NX-00313</t>
  </si>
  <si>
    <t>NX-00314</t>
  </si>
  <si>
    <t>NX-00315</t>
  </si>
  <si>
    <t>NX-00316</t>
  </si>
  <si>
    <t>NX-00317</t>
  </si>
  <si>
    <t>NX-00318</t>
  </si>
  <si>
    <t>NX-00319</t>
  </si>
  <si>
    <t>NX-00320</t>
  </si>
  <si>
    <t>NX-00321</t>
  </si>
  <si>
    <t>NX-00322</t>
  </si>
  <si>
    <t>NX-00323</t>
  </si>
  <si>
    <t>NX-00324</t>
  </si>
  <si>
    <t>NX-00325</t>
  </si>
  <si>
    <t>NX-00326</t>
  </si>
  <si>
    <t>NX-00327</t>
  </si>
  <si>
    <t>NX-00328</t>
  </si>
  <si>
    <t>NX-00329</t>
  </si>
  <si>
    <t>NX-00330</t>
  </si>
  <si>
    <t>NX-00331</t>
  </si>
  <si>
    <t>NX-00332</t>
  </si>
  <si>
    <t>NX-00333</t>
  </si>
  <si>
    <t>NX-00334</t>
  </si>
  <si>
    <t>NX-00335</t>
  </si>
  <si>
    <t>NX-00336</t>
  </si>
  <si>
    <t>NX-00337</t>
  </si>
  <si>
    <t>NX-00338</t>
  </si>
  <si>
    <t>NX-00339</t>
  </si>
  <si>
    <t>NX-00340</t>
  </si>
  <si>
    <t>NX-00341</t>
  </si>
  <si>
    <t>NX-00342</t>
  </si>
  <si>
    <t>NX-00343</t>
  </si>
  <si>
    <t>NX-00344</t>
  </si>
  <si>
    <t>NX-00345</t>
  </si>
  <si>
    <t>NX-00346</t>
  </si>
  <si>
    <t>NX-00347</t>
  </si>
  <si>
    <t>NX-00348</t>
  </si>
  <si>
    <t>NX-00349</t>
  </si>
  <si>
    <t>NX-00350</t>
  </si>
  <si>
    <t>NX-00351</t>
  </si>
  <si>
    <t>NX-00352</t>
  </si>
  <si>
    <t>NX-00353</t>
  </si>
  <si>
    <t>NX-00354</t>
  </si>
  <si>
    <t>NX-00355</t>
  </si>
  <si>
    <t>NX-00356</t>
  </si>
  <si>
    <t>NX-00357</t>
  </si>
  <si>
    <t>NX-00358</t>
  </si>
  <si>
    <t>NX-00359</t>
  </si>
  <si>
    <t>NX-00360</t>
  </si>
  <si>
    <t>NX-00361</t>
  </si>
  <si>
    <t>NX-00362</t>
  </si>
  <si>
    <t>NX-00363</t>
  </si>
  <si>
    <t>NX-00364</t>
  </si>
  <si>
    <t>NX-00365</t>
  </si>
  <si>
    <t>NX-00366</t>
  </si>
  <si>
    <t>NX-00367</t>
  </si>
  <si>
    <t>NX-00368</t>
  </si>
  <si>
    <t>NX-00369</t>
  </si>
  <si>
    <t>NX-00370</t>
  </si>
  <si>
    <t>NX-00371</t>
  </si>
  <si>
    <t>NX-00372</t>
  </si>
  <si>
    <t>NX-00373</t>
  </si>
  <si>
    <t>NX-00374</t>
  </si>
  <si>
    <t>NX-00375</t>
  </si>
  <si>
    <t>NX-00376</t>
  </si>
  <si>
    <t>NX-00377</t>
  </si>
  <si>
    <t>NX-00378</t>
  </si>
  <si>
    <t>NX-00379</t>
  </si>
  <si>
    <t>NX-00380</t>
  </si>
  <si>
    <t>NX-00381</t>
  </si>
  <si>
    <t>NX-00382</t>
  </si>
  <si>
    <t>NX-00383</t>
  </si>
  <si>
    <t>NX-00384</t>
  </si>
  <si>
    <t>NX-00385</t>
  </si>
  <si>
    <t>NX-00386</t>
  </si>
  <si>
    <t>NX-00387</t>
  </si>
  <si>
    <t>NX-00388</t>
  </si>
  <si>
    <t>NX-00389</t>
  </si>
  <si>
    <t>NX-00390</t>
  </si>
  <si>
    <t>NX-00391</t>
  </si>
  <si>
    <t>NX-00392</t>
  </si>
  <si>
    <t>NX-00393</t>
  </si>
  <si>
    <t>NX-00394</t>
  </si>
  <si>
    <t>NX-00395</t>
  </si>
  <si>
    <t>NX-00396</t>
  </si>
  <si>
    <t>NX-00397</t>
  </si>
  <si>
    <t>NX-00398</t>
  </si>
  <si>
    <t>NX-00399</t>
  </si>
  <si>
    <t>NX-00400</t>
  </si>
  <si>
    <t>NX-00401</t>
  </si>
  <si>
    <t>NX-00402</t>
  </si>
  <si>
    <t>NX-00403</t>
  </si>
  <si>
    <t>NX-00404</t>
  </si>
  <si>
    <t>NX-00405</t>
  </si>
  <si>
    <t>NX-00406</t>
  </si>
  <si>
    <t>NX-00407</t>
  </si>
  <si>
    <t>NX-00408</t>
  </si>
  <si>
    <t>NX-00409</t>
  </si>
  <si>
    <t>NX-00410</t>
  </si>
  <si>
    <t>NX-00411</t>
  </si>
  <si>
    <t>NX-00412</t>
  </si>
  <si>
    <t>NX-00413</t>
  </si>
  <si>
    <t>NX-00414</t>
  </si>
  <si>
    <t>NX-00415</t>
  </si>
  <si>
    <t>NX-00416</t>
  </si>
  <si>
    <t>NX-00417</t>
  </si>
  <si>
    <t>NX-00418</t>
  </si>
  <si>
    <t>NX-00419</t>
  </si>
  <si>
    <t>NX-00420</t>
  </si>
  <si>
    <t>NX-00421</t>
  </si>
  <si>
    <t>NX-00422</t>
  </si>
  <si>
    <t>NX-00423</t>
  </si>
  <si>
    <t>NX-00424</t>
  </si>
  <si>
    <t>NX-00425</t>
  </si>
  <si>
    <t>NX-00426</t>
  </si>
  <si>
    <t>NX-00427</t>
  </si>
  <si>
    <t>NX-00428</t>
  </si>
  <si>
    <t>NX-00429</t>
  </si>
  <si>
    <t>NX-00430</t>
  </si>
  <si>
    <t>NX-00431</t>
  </si>
  <si>
    <t>NX-00432</t>
  </si>
  <si>
    <t>NX-00433</t>
  </si>
  <si>
    <t>NX-00434</t>
  </si>
  <si>
    <t>NX-00435</t>
  </si>
  <si>
    <t>NX-00436</t>
  </si>
  <si>
    <t>NX-00437</t>
  </si>
  <si>
    <t>NX-00438</t>
  </si>
  <si>
    <t>NX-00439</t>
  </si>
  <si>
    <t>NX-00440</t>
  </si>
  <si>
    <t>NX-00441</t>
  </si>
  <si>
    <t>NX-00442</t>
  </si>
  <si>
    <t>NX-00443</t>
  </si>
  <si>
    <t>NX-00444</t>
  </si>
  <si>
    <t>NX-00445</t>
  </si>
  <si>
    <t>NX-00446</t>
  </si>
  <si>
    <t>NX-00447</t>
  </si>
  <si>
    <t>NX-00448</t>
  </si>
  <si>
    <t>NX-00449</t>
  </si>
  <si>
    <t>NX-00450</t>
  </si>
  <si>
    <t>NX-00451</t>
  </si>
  <si>
    <t>NX-00452</t>
  </si>
  <si>
    <t>NX-00453</t>
  </si>
  <si>
    <t>NX-00454</t>
  </si>
  <si>
    <t>NX-00455</t>
  </si>
  <si>
    <t>NX-00456</t>
  </si>
  <si>
    <t>NX-00457</t>
  </si>
  <si>
    <t>NX-00458</t>
  </si>
  <si>
    <t>NX-00459</t>
  </si>
  <si>
    <t>NX-00460</t>
  </si>
  <si>
    <t>NX-00461</t>
  </si>
  <si>
    <t>NX-00462</t>
  </si>
  <si>
    <t>NX-00463</t>
  </si>
  <si>
    <t>NX-00464</t>
  </si>
  <si>
    <t>NX-00465</t>
  </si>
  <si>
    <t>NX-00466</t>
  </si>
  <si>
    <t>NX-00467</t>
  </si>
  <si>
    <t>NX-00468</t>
  </si>
  <si>
    <t>NX-00469</t>
  </si>
  <si>
    <t>NX-00470</t>
  </si>
  <si>
    <t>NX-00471</t>
  </si>
  <si>
    <t>NX-00472</t>
  </si>
  <si>
    <t>NX-00473</t>
  </si>
  <si>
    <t>NX-00474</t>
  </si>
  <si>
    <t>NX-00475</t>
  </si>
  <si>
    <t>NX-00476</t>
  </si>
  <si>
    <t>NX-00477</t>
  </si>
  <si>
    <t>NX-00478</t>
  </si>
  <si>
    <t>NX-00479</t>
  </si>
  <si>
    <t>NX-00480</t>
  </si>
  <si>
    <t>NX-00481</t>
  </si>
  <si>
    <t>NX-00482</t>
  </si>
  <si>
    <t>NX-00483</t>
  </si>
  <si>
    <t>NX-00484</t>
  </si>
  <si>
    <t>NX-00485</t>
  </si>
  <si>
    <t>NX-00486</t>
  </si>
  <si>
    <t>NX-00487</t>
  </si>
  <si>
    <t>NX-00488</t>
  </si>
  <si>
    <t>NX-00489</t>
  </si>
  <si>
    <t>NX-00490</t>
  </si>
  <si>
    <t>NX-00491</t>
  </si>
  <si>
    <t>NX-00492</t>
  </si>
  <si>
    <t>NX-00493</t>
  </si>
  <si>
    <t>NX-00494</t>
  </si>
  <si>
    <t>NX-00495</t>
  </si>
  <si>
    <t>NX-00496</t>
  </si>
  <si>
    <t>NX-00497</t>
  </si>
  <si>
    <t>NX-00498</t>
  </si>
  <si>
    <t>NX-00499</t>
  </si>
  <si>
    <t>NX-00500</t>
  </si>
  <si>
    <t>NX-00501</t>
  </si>
  <si>
    <t>NX-00502</t>
  </si>
  <si>
    <t>NX-00503</t>
  </si>
  <si>
    <t>NX-00504</t>
  </si>
  <si>
    <t>NX-00505</t>
  </si>
  <si>
    <t>NX-00506</t>
  </si>
  <si>
    <t>NX-00507</t>
  </si>
  <si>
    <t>NX-00508</t>
  </si>
  <si>
    <t>NX-00509</t>
  </si>
  <si>
    <t>NX-00510</t>
  </si>
  <si>
    <t>NX-00511</t>
  </si>
  <si>
    <t>NX-00512</t>
  </si>
  <si>
    <t>NX-00513</t>
  </si>
  <si>
    <t>NX-00514</t>
  </si>
  <si>
    <t>NX-00515</t>
  </si>
  <si>
    <t>NX-00516</t>
  </si>
  <si>
    <t>NX-00517</t>
  </si>
  <si>
    <t>NX-00518</t>
  </si>
  <si>
    <t>NX-00519</t>
  </si>
  <si>
    <t>NX-00520</t>
  </si>
  <si>
    <t>NX-00521</t>
  </si>
  <si>
    <t>NX-00522</t>
  </si>
  <si>
    <t>NX-00523</t>
  </si>
  <si>
    <t>NX-00524</t>
  </si>
  <si>
    <t>NX-00525</t>
  </si>
  <si>
    <t>NX-00526</t>
  </si>
  <si>
    <t>NX-00527</t>
  </si>
  <si>
    <t>NX-00528</t>
  </si>
  <si>
    <t>NX-00529</t>
  </si>
  <si>
    <t>NX-00530</t>
  </si>
  <si>
    <t>NX-00531</t>
  </si>
  <si>
    <t>NX-00532</t>
  </si>
  <si>
    <t>NX-00533</t>
  </si>
  <si>
    <t>NX-00534</t>
  </si>
  <si>
    <t>NX-00535</t>
  </si>
  <si>
    <t>NX-00536</t>
  </si>
  <si>
    <t>NX-00537</t>
  </si>
  <si>
    <t>NX-00538</t>
  </si>
  <si>
    <t>NX-00539</t>
  </si>
  <si>
    <t>NX-00540</t>
  </si>
  <si>
    <t>NX-00541</t>
  </si>
  <si>
    <t>NX-00542</t>
  </si>
  <si>
    <t>NX-00543</t>
  </si>
  <si>
    <t>NX-00544</t>
  </si>
  <si>
    <t>NX-00545</t>
  </si>
  <si>
    <t>NX-00546</t>
  </si>
  <si>
    <t>NX-00547</t>
  </si>
  <si>
    <t>NX-00548</t>
  </si>
  <si>
    <t>NX-00549</t>
  </si>
  <si>
    <t>NX-00550</t>
  </si>
  <si>
    <t>NX-00551</t>
  </si>
  <si>
    <t>NX-00552</t>
  </si>
  <si>
    <t>NX-00553</t>
  </si>
  <si>
    <t>NX-00554</t>
  </si>
  <si>
    <t>NX-00555</t>
  </si>
  <si>
    <t>NX-00556</t>
  </si>
  <si>
    <t>NX-00557</t>
  </si>
  <si>
    <t>NX-00558</t>
  </si>
  <si>
    <t>NX-00559</t>
  </si>
  <si>
    <t>NX-00560</t>
  </si>
  <si>
    <t>NX-00561</t>
  </si>
  <si>
    <t>NX-00562</t>
  </si>
  <si>
    <t>NX-00563</t>
  </si>
  <si>
    <t>NX-00564</t>
  </si>
  <si>
    <t>NX-00565</t>
  </si>
  <si>
    <t>NX-00566</t>
  </si>
  <si>
    <t>NX-00567</t>
  </si>
  <si>
    <t>NX-00568</t>
  </si>
  <si>
    <t>NX-00569</t>
  </si>
  <si>
    <t>NX-00570</t>
  </si>
  <si>
    <t>NX-00571</t>
  </si>
  <si>
    <t>NX-00572</t>
  </si>
  <si>
    <t>NX-00573</t>
  </si>
  <si>
    <t>NX-00574</t>
  </si>
  <si>
    <t>NX-00575</t>
  </si>
  <si>
    <t>NX-00576</t>
  </si>
  <si>
    <t>NX-00577</t>
  </si>
  <si>
    <t>NX-00578</t>
  </si>
  <si>
    <t>NX-00579</t>
  </si>
  <si>
    <t>NX-00580</t>
  </si>
  <si>
    <t>NX-00581</t>
  </si>
  <si>
    <t>NX-00582</t>
  </si>
  <si>
    <t>NX-00583</t>
  </si>
  <si>
    <t>NX-00584</t>
  </si>
  <si>
    <t>NX-00585</t>
  </si>
  <si>
    <t>NX-00586</t>
  </si>
  <si>
    <t>NX-00587</t>
  </si>
  <si>
    <t>NX-00588</t>
  </si>
  <si>
    <t>NX-00589</t>
  </si>
  <si>
    <t>NX-00590</t>
  </si>
  <si>
    <t>NX-00591</t>
  </si>
  <si>
    <t>NX-00592</t>
  </si>
  <si>
    <t>NX-00593</t>
  </si>
  <si>
    <t>NX-00594</t>
  </si>
  <si>
    <t>NX-00595</t>
  </si>
  <si>
    <t>NX-00596</t>
  </si>
  <si>
    <t>NX-00597</t>
  </si>
  <si>
    <t>NX-00598</t>
  </si>
  <si>
    <t>NX-00599</t>
  </si>
  <si>
    <t>NX-00600</t>
  </si>
  <si>
    <t>NX-00601</t>
  </si>
  <si>
    <t>NX-00602</t>
  </si>
  <si>
    <t>NX-00603</t>
  </si>
  <si>
    <t>NX-00604</t>
  </si>
  <si>
    <t>NX-00605</t>
  </si>
  <si>
    <t>NX-00606</t>
  </si>
  <si>
    <t>NX-00607</t>
  </si>
  <si>
    <t>NX-00608</t>
  </si>
  <si>
    <t>NX-00609</t>
  </si>
  <si>
    <t>NX-00610</t>
  </si>
  <si>
    <t>NX-00611</t>
  </si>
  <si>
    <t>NX-00612</t>
  </si>
  <si>
    <t>NX-00613</t>
  </si>
  <si>
    <t>NX-00614</t>
  </si>
  <si>
    <t>NX-00615</t>
  </si>
  <si>
    <t>NX-00616</t>
  </si>
  <si>
    <t>NX-00617</t>
  </si>
  <si>
    <t>NX-00618</t>
  </si>
  <si>
    <t>NX-00619</t>
  </si>
  <si>
    <t>NX-00620</t>
  </si>
  <si>
    <t>NX-00621</t>
  </si>
  <si>
    <t>NX-00622</t>
  </si>
  <si>
    <t>NX-00623</t>
  </si>
  <si>
    <t>NX-00624</t>
  </si>
  <si>
    <t>NX-00625</t>
  </si>
  <si>
    <t>NX-00626</t>
  </si>
  <si>
    <t>NX-00627</t>
  </si>
  <si>
    <t>NX-00628</t>
  </si>
  <si>
    <t>NX-00629</t>
  </si>
  <si>
    <t>NX-00630</t>
  </si>
  <si>
    <t>NX-00631</t>
  </si>
  <si>
    <t>NX-00632</t>
  </si>
  <si>
    <t>NX-00633</t>
  </si>
  <si>
    <t>NX-00634</t>
  </si>
  <si>
    <t>NX-00635</t>
  </si>
  <si>
    <t>NX-00636</t>
  </si>
  <si>
    <t>NX-00637</t>
  </si>
  <si>
    <t>NX-00638</t>
  </si>
  <si>
    <t>NX-00639</t>
  </si>
  <si>
    <t>NX-00640</t>
  </si>
  <si>
    <t>NX-00641</t>
  </si>
  <si>
    <t>NX-00642</t>
  </si>
  <si>
    <t>NX-00643</t>
  </si>
  <si>
    <t>NX-00644</t>
  </si>
  <si>
    <t>NX-00645</t>
  </si>
  <si>
    <t>NX-00646</t>
  </si>
  <si>
    <t>NX-00647</t>
  </si>
  <si>
    <t>NX-00648</t>
  </si>
  <si>
    <t>NX-00649</t>
  </si>
  <si>
    <t>NX-00650</t>
  </si>
  <si>
    <t>NX-00651</t>
  </si>
  <si>
    <t>NX-00652</t>
  </si>
  <si>
    <t>NX-00653</t>
  </si>
  <si>
    <t>NX-00654</t>
  </si>
  <si>
    <t>NX-00655</t>
  </si>
  <si>
    <t>NX-00656</t>
  </si>
  <si>
    <t>NX-00657</t>
  </si>
  <si>
    <t>NX-00658</t>
  </si>
  <si>
    <t>NX-00659</t>
  </si>
  <si>
    <t>NX-00660</t>
  </si>
  <si>
    <t>NX-00661</t>
  </si>
  <si>
    <t>NX-00662</t>
  </si>
  <si>
    <t>NX-00663</t>
  </si>
  <si>
    <t>NX-00664</t>
  </si>
  <si>
    <t>NX-00665</t>
  </si>
  <si>
    <t>NX-00666</t>
  </si>
  <si>
    <t>NX-00667</t>
  </si>
  <si>
    <t>NX-00668</t>
  </si>
  <si>
    <t>NX-00669</t>
  </si>
  <si>
    <t>NX-00670</t>
  </si>
  <si>
    <t>NX-00671</t>
  </si>
  <si>
    <t>NX-00672</t>
  </si>
  <si>
    <t>NX-00673</t>
  </si>
  <si>
    <t>NX-00674</t>
  </si>
  <si>
    <t>NX-00675</t>
  </si>
  <si>
    <t>NX-00676</t>
  </si>
  <si>
    <t>NX-00677</t>
  </si>
  <si>
    <t>NX-00678</t>
  </si>
  <si>
    <t>NX-00679</t>
  </si>
  <si>
    <t>NX-00680</t>
  </si>
  <si>
    <t>NX-00681</t>
  </si>
  <si>
    <t>NX-00682</t>
  </si>
  <si>
    <t>NX-00683</t>
  </si>
  <si>
    <t>NX-00684</t>
  </si>
  <si>
    <t>NX-00685</t>
  </si>
  <si>
    <t>NX-00686</t>
  </si>
  <si>
    <t>NX-00687</t>
  </si>
  <si>
    <t>NX-00688</t>
  </si>
  <si>
    <t>NX-00689</t>
  </si>
  <si>
    <t>NX-00690</t>
  </si>
  <si>
    <t>NX-00691</t>
  </si>
  <si>
    <t>NX-00692</t>
  </si>
  <si>
    <t>NX-00693</t>
  </si>
  <si>
    <t>NX-00694</t>
  </si>
  <si>
    <t>NX-00695</t>
  </si>
  <si>
    <t>NX-00696</t>
  </si>
  <si>
    <t>NX-00697</t>
  </si>
  <si>
    <t>NX-00698</t>
  </si>
  <si>
    <t>NX-00699</t>
  </si>
  <si>
    <t>NX-00700</t>
  </si>
  <si>
    <t>NX-00701</t>
  </si>
  <si>
    <t>NX-00702</t>
  </si>
  <si>
    <t>NX-00703</t>
  </si>
  <si>
    <t>NX-00704</t>
  </si>
  <si>
    <t>NX-00705</t>
  </si>
  <si>
    <t>NX-00706</t>
  </si>
  <si>
    <t>NX-00707</t>
  </si>
  <si>
    <t>NX-00708</t>
  </si>
  <si>
    <t>NX-00709</t>
  </si>
  <si>
    <t>NX-00710</t>
  </si>
  <si>
    <t>NX-00711</t>
  </si>
  <si>
    <t>NX-00712</t>
  </si>
  <si>
    <t>NX-00713</t>
  </si>
  <si>
    <t>NX-00714</t>
  </si>
  <si>
    <t>NX-00715</t>
  </si>
  <si>
    <t>NX-00716</t>
  </si>
  <si>
    <t>NX-00717</t>
  </si>
  <si>
    <t>NX-00718</t>
  </si>
  <si>
    <t>NX-00719</t>
  </si>
  <si>
    <t>NX-00720</t>
  </si>
  <si>
    <t>NX-00721</t>
  </si>
  <si>
    <t>NX-00722</t>
  </si>
  <si>
    <t>NX-00723</t>
  </si>
  <si>
    <t>NX-00724</t>
  </si>
  <si>
    <t>NX-00725</t>
  </si>
  <si>
    <t>NX-00726</t>
  </si>
  <si>
    <t>NX-00727</t>
  </si>
  <si>
    <t>NX-00728</t>
  </si>
  <si>
    <t>NX-00729</t>
  </si>
  <si>
    <t>NX-00730</t>
  </si>
  <si>
    <t>NX-00731</t>
  </si>
  <si>
    <t>NX-00732</t>
  </si>
  <si>
    <t>NX-00733</t>
  </si>
  <si>
    <t>NX-00734</t>
  </si>
  <si>
    <t>NX-00735</t>
  </si>
  <si>
    <t>NX-00736</t>
  </si>
  <si>
    <t>NX-00737</t>
  </si>
  <si>
    <t>NX-00738</t>
  </si>
  <si>
    <t>NX-00739</t>
  </si>
  <si>
    <t>NX-00740</t>
  </si>
  <si>
    <t>NX-00741</t>
  </si>
  <si>
    <t>NX-00742</t>
  </si>
  <si>
    <t>NX-00743</t>
  </si>
  <si>
    <t>NX-00744</t>
  </si>
  <si>
    <t>NX-00745</t>
  </si>
  <si>
    <t>NX-00746</t>
  </si>
  <si>
    <t>NX-00747</t>
  </si>
  <si>
    <t>NX-00748</t>
  </si>
  <si>
    <t>NX-00749</t>
  </si>
  <si>
    <t>NX-00750</t>
  </si>
  <si>
    <t>NX-00751</t>
  </si>
  <si>
    <t>NX-00752</t>
  </si>
  <si>
    <t>NX-00753</t>
  </si>
  <si>
    <t>NX-00754</t>
  </si>
  <si>
    <t>NX-00755</t>
  </si>
  <si>
    <t>NX-00756</t>
  </si>
  <si>
    <t>NX-00757</t>
  </si>
  <si>
    <t>NX-00758</t>
  </si>
  <si>
    <t>NX-00759</t>
  </si>
  <si>
    <t>NX-00760</t>
  </si>
  <si>
    <t>NX-00761</t>
  </si>
  <si>
    <t>NX-00762</t>
  </si>
  <si>
    <t>NX-00763</t>
  </si>
  <si>
    <t>NX-00764</t>
  </si>
  <si>
    <t>NX-00765</t>
  </si>
  <si>
    <t>NX-00766</t>
  </si>
  <si>
    <t>NX-00767</t>
  </si>
  <si>
    <t>NX-00768</t>
  </si>
  <si>
    <t>NX-00769</t>
  </si>
  <si>
    <t>NX-00770</t>
  </si>
  <si>
    <t>NX-00771</t>
  </si>
  <si>
    <t>NX-00772</t>
  </si>
  <si>
    <t>NX-00773</t>
  </si>
  <si>
    <t>NX-00774</t>
  </si>
  <si>
    <t>NX-00775</t>
  </si>
  <si>
    <t>NX-00776</t>
  </si>
  <si>
    <t>NX-00777</t>
  </si>
  <si>
    <t>NX-00778</t>
  </si>
  <si>
    <t>NX-00779</t>
  </si>
  <si>
    <t>NX-00780</t>
  </si>
  <si>
    <t>NX-00781</t>
  </si>
  <si>
    <t>NX-00782</t>
  </si>
  <si>
    <t>NX-00783</t>
  </si>
  <si>
    <t>NX-00784</t>
  </si>
  <si>
    <t>NX-00785</t>
  </si>
  <si>
    <t>NX-00786</t>
  </si>
  <si>
    <t>NX-00787</t>
  </si>
  <si>
    <t>NX-00788</t>
  </si>
  <si>
    <t>NX-00789</t>
  </si>
  <si>
    <t>NX-00790</t>
  </si>
  <si>
    <t>NX-00791</t>
  </si>
  <si>
    <t>NX-00792</t>
  </si>
  <si>
    <t>NX-00793</t>
  </si>
  <si>
    <t>NX-00794</t>
  </si>
  <si>
    <t>NX-00795</t>
  </si>
  <si>
    <t>NX-00796</t>
  </si>
  <si>
    <t>NX-00797</t>
  </si>
  <si>
    <t>NX-00798</t>
  </si>
  <si>
    <t>NX-00799</t>
  </si>
  <si>
    <t>NX-00800</t>
  </si>
  <si>
    <t>NX-00801</t>
  </si>
  <si>
    <t>NX-00802</t>
  </si>
  <si>
    <t>NX-00803</t>
  </si>
  <si>
    <t>NX-00804</t>
  </si>
  <si>
    <t>NX-00805</t>
  </si>
  <si>
    <t>NX-00806</t>
  </si>
  <si>
    <t>NX-00807</t>
  </si>
  <si>
    <t>NX-00808</t>
  </si>
  <si>
    <t>NX-00809</t>
  </si>
  <si>
    <t>NX-00810</t>
  </si>
  <si>
    <t>NX-00811</t>
  </si>
  <si>
    <t>NX-00812</t>
  </si>
  <si>
    <t>NX-00813</t>
  </si>
  <si>
    <t>NX-00814</t>
  </si>
  <si>
    <t>NX-00815</t>
  </si>
  <si>
    <t>NX-00816</t>
  </si>
  <si>
    <t>NX-00817</t>
  </si>
  <si>
    <t>NX-00818</t>
  </si>
  <si>
    <t>NX-00819</t>
  </si>
  <si>
    <t>NX-00820</t>
  </si>
  <si>
    <t>NX-00821</t>
  </si>
  <si>
    <t>NX-00822</t>
  </si>
  <si>
    <t>NX-00823</t>
  </si>
  <si>
    <t>NX-00824</t>
  </si>
  <si>
    <t>NX-00825</t>
  </si>
  <si>
    <t>NX-00826</t>
  </si>
  <si>
    <t>NX-00827</t>
  </si>
  <si>
    <t>NX-00828</t>
  </si>
  <si>
    <t>NX-00829</t>
  </si>
  <si>
    <t>NX-00830</t>
  </si>
  <si>
    <t>NX-00831</t>
  </si>
  <si>
    <t>NX-00832</t>
  </si>
  <si>
    <t>NX-00833</t>
  </si>
  <si>
    <t>NX-00834</t>
  </si>
  <si>
    <t>NX-00835</t>
  </si>
  <si>
    <t>NX-00836</t>
  </si>
  <si>
    <t>NX-00837</t>
  </si>
  <si>
    <t>NX-00838</t>
  </si>
  <si>
    <t>NX-00839</t>
  </si>
  <si>
    <t>NX-00840</t>
  </si>
  <si>
    <t>NX-00841</t>
  </si>
  <si>
    <t>NX-00842</t>
  </si>
  <si>
    <t>NX-00843</t>
  </si>
  <si>
    <t>NX-00844</t>
  </si>
  <si>
    <t>NX-00845</t>
  </si>
  <si>
    <t>NX-00846</t>
  </si>
  <si>
    <t>NX-00847</t>
  </si>
  <si>
    <t>NX-00848</t>
  </si>
  <si>
    <t>NX-00849</t>
  </si>
  <si>
    <t>NX-00850</t>
  </si>
  <si>
    <t>NX-00851</t>
  </si>
  <si>
    <t>NX-00852</t>
  </si>
  <si>
    <t>NX-00853</t>
  </si>
  <si>
    <t>NX-00854</t>
  </si>
  <si>
    <t>NX-00855</t>
  </si>
  <si>
    <t>NX-00856</t>
  </si>
  <si>
    <t>NX-00857</t>
  </si>
  <si>
    <t>NX-00858</t>
  </si>
  <si>
    <t>NX-00859</t>
  </si>
  <si>
    <t>NX-00860</t>
  </si>
  <si>
    <t>NX-00861</t>
  </si>
  <si>
    <t>NX-00862</t>
  </si>
  <si>
    <t>NX-00863</t>
  </si>
  <si>
    <t>NX-00864</t>
  </si>
  <si>
    <t>NX-00865</t>
  </si>
  <si>
    <t>NX-00866</t>
  </si>
  <si>
    <t>NX-00867</t>
  </si>
  <si>
    <t>NX-00868</t>
  </si>
  <si>
    <t>NX-00869</t>
  </si>
  <si>
    <t>NX-00870</t>
  </si>
  <si>
    <t>NX-00871</t>
  </si>
  <si>
    <t>NX-00872</t>
  </si>
  <si>
    <t>NX-00873</t>
  </si>
  <si>
    <t>NX-00874</t>
  </si>
  <si>
    <t>NX-00875</t>
  </si>
  <si>
    <t>NX-00876</t>
  </si>
  <si>
    <t>NX-00877</t>
  </si>
  <si>
    <t>NX-00878</t>
  </si>
  <si>
    <t>NX-00879</t>
  </si>
  <si>
    <t>NX-00880</t>
  </si>
  <si>
    <t>NX-00881</t>
  </si>
  <si>
    <t>NX-00882</t>
  </si>
  <si>
    <t>NX-00883</t>
  </si>
  <si>
    <t>NX-00884</t>
  </si>
  <si>
    <t>NX-00885</t>
  </si>
  <si>
    <t>NX-00886</t>
  </si>
  <si>
    <t>NX-00887</t>
  </si>
  <si>
    <t>NX-00888</t>
  </si>
  <si>
    <t>NX-00889</t>
  </si>
  <si>
    <t>NX-00890</t>
  </si>
  <si>
    <t>NX-00891</t>
  </si>
  <si>
    <t>NX-00892</t>
  </si>
  <si>
    <t>NX-00893</t>
  </si>
  <si>
    <t>NX-00894</t>
  </si>
  <si>
    <t>NX-00895</t>
  </si>
  <si>
    <t>Engineered fields</t>
  </si>
  <si>
    <t>material_committed</t>
  </si>
  <si>
    <t>slip_check_from_dates</t>
  </si>
  <si>
    <t>status</t>
  </si>
  <si>
    <t>material_at_risk</t>
  </si>
  <si>
    <t>Monthly aggregates by region</t>
  </si>
  <si>
    <t>month</t>
  </si>
  <si>
    <t>orders booked</t>
  </si>
  <si>
    <t>MW booked</t>
  </si>
  <si>
    <t>value booked ($)</t>
  </si>
  <si>
    <t>value converted ($)</t>
  </si>
  <si>
    <t>backlog ($)</t>
  </si>
  <si>
    <t>book-to-bill</t>
  </si>
  <si>
    <t>material vs backlog ($)</t>
  </si>
  <si>
    <t>Schedule slip distribution by market</t>
  </si>
  <si>
    <t>orders</t>
  </si>
  <si>
    <t>P10</t>
  </si>
  <si>
    <t>median</t>
  </si>
  <si>
    <t>P90</t>
  </si>
  <si>
    <t>mean</t>
  </si>
  <si>
    <t>The percentile columns are array formulas over the raw slip column, filtered to the market. Written as CSE arrays so they evaluate in any Excel version.</t>
  </si>
  <si>
    <t>Market against regional blend</t>
  </si>
  <si>
    <t>region P90</t>
  </si>
  <si>
    <t>market P90</t>
  </si>
  <si>
    <t>gap vs region</t>
  </si>
  <si>
    <t>Conversion lookback</t>
  </si>
  <si>
    <t>expected MW</t>
  </si>
  <si>
    <t>actual MW</t>
  </si>
  <si>
    <t>realization</t>
  </si>
  <si>
    <t>bias MW</t>
  </si>
  <si>
    <t>cumulative bias MW</t>
  </si>
  <si>
    <t>Material committed against backlog</t>
  </si>
  <si>
    <t>closing backlog ($)</t>
  </si>
  <si>
    <t>at 100%</t>
  </si>
  <si>
    <t>at 95%</t>
  </si>
  <si>
    <t>at 90%</t>
  </si>
  <si>
    <t>at 85%</t>
  </si>
  <si>
    <t>at 80%</t>
  </si>
  <si>
    <t>at 75%</t>
  </si>
  <si>
    <t>at 70%</t>
  </si>
  <si>
    <t>exposure 100% vs 70%</t>
  </si>
  <si>
    <t>Total</t>
  </si>
  <si>
    <t>Forward material requirement</t>
  </si>
  <si>
    <t>already booked ($)</t>
  </si>
  <si>
    <t>not yet booked ($)</t>
  </si>
  <si>
    <t>expected total ($)</t>
  </si>
  <si>
    <t>low (P10)</t>
  </si>
  <si>
    <t>high (P90)</t>
  </si>
  <si>
    <t>spread</t>
  </si>
  <si>
    <t>calibrated low</t>
  </si>
  <si>
    <t>calibrated high</t>
  </si>
  <si>
    <t>firm share</t>
  </si>
  <si>
    <t>Already booked and not yet booked are medians of two separate simulations, so they do not sum exactly to the expected total, which is the median of the combined draw. Medians are not additive.</t>
  </si>
  <si>
    <t>Interval calibration</t>
  </si>
  <si>
    <t>cutoff</t>
  </si>
  <si>
    <t>actual ($)</t>
  </si>
  <si>
    <t>P50</t>
  </si>
  <si>
    <t>spread (P90-P10)</t>
  </si>
  <si>
    <t>score</t>
  </si>
  <si>
    <t>inside raw 80%</t>
  </si>
  <si>
    <t>inside calibrated</t>
  </si>
  <si>
    <t>Conformal calibration</t>
  </si>
  <si>
    <t>Split conformal. Rank the scores, take the one at the 80th position by count, and use it as the multiplier on the spread. No distributional assumption; it measures what the model actually did against outcomes.</t>
  </si>
  <si>
    <t>observations (n)</t>
  </si>
  <si>
    <t>rank used  = ROUNDUP((n+1) x 0.80, 0)</t>
  </si>
  <si>
    <t>q80  = that ranked score</t>
  </si>
  <si>
    <t>stated coverage</t>
  </si>
  <si>
    <t>raw coverage</t>
  </si>
  <si>
    <t>calibrated coverage</t>
  </si>
  <si>
    <t>widening factor  = 2 x q80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</si>
</sst>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0"/>
    <numFmt numFmtId="166" formatCode="yyyy\-mm"/>
    <numFmt numFmtId="167" formatCode="\+0.00;\-0.00"/>
    <numFmt numFmtId="168" formatCode="0.000"/>
  </numFmts>
  <fonts count="8" x14ac:knownFonts="1">
    <font>
      <sz val="11"/>
      <color theme="1"/>
      <name val="Calibri"/>
      <family val="2"/>
      <scheme val="minor"/>
    </font>
    <font>
      <b/>
      <sz val="13"/>
      <color rgb="FF111827"/>
      <name val="Calibri"/>
    </font>
    <font>
      <i/>
      <sz val="10"/>
      <color rgb="FFB53A00"/>
      <name val="Calibri"/>
    </font>
    <font>
      <b/>
      <sz val="10"/>
      <color rgb="FFFFFFFF"/>
      <name val="Calibri"/>
    </font>
    <font>
      <b/>
      <sz val="10"/>
      <name val="Calibri"/>
    </font>
    <font>
      <b/>
      <sz val="10"/>
      <color rgb="FFB53A00"/>
      <name val="Calibri"/>
    </font>
    <font>
      <b/>
      <sz val="10"/>
      <color rgb="FFFE5000"/>
      <name val="Calibri"/>
    </font>
    <font>
      <i/>
      <sz val="9"/>
      <color rgb="FF737373"/>
      <name val="Calibri"/>
    </font>
  </fonts>
  <fills count="3">
    <fill>
      <patternFill patternType="none"/>
    </fill>
    <fill>
      <patternFill patternType="gray125"/>
    </fill>
    <fill>
      <patternFill patternType="solid">
        <fgColor rgb="FF111827"/>
      </patternFill>
    </fill>
  </fills>
  <borders count="2">
    <border>
      <left/>
      <right/>
      <top/>
      <bottom/>
      <diagonal/>
    </border>
    <border>
      <left/>
      <right/>
      <top/>
      <bottom style="thin">
        <color rgb="FFD4D4D4"/>
      </bottom>
      <diagonal/>
    </border>
  </borders>
  <cellStyleXfs count="1">
    <xf numFmtId="0" fontId="0" fillId="0" borderId="0"/>
  </cellStyleXfs>
  <cellXfs count="27">
    <xf numFmtId="0" fontId="0" fillId="0" borderId="0" xfId="0"/>
    <xf numFmtId="0" fontId="1" fillId="0" borderId="0" xfId="0" applyFont="1"/>
    <xf numFmtId="0" fontId="3" fillId="2" borderId="0" xfId="0" applyFont="1" applyFill="1" applyAlignment="1">
      <alignment horizontal="center" vertical="center" wrapText="1"/>
    </xf>
    <xf numFmtId="0" fontId="4" fillId="0" borderId="1" xfId="0" applyFont="1" applyBorder="1"/>
    <xf numFmtId="0" fontId="0" fillId="0" borderId="1" xfId="0" applyBorder="1"/>
    <xf numFmtId="0" fontId="5" fillId="0" borderId="1" xfId="0" applyFont="1" applyBorder="1" applyAlignment="1">
      <alignment horizontal="center"/>
    </xf>
    <xf numFmtId="0" fontId="0" fillId="0" borderId="1" xfId="0" applyBorder="1" applyAlignment="1">
      <alignment horizontal="center"/>
    </xf>
    <xf numFmtId="0" fontId="6" fillId="0" borderId="0" xfId="0" applyFont="1"/>
    <xf numFmtId="0" fontId="4" fillId="0" borderId="0" xfId="0" applyFont="1"/>
    <xf numFmtId="9" fontId="0" fillId="0" borderId="0" xfId="0" applyNumberFormat="1"/>
    <xf numFmtId="164" fontId="0" fillId="0" borderId="0" xfId="0" applyNumberFormat="1"/>
    <xf numFmtId="165" fontId="0" fillId="0" borderId="0" xfId="0" applyNumberFormat="1"/>
    <xf numFmtId="3" fontId="0" fillId="0" borderId="0" xfId="0" applyNumberFormat="1"/>
    <xf numFmtId="0" fontId="7" fillId="0" borderId="0" xfId="0" applyFont="1"/>
    <xf numFmtId="166" fontId="0" fillId="0" borderId="1" xfId="0" applyNumberFormat="1" applyBorder="1"/>
    <xf numFmtId="3" fontId="0" fillId="0" borderId="1" xfId="0" applyNumberFormat="1" applyBorder="1"/>
    <xf numFmtId="2" fontId="0" fillId="0" borderId="1" xfId="0" applyNumberFormat="1" applyBorder="1"/>
    <xf numFmtId="167" fontId="0" fillId="0" borderId="1" xfId="0" applyNumberFormat="1" applyBorder="1"/>
    <xf numFmtId="9" fontId="0" fillId="0" borderId="1" xfId="0" applyNumberFormat="1" applyBorder="1"/>
    <xf numFmtId="3" fontId="4" fillId="0" borderId="0" xfId="0" applyNumberFormat="1" applyFont="1"/>
    <xf numFmtId="168" fontId="0" fillId="0" borderId="1" xfId="0" applyNumberFormat="1" applyBorder="1"/>
    <xf numFmtId="168" fontId="0" fillId="0" borderId="0" xfId="0" applyNumberFormat="1"/>
    <xf numFmtId="2" fontId="0" fillId="0" borderId="0" xfId="0" applyNumberFormat="1"/>
    <xf numFmtId="0" fontId="0" fillId="0" borderId="0" xfId="0" applyAlignment="1">
      <alignment vertical="top" wrapText="1"/>
    </xf>
    <xf numFmtId="0" fontId="0" fillId="0" borderId="0" xfId="0"/>
    <xf numFmtId="0" fontId="2" fillId="0" borderId="0" xfId="0" applyFont="1" applyAlignment="1">
      <alignment vertical="top" wrapText="1"/>
    </xf>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showGridLines="0" workbookViewId="0"/>
  </sheetViews>
  <sheetFormatPr defaultRowHeight="14.4" x14ac:dyDescent="0.3"/>
  <cols>
    <col min="1" max="1" width="22" customWidth="1"/>
    <col min="2" max="2" width="86" customWidth="1"/>
    <col min="3" max="3" width="15" customWidth="1"/>
  </cols>
  <sheetData>
    <row r="1" spans="1:6" ht="17.399999999999999" x14ac:dyDescent="0.35">
      <c r="A1" s="1" t="s">
        <v>0</v>
      </c>
    </row>
    <row r="3" spans="1:6" x14ac:dyDescent="0.3">
      <c r="A3" s="25" t="s">
        <v>1</v>
      </c>
      <c r="B3" s="24"/>
      <c r="C3" s="24"/>
      <c r="D3" s="24"/>
      <c r="E3" s="24"/>
      <c r="F3" s="24"/>
    </row>
    <row r="4" spans="1:6" x14ac:dyDescent="0.3">
      <c r="A4" s="24"/>
      <c r="B4" s="24"/>
      <c r="C4" s="24"/>
      <c r="D4" s="24"/>
      <c r="E4" s="24"/>
      <c r="F4" s="24"/>
    </row>
    <row r="5" spans="1:6" x14ac:dyDescent="0.3">
      <c r="A5" s="24"/>
      <c r="B5" s="24"/>
      <c r="C5" s="24"/>
      <c r="D5" s="24"/>
      <c r="E5" s="24"/>
      <c r="F5" s="24"/>
    </row>
    <row r="7" spans="1:6" ht="30" customHeight="1" x14ac:dyDescent="0.3">
      <c r="A7" s="2" t="s">
        <v>2</v>
      </c>
      <c r="B7" s="2" t="s">
        <v>3</v>
      </c>
      <c r="C7" s="2" t="s">
        <v>4</v>
      </c>
    </row>
    <row r="8" spans="1:6" x14ac:dyDescent="0.3">
      <c r="A8" s="3" t="s">
        <v>5</v>
      </c>
      <c r="B8" s="4" t="s">
        <v>6</v>
      </c>
      <c r="C8" s="5" t="s">
        <v>7</v>
      </c>
    </row>
    <row r="9" spans="1:6" x14ac:dyDescent="0.3">
      <c r="A9" s="3" t="s">
        <v>8</v>
      </c>
      <c r="B9" s="4" t="s">
        <v>9</v>
      </c>
      <c r="C9" s="6" t="s">
        <v>10</v>
      </c>
    </row>
    <row r="10" spans="1:6" x14ac:dyDescent="0.3">
      <c r="A10" s="3" t="s">
        <v>11</v>
      </c>
      <c r="B10" s="4" t="s">
        <v>12</v>
      </c>
      <c r="C10" s="6" t="s">
        <v>10</v>
      </c>
    </row>
    <row r="11" spans="1:6" x14ac:dyDescent="0.3">
      <c r="A11" s="3" t="s">
        <v>13</v>
      </c>
      <c r="B11" s="4" t="s">
        <v>14</v>
      </c>
      <c r="C11" s="6" t="s">
        <v>10</v>
      </c>
    </row>
    <row r="12" spans="1:6" x14ac:dyDescent="0.3">
      <c r="A12" s="3" t="s">
        <v>15</v>
      </c>
      <c r="B12" s="4" t="s">
        <v>16</v>
      </c>
      <c r="C12" s="6" t="s">
        <v>10</v>
      </c>
    </row>
    <row r="13" spans="1:6" x14ac:dyDescent="0.3">
      <c r="A13" s="3" t="s">
        <v>17</v>
      </c>
      <c r="B13" s="4" t="s">
        <v>18</v>
      </c>
      <c r="C13" s="6" t="s">
        <v>10</v>
      </c>
    </row>
    <row r="14" spans="1:6" x14ac:dyDescent="0.3">
      <c r="A14" s="3" t="s">
        <v>19</v>
      </c>
      <c r="B14" s="4" t="s">
        <v>20</v>
      </c>
      <c r="C14" s="6" t="s">
        <v>10</v>
      </c>
    </row>
    <row r="15" spans="1:6" x14ac:dyDescent="0.3">
      <c r="A15" s="3" t="s">
        <v>21</v>
      </c>
      <c r="B15" s="4" t="s">
        <v>22</v>
      </c>
      <c r="C15" s="5" t="s">
        <v>23</v>
      </c>
    </row>
    <row r="16" spans="1:6" x14ac:dyDescent="0.3">
      <c r="A16" s="3" t="s">
        <v>24</v>
      </c>
      <c r="B16" s="4" t="s">
        <v>25</v>
      </c>
      <c r="C16" s="5" t="s">
        <v>23</v>
      </c>
    </row>
    <row r="19" spans="1:6" x14ac:dyDescent="0.3">
      <c r="A19" s="7" t="s">
        <v>26</v>
      </c>
    </row>
    <row r="20" spans="1:6" x14ac:dyDescent="0.3">
      <c r="A20" s="23" t="s">
        <v>27</v>
      </c>
      <c r="B20" s="24"/>
      <c r="C20" s="24"/>
      <c r="D20" s="24"/>
      <c r="E20" s="24"/>
      <c r="F20" s="24"/>
    </row>
    <row r="21" spans="1:6" x14ac:dyDescent="0.3">
      <c r="A21" s="24"/>
      <c r="B21" s="24"/>
      <c r="C21" s="24"/>
      <c r="D21" s="24"/>
      <c r="E21" s="24"/>
      <c r="F21" s="24"/>
    </row>
    <row r="22" spans="1:6" x14ac:dyDescent="0.3">
      <c r="A22" s="24"/>
      <c r="B22" s="24"/>
      <c r="C22" s="24"/>
      <c r="D22" s="24"/>
      <c r="E22" s="24"/>
      <c r="F22" s="24"/>
    </row>
    <row r="24" spans="1:6" x14ac:dyDescent="0.3">
      <c r="A24" s="8" t="s">
        <v>28</v>
      </c>
      <c r="C24" s="9">
        <v>0.75</v>
      </c>
    </row>
  </sheetData>
  <mergeCells count="2">
    <mergeCell ref="A20:F22"/>
    <mergeCell ref="A3:F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99"/>
  <sheetViews>
    <sheetView showGridLines="0" workbookViewId="0">
      <pane ySplit="4" topLeftCell="A5" activePane="bottomLeft" state="frozen"/>
      <selection pane="bottomLeft"/>
    </sheetView>
  </sheetViews>
  <sheetFormatPr defaultRowHeight="14.4" x14ac:dyDescent="0.3"/>
  <cols>
    <col min="1" max="1" width="12" customWidth="1"/>
    <col min="2" max="3" width="15" customWidth="1"/>
    <col min="4" max="4" width="14" customWidth="1"/>
    <col min="5" max="5" width="9" customWidth="1"/>
    <col min="6" max="6" width="14" customWidth="1"/>
    <col min="7" max="7" width="11" customWidth="1"/>
    <col min="8" max="9" width="18" customWidth="1"/>
    <col min="10" max="10" width="11" customWidth="1"/>
    <col min="11" max="11" width="12" customWidth="1"/>
  </cols>
  <sheetData>
    <row r="1" spans="1:11" ht="17.399999999999999" x14ac:dyDescent="0.35">
      <c r="A1" s="1" t="s">
        <v>29</v>
      </c>
    </row>
    <row r="4" spans="1:11" ht="30" customHeight="1" x14ac:dyDescent="0.3">
      <c r="A4" s="2" t="s">
        <v>30</v>
      </c>
      <c r="B4" s="2" t="s">
        <v>31</v>
      </c>
      <c r="C4" s="2" t="s">
        <v>32</v>
      </c>
      <c r="D4" s="2" t="s">
        <v>33</v>
      </c>
      <c r="E4" s="2" t="s">
        <v>34</v>
      </c>
      <c r="F4" s="2" t="s">
        <v>35</v>
      </c>
      <c r="G4" s="2" t="s">
        <v>36</v>
      </c>
      <c r="H4" s="2" t="s">
        <v>37</v>
      </c>
      <c r="I4" s="2" t="s">
        <v>38</v>
      </c>
      <c r="J4" s="2" t="s">
        <v>39</v>
      </c>
      <c r="K4" s="2" t="s">
        <v>40</v>
      </c>
    </row>
    <row r="5" spans="1:11" x14ac:dyDescent="0.3">
      <c r="A5" t="s">
        <v>41</v>
      </c>
      <c r="B5" t="s">
        <v>42</v>
      </c>
      <c r="C5" t="s">
        <v>43</v>
      </c>
      <c r="D5" s="10">
        <v>45292</v>
      </c>
      <c r="E5" s="11">
        <v>31.5</v>
      </c>
      <c r="F5" s="12">
        <v>2614500</v>
      </c>
      <c r="G5">
        <v>11</v>
      </c>
      <c r="H5" s="10">
        <v>45627</v>
      </c>
      <c r="I5" s="10">
        <v>45717</v>
      </c>
      <c r="J5" t="b">
        <v>0</v>
      </c>
      <c r="K5" s="11">
        <v>2.72</v>
      </c>
    </row>
    <row r="6" spans="1:11" x14ac:dyDescent="0.3">
      <c r="A6" t="s">
        <v>44</v>
      </c>
      <c r="B6" t="s">
        <v>42</v>
      </c>
      <c r="C6" t="s">
        <v>43</v>
      </c>
      <c r="D6" s="10">
        <v>45292</v>
      </c>
      <c r="E6" s="11">
        <v>23.5</v>
      </c>
      <c r="F6" s="12">
        <v>1950500</v>
      </c>
      <c r="G6">
        <v>7</v>
      </c>
      <c r="H6" s="10">
        <v>45505</v>
      </c>
      <c r="I6" s="10">
        <v>45536</v>
      </c>
      <c r="J6" t="b">
        <v>0</v>
      </c>
      <c r="K6" s="11">
        <v>1.33</v>
      </c>
    </row>
    <row r="7" spans="1:11" x14ac:dyDescent="0.3">
      <c r="A7" t="s">
        <v>45</v>
      </c>
      <c r="B7" t="s">
        <v>42</v>
      </c>
      <c r="C7" t="s">
        <v>43</v>
      </c>
      <c r="D7" s="10">
        <v>45292</v>
      </c>
      <c r="E7" s="11">
        <v>58.2</v>
      </c>
      <c r="F7" s="12">
        <v>4830600</v>
      </c>
      <c r="G7">
        <v>11</v>
      </c>
      <c r="H7" s="10">
        <v>45627</v>
      </c>
      <c r="I7" s="10">
        <v>45627</v>
      </c>
      <c r="J7" t="b">
        <v>0</v>
      </c>
      <c r="K7" s="11">
        <v>7.0000000000000007E-2</v>
      </c>
    </row>
    <row r="8" spans="1:11" x14ac:dyDescent="0.3">
      <c r="A8" t="s">
        <v>46</v>
      </c>
      <c r="B8" t="s">
        <v>42</v>
      </c>
      <c r="C8" t="s">
        <v>43</v>
      </c>
      <c r="D8" s="10">
        <v>45292</v>
      </c>
      <c r="E8" s="11">
        <v>7</v>
      </c>
      <c r="F8" s="12">
        <v>581000</v>
      </c>
      <c r="G8">
        <v>7</v>
      </c>
      <c r="H8" s="10">
        <v>45505</v>
      </c>
      <c r="I8" s="10">
        <v>45597</v>
      </c>
      <c r="J8" t="b">
        <v>0</v>
      </c>
      <c r="K8" s="11">
        <v>2.58</v>
      </c>
    </row>
    <row r="9" spans="1:11" x14ac:dyDescent="0.3">
      <c r="A9" t="s">
        <v>47</v>
      </c>
      <c r="B9" t="s">
        <v>42</v>
      </c>
      <c r="C9" t="s">
        <v>43</v>
      </c>
      <c r="D9" s="10">
        <v>45292</v>
      </c>
      <c r="E9" s="11">
        <v>6</v>
      </c>
      <c r="F9" s="12">
        <v>498000</v>
      </c>
      <c r="G9">
        <v>5</v>
      </c>
      <c r="H9" s="10">
        <v>45444</v>
      </c>
      <c r="I9" s="10">
        <v>45444</v>
      </c>
      <c r="J9" t="b">
        <v>0</v>
      </c>
      <c r="K9" s="11">
        <v>0</v>
      </c>
    </row>
    <row r="10" spans="1:11" x14ac:dyDescent="0.3">
      <c r="A10" t="s">
        <v>48</v>
      </c>
      <c r="B10" t="s">
        <v>42</v>
      </c>
      <c r="C10" t="s">
        <v>43</v>
      </c>
      <c r="D10" s="10">
        <v>45292</v>
      </c>
      <c r="E10" s="11">
        <v>38.4</v>
      </c>
      <c r="F10" s="12">
        <v>3187200</v>
      </c>
      <c r="G10">
        <v>11</v>
      </c>
      <c r="H10" s="10">
        <v>45627</v>
      </c>
      <c r="I10" s="10">
        <v>45627</v>
      </c>
      <c r="J10" t="b">
        <v>0</v>
      </c>
      <c r="K10" s="11">
        <v>0</v>
      </c>
    </row>
    <row r="11" spans="1:11" x14ac:dyDescent="0.3">
      <c r="A11" t="s">
        <v>49</v>
      </c>
      <c r="B11" t="s">
        <v>42</v>
      </c>
      <c r="C11" t="s">
        <v>43</v>
      </c>
      <c r="D11" s="10">
        <v>45292</v>
      </c>
      <c r="E11" s="11">
        <v>5.8</v>
      </c>
      <c r="F11" s="12">
        <v>481400</v>
      </c>
      <c r="G11">
        <v>7</v>
      </c>
      <c r="H11" s="10">
        <v>45505</v>
      </c>
      <c r="I11" s="10">
        <v>45505</v>
      </c>
      <c r="J11" t="b">
        <v>0</v>
      </c>
      <c r="K11" s="11">
        <v>0</v>
      </c>
    </row>
    <row r="12" spans="1:11" x14ac:dyDescent="0.3">
      <c r="A12" t="s">
        <v>50</v>
      </c>
      <c r="B12" t="s">
        <v>42</v>
      </c>
      <c r="C12" t="s">
        <v>43</v>
      </c>
      <c r="D12" s="10">
        <v>45292</v>
      </c>
      <c r="E12" s="11">
        <v>9.9</v>
      </c>
      <c r="F12" s="12">
        <v>821700</v>
      </c>
      <c r="G12">
        <v>5</v>
      </c>
      <c r="H12" s="10">
        <v>45444</v>
      </c>
      <c r="I12" s="10">
        <v>45566</v>
      </c>
      <c r="J12" t="b">
        <v>0</v>
      </c>
      <c r="K12" s="11">
        <v>3.62</v>
      </c>
    </row>
    <row r="13" spans="1:11" x14ac:dyDescent="0.3">
      <c r="A13" t="s">
        <v>51</v>
      </c>
      <c r="B13" t="s">
        <v>42</v>
      </c>
      <c r="C13" t="s">
        <v>43</v>
      </c>
      <c r="D13" s="10">
        <v>45292</v>
      </c>
      <c r="E13" s="11">
        <v>4.5</v>
      </c>
      <c r="F13" s="12">
        <v>373500</v>
      </c>
      <c r="G13">
        <v>11</v>
      </c>
      <c r="H13" s="10">
        <v>45627</v>
      </c>
      <c r="I13" s="10">
        <v>45658</v>
      </c>
      <c r="J13" t="b">
        <v>0</v>
      </c>
      <c r="K13" s="11">
        <v>0.52</v>
      </c>
    </row>
    <row r="14" spans="1:11" x14ac:dyDescent="0.3">
      <c r="A14" t="s">
        <v>52</v>
      </c>
      <c r="B14" t="s">
        <v>42</v>
      </c>
      <c r="C14" t="s">
        <v>43</v>
      </c>
      <c r="D14" s="10">
        <v>45292</v>
      </c>
      <c r="E14" s="11">
        <v>25.5</v>
      </c>
      <c r="F14" s="12">
        <v>2116500</v>
      </c>
      <c r="G14">
        <v>7</v>
      </c>
      <c r="H14" s="10">
        <v>45505</v>
      </c>
      <c r="I14" s="10">
        <v>45597</v>
      </c>
      <c r="J14" t="b">
        <v>0</v>
      </c>
      <c r="K14" s="11">
        <v>2.5299999999999998</v>
      </c>
    </row>
    <row r="15" spans="1:11" x14ac:dyDescent="0.3">
      <c r="A15" t="s">
        <v>53</v>
      </c>
      <c r="B15" t="s">
        <v>42</v>
      </c>
      <c r="C15" t="s">
        <v>43</v>
      </c>
      <c r="D15" s="10">
        <v>45292</v>
      </c>
      <c r="E15" s="11">
        <v>14.3</v>
      </c>
      <c r="F15" s="12">
        <v>1186900</v>
      </c>
      <c r="G15">
        <v>11</v>
      </c>
      <c r="H15" s="10">
        <v>45627</v>
      </c>
      <c r="I15" s="10">
        <v>45717</v>
      </c>
      <c r="J15" t="b">
        <v>0</v>
      </c>
      <c r="K15" s="11">
        <v>3.42</v>
      </c>
    </row>
    <row r="16" spans="1:11" x14ac:dyDescent="0.3">
      <c r="A16" t="s">
        <v>54</v>
      </c>
      <c r="B16" t="s">
        <v>42</v>
      </c>
      <c r="C16" t="s">
        <v>43</v>
      </c>
      <c r="D16" s="10">
        <v>45292</v>
      </c>
      <c r="E16" s="11">
        <v>21.5</v>
      </c>
      <c r="F16" s="12">
        <v>1784500</v>
      </c>
      <c r="G16">
        <v>9</v>
      </c>
      <c r="H16" s="10">
        <v>45566</v>
      </c>
      <c r="I16" s="10">
        <v>45689</v>
      </c>
      <c r="J16" t="b">
        <v>0</v>
      </c>
      <c r="K16" s="11">
        <v>3.56</v>
      </c>
    </row>
    <row r="17" spans="1:11" x14ac:dyDescent="0.3">
      <c r="A17" t="s">
        <v>55</v>
      </c>
      <c r="B17" t="s">
        <v>56</v>
      </c>
      <c r="C17" t="s">
        <v>57</v>
      </c>
      <c r="D17" s="10">
        <v>45292</v>
      </c>
      <c r="E17" s="11">
        <v>5.8</v>
      </c>
      <c r="F17" s="12">
        <v>510400</v>
      </c>
      <c r="G17">
        <v>7</v>
      </c>
      <c r="H17" s="10">
        <v>45505</v>
      </c>
      <c r="I17" s="10">
        <v>45505</v>
      </c>
      <c r="J17" t="b">
        <v>0</v>
      </c>
      <c r="K17" s="11">
        <v>0.49</v>
      </c>
    </row>
    <row r="18" spans="1:11" x14ac:dyDescent="0.3">
      <c r="A18" t="s">
        <v>58</v>
      </c>
      <c r="B18" t="s">
        <v>56</v>
      </c>
      <c r="C18" t="s">
        <v>57</v>
      </c>
      <c r="D18" s="10">
        <v>45292</v>
      </c>
      <c r="E18" s="11">
        <v>19.899999999999999</v>
      </c>
      <c r="F18" s="12">
        <v>1751200</v>
      </c>
      <c r="G18">
        <v>10</v>
      </c>
      <c r="H18" s="10">
        <v>45597</v>
      </c>
      <c r="I18" s="10">
        <v>45658</v>
      </c>
      <c r="J18" t="b">
        <v>0</v>
      </c>
      <c r="K18" s="11">
        <v>1.5</v>
      </c>
    </row>
    <row r="19" spans="1:11" x14ac:dyDescent="0.3">
      <c r="A19" t="s">
        <v>59</v>
      </c>
      <c r="B19" t="s">
        <v>56</v>
      </c>
      <c r="C19" t="s">
        <v>57</v>
      </c>
      <c r="D19" s="10">
        <v>45292</v>
      </c>
      <c r="E19" s="11">
        <v>30.7</v>
      </c>
      <c r="F19" s="12">
        <v>2701600</v>
      </c>
      <c r="G19">
        <v>6</v>
      </c>
      <c r="H19" s="10">
        <v>45474</v>
      </c>
      <c r="I19" s="10">
        <v>45536</v>
      </c>
      <c r="J19" t="b">
        <v>0</v>
      </c>
      <c r="K19" s="11">
        <v>2.46</v>
      </c>
    </row>
    <row r="20" spans="1:11" x14ac:dyDescent="0.3">
      <c r="A20" t="s">
        <v>60</v>
      </c>
      <c r="B20" t="s">
        <v>56</v>
      </c>
      <c r="C20" t="s">
        <v>57</v>
      </c>
      <c r="D20" s="10">
        <v>45292</v>
      </c>
      <c r="E20" s="11">
        <v>3.9</v>
      </c>
      <c r="F20" s="12">
        <v>343200</v>
      </c>
      <c r="G20">
        <v>8</v>
      </c>
      <c r="H20" s="10">
        <v>45536</v>
      </c>
      <c r="I20" s="10">
        <v>45536</v>
      </c>
      <c r="J20" t="b">
        <v>0</v>
      </c>
      <c r="K20" s="11">
        <v>0.47</v>
      </c>
    </row>
    <row r="21" spans="1:11" x14ac:dyDescent="0.3">
      <c r="A21" t="s">
        <v>61</v>
      </c>
      <c r="B21" t="s">
        <v>56</v>
      </c>
      <c r="C21" t="s">
        <v>62</v>
      </c>
      <c r="D21" s="10">
        <v>45292</v>
      </c>
      <c r="E21" s="11">
        <v>19</v>
      </c>
      <c r="F21" s="12">
        <v>1539000</v>
      </c>
      <c r="G21">
        <v>10</v>
      </c>
      <c r="H21" s="10">
        <v>45597</v>
      </c>
      <c r="I21" s="10">
        <v>45748</v>
      </c>
      <c r="J21" t="b">
        <v>0</v>
      </c>
      <c r="K21" s="11">
        <v>5.33</v>
      </c>
    </row>
    <row r="22" spans="1:11" x14ac:dyDescent="0.3">
      <c r="A22" t="s">
        <v>63</v>
      </c>
      <c r="B22" t="s">
        <v>56</v>
      </c>
      <c r="C22" t="s">
        <v>62</v>
      </c>
      <c r="D22" s="10">
        <v>45292</v>
      </c>
      <c r="E22" s="11">
        <v>53.8</v>
      </c>
      <c r="F22" s="12">
        <v>4357800</v>
      </c>
      <c r="G22">
        <v>5</v>
      </c>
      <c r="H22" s="10">
        <v>45444</v>
      </c>
      <c r="I22" s="10">
        <v>45778</v>
      </c>
      <c r="J22" t="b">
        <v>0</v>
      </c>
      <c r="K22" s="11">
        <v>11.23</v>
      </c>
    </row>
    <row r="23" spans="1:11" x14ac:dyDescent="0.3">
      <c r="A23" t="s">
        <v>64</v>
      </c>
      <c r="B23" t="s">
        <v>65</v>
      </c>
      <c r="C23" t="s">
        <v>66</v>
      </c>
      <c r="D23" s="10">
        <v>45292</v>
      </c>
      <c r="E23" s="11">
        <v>14.5</v>
      </c>
      <c r="F23" s="12">
        <v>1029500</v>
      </c>
      <c r="G23">
        <v>6</v>
      </c>
      <c r="H23" s="10">
        <v>45474</v>
      </c>
      <c r="I23" s="10">
        <v>45717</v>
      </c>
      <c r="J23" t="b">
        <v>0</v>
      </c>
      <c r="K23" s="11">
        <v>7.98</v>
      </c>
    </row>
    <row r="24" spans="1:11" x14ac:dyDescent="0.3">
      <c r="A24" t="s">
        <v>67</v>
      </c>
      <c r="B24" t="s">
        <v>65</v>
      </c>
      <c r="C24" t="s">
        <v>66</v>
      </c>
      <c r="D24" s="10">
        <v>45292</v>
      </c>
      <c r="E24" s="11">
        <v>14.7</v>
      </c>
      <c r="F24" s="12">
        <v>1043700</v>
      </c>
      <c r="G24">
        <v>8</v>
      </c>
      <c r="H24" s="10">
        <v>45536</v>
      </c>
      <c r="I24" s="10">
        <v>45566</v>
      </c>
      <c r="J24" t="b">
        <v>0</v>
      </c>
      <c r="K24" s="11">
        <v>0.57999999999999996</v>
      </c>
    </row>
    <row r="25" spans="1:11" x14ac:dyDescent="0.3">
      <c r="A25" t="s">
        <v>68</v>
      </c>
      <c r="B25" t="s">
        <v>65</v>
      </c>
      <c r="C25" t="s">
        <v>66</v>
      </c>
      <c r="D25" s="10">
        <v>45292</v>
      </c>
      <c r="E25" s="11">
        <v>19.3</v>
      </c>
      <c r="F25" s="12">
        <v>1370300</v>
      </c>
      <c r="G25">
        <v>6</v>
      </c>
      <c r="H25" s="10">
        <v>45474</v>
      </c>
      <c r="I25" s="10">
        <v>45536</v>
      </c>
      <c r="J25" t="b">
        <v>0</v>
      </c>
      <c r="K25" s="11">
        <v>1.82</v>
      </c>
    </row>
    <row r="26" spans="1:11" x14ac:dyDescent="0.3">
      <c r="A26" t="s">
        <v>69</v>
      </c>
      <c r="B26" t="s">
        <v>65</v>
      </c>
      <c r="C26" t="s">
        <v>70</v>
      </c>
      <c r="D26" s="10">
        <v>45292</v>
      </c>
      <c r="E26" s="11">
        <v>25.5</v>
      </c>
      <c r="F26" s="12">
        <v>2142000</v>
      </c>
      <c r="G26">
        <v>9</v>
      </c>
      <c r="H26" s="10">
        <v>45566</v>
      </c>
      <c r="I26" s="10">
        <v>45566</v>
      </c>
      <c r="J26" t="b">
        <v>0</v>
      </c>
      <c r="K26" s="11">
        <v>0.32</v>
      </c>
    </row>
    <row r="27" spans="1:11" x14ac:dyDescent="0.3">
      <c r="A27" t="s">
        <v>71</v>
      </c>
      <c r="B27" t="s">
        <v>72</v>
      </c>
      <c r="C27" t="s">
        <v>72</v>
      </c>
      <c r="D27" s="10">
        <v>45292</v>
      </c>
      <c r="E27" s="11">
        <v>3.6</v>
      </c>
      <c r="F27" s="12">
        <v>284400</v>
      </c>
      <c r="G27">
        <v>10</v>
      </c>
      <c r="H27" s="10">
        <v>45597</v>
      </c>
      <c r="I27" s="10">
        <v>45901</v>
      </c>
      <c r="J27" t="b">
        <v>0</v>
      </c>
      <c r="K27" s="11">
        <v>10.08</v>
      </c>
    </row>
    <row r="28" spans="1:11" x14ac:dyDescent="0.3">
      <c r="A28" t="s">
        <v>73</v>
      </c>
      <c r="B28" t="s">
        <v>72</v>
      </c>
      <c r="C28" t="s">
        <v>72</v>
      </c>
      <c r="D28" s="10">
        <v>45292</v>
      </c>
      <c r="E28" s="11">
        <v>30.1</v>
      </c>
      <c r="F28" s="12">
        <v>2377900</v>
      </c>
      <c r="G28">
        <v>7</v>
      </c>
      <c r="H28" s="10">
        <v>45505</v>
      </c>
      <c r="I28" s="10">
        <v>45597</v>
      </c>
      <c r="J28" t="b">
        <v>0</v>
      </c>
      <c r="K28" s="11">
        <v>3.27</v>
      </c>
    </row>
    <row r="29" spans="1:11" x14ac:dyDescent="0.3">
      <c r="A29" t="s">
        <v>74</v>
      </c>
      <c r="B29" t="s">
        <v>42</v>
      </c>
      <c r="C29" t="s">
        <v>43</v>
      </c>
      <c r="D29" s="10">
        <v>45323</v>
      </c>
      <c r="E29" s="11">
        <v>10.9</v>
      </c>
      <c r="F29" s="12">
        <v>904700</v>
      </c>
      <c r="G29">
        <v>6</v>
      </c>
      <c r="H29" s="10">
        <v>45505</v>
      </c>
      <c r="I29" s="10">
        <v>45505</v>
      </c>
      <c r="J29" t="b">
        <v>0</v>
      </c>
      <c r="K29" s="11">
        <v>0.02</v>
      </c>
    </row>
    <row r="30" spans="1:11" x14ac:dyDescent="0.3">
      <c r="A30" t="s">
        <v>75</v>
      </c>
      <c r="B30" t="s">
        <v>42</v>
      </c>
      <c r="C30" t="s">
        <v>43</v>
      </c>
      <c r="D30" s="10">
        <v>45323</v>
      </c>
      <c r="E30" s="11">
        <v>8.6999999999999993</v>
      </c>
      <c r="F30" s="12">
        <v>722099.99999999988</v>
      </c>
      <c r="G30">
        <v>9</v>
      </c>
      <c r="H30" s="10">
        <v>45597</v>
      </c>
      <c r="I30" s="10">
        <v>45597</v>
      </c>
      <c r="J30" t="b">
        <v>0</v>
      </c>
      <c r="K30" s="11">
        <v>0.01</v>
      </c>
    </row>
    <row r="31" spans="1:11" x14ac:dyDescent="0.3">
      <c r="A31" t="s">
        <v>76</v>
      </c>
      <c r="B31" t="s">
        <v>42</v>
      </c>
      <c r="C31" t="s">
        <v>43</v>
      </c>
      <c r="D31" s="10">
        <v>45323</v>
      </c>
      <c r="E31" s="11">
        <v>5.4</v>
      </c>
      <c r="F31" s="12">
        <v>448200.00000000012</v>
      </c>
      <c r="G31">
        <v>5</v>
      </c>
      <c r="H31" s="10">
        <v>45474</v>
      </c>
      <c r="I31" s="10">
        <v>45505</v>
      </c>
      <c r="J31" t="b">
        <v>0</v>
      </c>
      <c r="K31" s="11">
        <v>0.95</v>
      </c>
    </row>
    <row r="32" spans="1:11" x14ac:dyDescent="0.3">
      <c r="A32" t="s">
        <v>77</v>
      </c>
      <c r="B32" t="s">
        <v>42</v>
      </c>
      <c r="C32" t="s">
        <v>43</v>
      </c>
      <c r="D32" s="10">
        <v>45323</v>
      </c>
      <c r="E32" s="11">
        <v>30.9</v>
      </c>
      <c r="F32" s="12">
        <v>2564700</v>
      </c>
      <c r="G32">
        <v>6</v>
      </c>
      <c r="H32" s="10">
        <v>45505</v>
      </c>
      <c r="I32" s="10">
        <v>45536</v>
      </c>
      <c r="J32" t="b">
        <v>0</v>
      </c>
      <c r="K32" s="11">
        <v>0.65</v>
      </c>
    </row>
    <row r="33" spans="1:11" x14ac:dyDescent="0.3">
      <c r="A33" t="s">
        <v>78</v>
      </c>
      <c r="B33" t="s">
        <v>42</v>
      </c>
      <c r="C33" t="s">
        <v>43</v>
      </c>
      <c r="D33" s="10">
        <v>45323</v>
      </c>
      <c r="E33" s="11">
        <v>5.8</v>
      </c>
      <c r="F33" s="12">
        <v>481400</v>
      </c>
      <c r="G33">
        <v>9</v>
      </c>
      <c r="H33" s="10">
        <v>45597</v>
      </c>
      <c r="I33" s="10">
        <v>45597</v>
      </c>
      <c r="J33" t="b">
        <v>0</v>
      </c>
      <c r="K33" s="11">
        <v>0.02</v>
      </c>
    </row>
    <row r="34" spans="1:11" x14ac:dyDescent="0.3">
      <c r="A34" t="s">
        <v>79</v>
      </c>
      <c r="B34" t="s">
        <v>42</v>
      </c>
      <c r="C34" t="s">
        <v>43</v>
      </c>
      <c r="D34" s="10">
        <v>45323</v>
      </c>
      <c r="E34" s="11">
        <v>4.8</v>
      </c>
      <c r="F34" s="12">
        <v>398400</v>
      </c>
      <c r="G34">
        <v>7</v>
      </c>
      <c r="H34" s="10">
        <v>45536</v>
      </c>
      <c r="I34" s="10">
        <v>45566</v>
      </c>
      <c r="J34" t="b">
        <v>0</v>
      </c>
      <c r="K34" s="11">
        <v>0.97</v>
      </c>
    </row>
    <row r="35" spans="1:11" x14ac:dyDescent="0.3">
      <c r="A35" t="s">
        <v>80</v>
      </c>
      <c r="B35" t="s">
        <v>42</v>
      </c>
      <c r="C35" t="s">
        <v>43</v>
      </c>
      <c r="D35" s="10">
        <v>45323</v>
      </c>
      <c r="E35" s="11">
        <v>8.8000000000000007</v>
      </c>
      <c r="F35" s="12">
        <v>730400.00000000012</v>
      </c>
      <c r="G35">
        <v>5</v>
      </c>
      <c r="H35" s="10">
        <v>45474</v>
      </c>
      <c r="I35" s="10">
        <v>45474</v>
      </c>
      <c r="J35" t="b">
        <v>0</v>
      </c>
      <c r="K35" s="11">
        <v>0.06</v>
      </c>
    </row>
    <row r="36" spans="1:11" x14ac:dyDescent="0.3">
      <c r="A36" t="s">
        <v>81</v>
      </c>
      <c r="B36" t="s">
        <v>42</v>
      </c>
      <c r="C36" t="s">
        <v>43</v>
      </c>
      <c r="D36" s="10">
        <v>45323</v>
      </c>
      <c r="E36" s="11">
        <v>15.3</v>
      </c>
      <c r="F36" s="12">
        <v>1269900</v>
      </c>
      <c r="G36">
        <v>11</v>
      </c>
      <c r="H36" s="10">
        <v>45658</v>
      </c>
      <c r="I36" s="10">
        <v>45689</v>
      </c>
      <c r="J36" t="b">
        <v>0</v>
      </c>
      <c r="K36" s="11">
        <v>0.95</v>
      </c>
    </row>
    <row r="37" spans="1:11" x14ac:dyDescent="0.3">
      <c r="A37" t="s">
        <v>82</v>
      </c>
      <c r="B37" t="s">
        <v>42</v>
      </c>
      <c r="C37" t="s">
        <v>43</v>
      </c>
      <c r="D37" s="10">
        <v>45323</v>
      </c>
      <c r="E37" s="11">
        <v>12.2</v>
      </c>
      <c r="F37" s="12">
        <v>1012600</v>
      </c>
      <c r="G37">
        <v>6</v>
      </c>
      <c r="H37" s="10">
        <v>45505</v>
      </c>
      <c r="I37" s="10">
        <v>45505</v>
      </c>
      <c r="J37" t="b">
        <v>0</v>
      </c>
      <c r="K37" s="11">
        <v>0</v>
      </c>
    </row>
    <row r="38" spans="1:11" x14ac:dyDescent="0.3">
      <c r="A38" t="s">
        <v>83</v>
      </c>
      <c r="B38" t="s">
        <v>42</v>
      </c>
      <c r="C38" t="s">
        <v>43</v>
      </c>
      <c r="D38" s="10">
        <v>45323</v>
      </c>
      <c r="E38" s="11">
        <v>15.6</v>
      </c>
      <c r="F38" s="12">
        <v>1294800</v>
      </c>
      <c r="G38">
        <v>10</v>
      </c>
      <c r="H38" s="10">
        <v>45627</v>
      </c>
      <c r="I38" s="10">
        <v>45627</v>
      </c>
      <c r="J38" t="b">
        <v>0</v>
      </c>
      <c r="K38" s="11">
        <v>0.02</v>
      </c>
    </row>
    <row r="39" spans="1:11" x14ac:dyDescent="0.3">
      <c r="A39" t="s">
        <v>84</v>
      </c>
      <c r="B39" t="s">
        <v>42</v>
      </c>
      <c r="C39" t="s">
        <v>43</v>
      </c>
      <c r="D39" s="10">
        <v>45323</v>
      </c>
      <c r="E39" s="11">
        <v>6.1</v>
      </c>
      <c r="F39" s="12">
        <v>506300</v>
      </c>
      <c r="G39">
        <v>8</v>
      </c>
      <c r="H39" s="10">
        <v>45566</v>
      </c>
      <c r="I39" s="10">
        <v>45566</v>
      </c>
      <c r="J39" t="b">
        <v>0</v>
      </c>
      <c r="K39" s="11">
        <v>0.39</v>
      </c>
    </row>
    <row r="40" spans="1:11" x14ac:dyDescent="0.3">
      <c r="A40" t="s">
        <v>85</v>
      </c>
      <c r="B40" t="s">
        <v>42</v>
      </c>
      <c r="C40" t="s">
        <v>43</v>
      </c>
      <c r="D40" s="10">
        <v>45323</v>
      </c>
      <c r="E40" s="11">
        <v>21.3</v>
      </c>
      <c r="F40" s="12">
        <v>1767900</v>
      </c>
      <c r="G40">
        <v>9</v>
      </c>
      <c r="H40" s="10">
        <v>45597</v>
      </c>
      <c r="I40" s="10">
        <v>45597</v>
      </c>
      <c r="J40" t="b">
        <v>0</v>
      </c>
      <c r="K40" s="11">
        <v>0.17</v>
      </c>
    </row>
    <row r="41" spans="1:11" x14ac:dyDescent="0.3">
      <c r="A41" t="s">
        <v>86</v>
      </c>
      <c r="B41" t="s">
        <v>42</v>
      </c>
      <c r="C41" t="s">
        <v>43</v>
      </c>
      <c r="D41" s="10">
        <v>45323</v>
      </c>
      <c r="E41" s="11">
        <v>9.9</v>
      </c>
      <c r="F41" s="12">
        <v>821700</v>
      </c>
      <c r="G41">
        <v>7</v>
      </c>
      <c r="H41" s="10">
        <v>45536</v>
      </c>
      <c r="I41" s="10">
        <v>45536</v>
      </c>
      <c r="J41" t="b">
        <v>0</v>
      </c>
      <c r="K41" s="11">
        <v>0.16</v>
      </c>
    </row>
    <row r="42" spans="1:11" x14ac:dyDescent="0.3">
      <c r="A42" t="s">
        <v>87</v>
      </c>
      <c r="B42" t="s">
        <v>42</v>
      </c>
      <c r="C42" t="s">
        <v>43</v>
      </c>
      <c r="D42" s="10">
        <v>45323</v>
      </c>
      <c r="E42" s="11">
        <v>16.5</v>
      </c>
      <c r="F42" s="12">
        <v>1369500</v>
      </c>
      <c r="G42">
        <v>9</v>
      </c>
      <c r="H42" s="10">
        <v>45597</v>
      </c>
      <c r="I42" s="10">
        <v>45597</v>
      </c>
      <c r="J42" t="b">
        <v>0</v>
      </c>
      <c r="K42" s="11">
        <v>0</v>
      </c>
    </row>
    <row r="43" spans="1:11" x14ac:dyDescent="0.3">
      <c r="A43" t="s">
        <v>88</v>
      </c>
      <c r="B43" t="s">
        <v>42</v>
      </c>
      <c r="C43" t="s">
        <v>43</v>
      </c>
      <c r="D43" s="10">
        <v>45323</v>
      </c>
      <c r="E43" s="11">
        <v>26.6</v>
      </c>
      <c r="F43" s="12">
        <v>2207800</v>
      </c>
      <c r="G43">
        <v>11</v>
      </c>
      <c r="H43" s="10">
        <v>45658</v>
      </c>
      <c r="I43" s="10">
        <v>45658</v>
      </c>
      <c r="J43" t="b">
        <v>0</v>
      </c>
      <c r="K43" s="11">
        <v>0.05</v>
      </c>
    </row>
    <row r="44" spans="1:11" x14ac:dyDescent="0.3">
      <c r="A44" t="s">
        <v>89</v>
      </c>
      <c r="B44" t="s">
        <v>42</v>
      </c>
      <c r="C44" t="s">
        <v>43</v>
      </c>
      <c r="D44" s="10">
        <v>45323</v>
      </c>
      <c r="E44" s="11">
        <v>7.2</v>
      </c>
      <c r="F44" s="12">
        <v>597600</v>
      </c>
      <c r="G44">
        <v>6</v>
      </c>
      <c r="H44" s="10">
        <v>45505</v>
      </c>
      <c r="I44" s="10">
        <v>45505</v>
      </c>
      <c r="J44" t="b">
        <v>0</v>
      </c>
      <c r="K44" s="11">
        <v>0</v>
      </c>
    </row>
    <row r="45" spans="1:11" x14ac:dyDescent="0.3">
      <c r="A45" t="s">
        <v>90</v>
      </c>
      <c r="B45" t="s">
        <v>42</v>
      </c>
      <c r="C45" t="s">
        <v>43</v>
      </c>
      <c r="D45" s="10">
        <v>45323</v>
      </c>
      <c r="E45" s="11">
        <v>27.6</v>
      </c>
      <c r="F45" s="12">
        <v>2290800</v>
      </c>
      <c r="G45">
        <v>11</v>
      </c>
      <c r="H45" s="10">
        <v>45658</v>
      </c>
      <c r="I45" s="10">
        <v>45658</v>
      </c>
      <c r="J45" t="b">
        <v>0</v>
      </c>
      <c r="K45" s="11">
        <v>0</v>
      </c>
    </row>
    <row r="46" spans="1:11" x14ac:dyDescent="0.3">
      <c r="A46" t="s">
        <v>91</v>
      </c>
      <c r="B46" t="s">
        <v>42</v>
      </c>
      <c r="C46" t="s">
        <v>43</v>
      </c>
      <c r="D46" s="10">
        <v>45323</v>
      </c>
      <c r="E46" s="11">
        <v>20.5</v>
      </c>
      <c r="F46" s="12">
        <v>1701500</v>
      </c>
      <c r="G46">
        <v>10</v>
      </c>
      <c r="H46" s="10">
        <v>45627</v>
      </c>
      <c r="I46" s="10">
        <v>45627</v>
      </c>
      <c r="J46" t="b">
        <v>0</v>
      </c>
      <c r="K46" s="11">
        <v>0.03</v>
      </c>
    </row>
    <row r="47" spans="1:11" x14ac:dyDescent="0.3">
      <c r="A47" t="s">
        <v>92</v>
      </c>
      <c r="B47" t="s">
        <v>56</v>
      </c>
      <c r="C47" t="s">
        <v>57</v>
      </c>
      <c r="D47" s="10">
        <v>45323</v>
      </c>
      <c r="E47" s="11">
        <v>14.9</v>
      </c>
      <c r="F47" s="12">
        <v>1311200</v>
      </c>
      <c r="G47">
        <v>9</v>
      </c>
      <c r="H47" s="10">
        <v>45597</v>
      </c>
      <c r="I47" s="10">
        <v>45597</v>
      </c>
      <c r="J47" t="b">
        <v>0</v>
      </c>
      <c r="K47" s="11">
        <v>0.23</v>
      </c>
    </row>
    <row r="48" spans="1:11" x14ac:dyDescent="0.3">
      <c r="A48" t="s">
        <v>93</v>
      </c>
      <c r="B48" t="s">
        <v>56</v>
      </c>
      <c r="C48" t="s">
        <v>57</v>
      </c>
      <c r="D48" s="10">
        <v>45323</v>
      </c>
      <c r="E48" s="11">
        <v>14.2</v>
      </c>
      <c r="F48" s="12">
        <v>1249600</v>
      </c>
      <c r="G48">
        <v>8</v>
      </c>
      <c r="H48" s="10">
        <v>45566</v>
      </c>
      <c r="I48" s="10">
        <v>45597</v>
      </c>
      <c r="J48" t="b">
        <v>0</v>
      </c>
      <c r="K48" s="11">
        <v>0.6</v>
      </c>
    </row>
    <row r="49" spans="1:11" x14ac:dyDescent="0.3">
      <c r="A49" t="s">
        <v>94</v>
      </c>
      <c r="B49" t="s">
        <v>56</v>
      </c>
      <c r="C49" t="s">
        <v>57</v>
      </c>
      <c r="D49" s="10">
        <v>45323</v>
      </c>
      <c r="E49" s="11">
        <v>6.9</v>
      </c>
      <c r="F49" s="12">
        <v>607200</v>
      </c>
      <c r="G49">
        <v>11</v>
      </c>
      <c r="H49" s="10">
        <v>45658</v>
      </c>
      <c r="I49" s="10">
        <v>45809</v>
      </c>
      <c r="J49" t="b">
        <v>0</v>
      </c>
      <c r="K49" s="11">
        <v>4.6900000000000004</v>
      </c>
    </row>
    <row r="50" spans="1:11" x14ac:dyDescent="0.3">
      <c r="A50" t="s">
        <v>95</v>
      </c>
      <c r="B50" t="s">
        <v>56</v>
      </c>
      <c r="C50" t="s">
        <v>57</v>
      </c>
      <c r="D50" s="10">
        <v>45323</v>
      </c>
      <c r="E50" s="11">
        <v>18.2</v>
      </c>
      <c r="F50" s="12">
        <v>1601600</v>
      </c>
      <c r="G50">
        <v>5</v>
      </c>
      <c r="H50" s="10">
        <v>45474</v>
      </c>
      <c r="I50" s="10">
        <v>45658</v>
      </c>
      <c r="J50" t="b">
        <v>0</v>
      </c>
      <c r="K50" s="11">
        <v>5.67</v>
      </c>
    </row>
    <row r="51" spans="1:11" x14ac:dyDescent="0.3">
      <c r="A51" t="s">
        <v>96</v>
      </c>
      <c r="B51" t="s">
        <v>56</v>
      </c>
      <c r="C51" t="s">
        <v>57</v>
      </c>
      <c r="D51" s="10">
        <v>45323</v>
      </c>
      <c r="E51" s="11">
        <v>1.7</v>
      </c>
      <c r="F51" s="12">
        <v>149600</v>
      </c>
      <c r="G51">
        <v>9</v>
      </c>
      <c r="H51" s="10">
        <v>45597</v>
      </c>
      <c r="I51" s="10">
        <v>45689</v>
      </c>
      <c r="J51" t="b">
        <v>0</v>
      </c>
      <c r="K51" s="11">
        <v>3.45</v>
      </c>
    </row>
    <row r="52" spans="1:11" x14ac:dyDescent="0.3">
      <c r="A52" t="s">
        <v>97</v>
      </c>
      <c r="B52" t="s">
        <v>56</v>
      </c>
      <c r="C52" t="s">
        <v>57</v>
      </c>
      <c r="D52" s="10">
        <v>45323</v>
      </c>
      <c r="E52" s="11">
        <v>10.8</v>
      </c>
      <c r="F52" s="12">
        <v>950400</v>
      </c>
      <c r="G52">
        <v>5</v>
      </c>
      <c r="H52" s="10">
        <v>45474</v>
      </c>
      <c r="I52" s="10">
        <v>45627</v>
      </c>
      <c r="J52" t="b">
        <v>0</v>
      </c>
      <c r="K52" s="11">
        <v>4.96</v>
      </c>
    </row>
    <row r="53" spans="1:11" x14ac:dyDescent="0.3">
      <c r="A53" t="s">
        <v>98</v>
      </c>
      <c r="B53" t="s">
        <v>56</v>
      </c>
      <c r="C53" t="s">
        <v>62</v>
      </c>
      <c r="D53" s="10">
        <v>45323</v>
      </c>
      <c r="E53" s="11">
        <v>12.4</v>
      </c>
      <c r="F53" s="12">
        <v>1004400</v>
      </c>
      <c r="G53">
        <v>10</v>
      </c>
      <c r="H53" s="10">
        <v>45627</v>
      </c>
      <c r="I53" s="10">
        <v>46054</v>
      </c>
      <c r="J53" t="b">
        <v>0</v>
      </c>
      <c r="K53" s="11">
        <v>13.85</v>
      </c>
    </row>
    <row r="54" spans="1:11" x14ac:dyDescent="0.3">
      <c r="A54" t="s">
        <v>99</v>
      </c>
      <c r="B54" t="s">
        <v>56</v>
      </c>
      <c r="C54" t="s">
        <v>62</v>
      </c>
      <c r="D54" s="10">
        <v>45323</v>
      </c>
      <c r="E54" s="11">
        <v>14.1</v>
      </c>
      <c r="F54" s="12">
        <v>1142100</v>
      </c>
      <c r="G54">
        <v>6</v>
      </c>
      <c r="H54" s="10">
        <v>45505</v>
      </c>
      <c r="I54" s="10">
        <v>45505</v>
      </c>
      <c r="J54" t="b">
        <v>0</v>
      </c>
      <c r="K54" s="11">
        <v>0.1</v>
      </c>
    </row>
    <row r="55" spans="1:11" x14ac:dyDescent="0.3">
      <c r="A55" t="s">
        <v>100</v>
      </c>
      <c r="B55" t="s">
        <v>56</v>
      </c>
      <c r="C55" t="s">
        <v>62</v>
      </c>
      <c r="D55" s="10">
        <v>45323</v>
      </c>
      <c r="E55" s="11">
        <v>10.7</v>
      </c>
      <c r="F55" s="12">
        <v>866700</v>
      </c>
      <c r="G55">
        <v>6</v>
      </c>
      <c r="H55" s="10">
        <v>45505</v>
      </c>
      <c r="I55" s="10">
        <v>45505</v>
      </c>
      <c r="J55" t="b">
        <v>0</v>
      </c>
      <c r="K55" s="11">
        <v>0.1</v>
      </c>
    </row>
    <row r="56" spans="1:11" x14ac:dyDescent="0.3">
      <c r="A56" t="s">
        <v>101</v>
      </c>
      <c r="B56" t="s">
        <v>56</v>
      </c>
      <c r="C56" t="s">
        <v>62</v>
      </c>
      <c r="D56" s="10">
        <v>45323</v>
      </c>
      <c r="E56" s="11">
        <v>12.2</v>
      </c>
      <c r="F56" s="12">
        <v>988200</v>
      </c>
      <c r="G56">
        <v>5</v>
      </c>
      <c r="H56" s="10">
        <v>45474</v>
      </c>
      <c r="I56" s="10">
        <v>45627</v>
      </c>
      <c r="J56" t="b">
        <v>0</v>
      </c>
      <c r="K56" s="11">
        <v>4.54</v>
      </c>
    </row>
    <row r="57" spans="1:11" x14ac:dyDescent="0.3">
      <c r="A57" t="s">
        <v>102</v>
      </c>
      <c r="B57" t="s">
        <v>65</v>
      </c>
      <c r="C57" t="s">
        <v>66</v>
      </c>
      <c r="D57" s="10">
        <v>45323</v>
      </c>
      <c r="E57" s="11">
        <v>69.7</v>
      </c>
      <c r="F57" s="12">
        <v>4948700</v>
      </c>
      <c r="G57">
        <v>11</v>
      </c>
      <c r="H57" s="10">
        <v>45658</v>
      </c>
      <c r="I57" s="10">
        <v>45778</v>
      </c>
      <c r="J57" t="b">
        <v>0</v>
      </c>
      <c r="K57" s="11">
        <v>3.76</v>
      </c>
    </row>
    <row r="58" spans="1:11" x14ac:dyDescent="0.3">
      <c r="A58" t="s">
        <v>103</v>
      </c>
      <c r="B58" t="s">
        <v>65</v>
      </c>
      <c r="C58" t="s">
        <v>66</v>
      </c>
      <c r="D58" s="10">
        <v>45323</v>
      </c>
      <c r="E58" s="11">
        <v>4.5</v>
      </c>
      <c r="F58" s="12">
        <v>319500</v>
      </c>
      <c r="G58">
        <v>11</v>
      </c>
      <c r="H58" s="10">
        <v>45658</v>
      </c>
      <c r="I58" s="10">
        <v>45658</v>
      </c>
      <c r="J58" t="b">
        <v>0</v>
      </c>
      <c r="K58" s="11">
        <v>0.22</v>
      </c>
    </row>
    <row r="59" spans="1:11" x14ac:dyDescent="0.3">
      <c r="A59" t="s">
        <v>104</v>
      </c>
      <c r="B59" t="s">
        <v>65</v>
      </c>
      <c r="C59" t="s">
        <v>66</v>
      </c>
      <c r="D59" s="10">
        <v>45323</v>
      </c>
      <c r="E59" s="11">
        <v>17.600000000000001</v>
      </c>
      <c r="F59" s="12">
        <v>1249600</v>
      </c>
      <c r="G59">
        <v>7</v>
      </c>
      <c r="H59" s="10">
        <v>45536</v>
      </c>
      <c r="I59" s="10">
        <v>46082</v>
      </c>
      <c r="J59" t="b">
        <v>0</v>
      </c>
      <c r="K59" s="11">
        <v>18</v>
      </c>
    </row>
    <row r="60" spans="1:11" x14ac:dyDescent="0.3">
      <c r="A60" t="s">
        <v>105</v>
      </c>
      <c r="B60" t="s">
        <v>65</v>
      </c>
      <c r="C60" t="s">
        <v>70</v>
      </c>
      <c r="D60" s="10">
        <v>45323</v>
      </c>
      <c r="E60" s="11">
        <v>12.5</v>
      </c>
      <c r="F60" s="12">
        <v>1050000</v>
      </c>
      <c r="G60">
        <v>9</v>
      </c>
      <c r="H60" s="10">
        <v>45597</v>
      </c>
      <c r="I60" s="10">
        <v>45627</v>
      </c>
      <c r="J60" t="b">
        <v>0</v>
      </c>
      <c r="K60" s="11">
        <v>1.03</v>
      </c>
    </row>
    <row r="61" spans="1:11" x14ac:dyDescent="0.3">
      <c r="A61" t="s">
        <v>106</v>
      </c>
      <c r="B61" t="s">
        <v>65</v>
      </c>
      <c r="C61" t="s">
        <v>70</v>
      </c>
      <c r="D61" s="10">
        <v>45323</v>
      </c>
      <c r="E61" s="11">
        <v>33.4</v>
      </c>
      <c r="F61" s="12">
        <v>2805600</v>
      </c>
      <c r="G61">
        <v>7</v>
      </c>
      <c r="H61" s="10">
        <v>45536</v>
      </c>
      <c r="I61" s="10">
        <v>45597</v>
      </c>
      <c r="J61" t="b">
        <v>0</v>
      </c>
      <c r="K61" s="11">
        <v>1.77</v>
      </c>
    </row>
    <row r="62" spans="1:11" x14ac:dyDescent="0.3">
      <c r="A62" t="s">
        <v>107</v>
      </c>
      <c r="B62" t="s">
        <v>72</v>
      </c>
      <c r="C62" t="s">
        <v>72</v>
      </c>
      <c r="D62" s="10">
        <v>45323</v>
      </c>
      <c r="E62" s="11">
        <v>13.6</v>
      </c>
      <c r="F62" s="12">
        <v>1074400</v>
      </c>
      <c r="G62">
        <v>11</v>
      </c>
      <c r="H62" s="10">
        <v>45658</v>
      </c>
      <c r="I62" s="10">
        <v>45658</v>
      </c>
      <c r="J62" t="b">
        <v>0</v>
      </c>
      <c r="K62" s="11">
        <v>0.15</v>
      </c>
    </row>
    <row r="63" spans="1:11" x14ac:dyDescent="0.3">
      <c r="A63" t="s">
        <v>108</v>
      </c>
      <c r="B63" t="s">
        <v>42</v>
      </c>
      <c r="C63" t="s">
        <v>43</v>
      </c>
      <c r="D63" s="10">
        <v>45352</v>
      </c>
      <c r="E63" s="11">
        <v>10.199999999999999</v>
      </c>
      <c r="F63" s="12">
        <v>846599.99999999988</v>
      </c>
      <c r="G63">
        <v>8</v>
      </c>
      <c r="H63" s="10">
        <v>45597</v>
      </c>
      <c r="I63" s="10">
        <v>45627</v>
      </c>
      <c r="J63" t="b">
        <v>0</v>
      </c>
      <c r="K63" s="11">
        <v>0.66</v>
      </c>
    </row>
    <row r="64" spans="1:11" x14ac:dyDescent="0.3">
      <c r="A64" t="s">
        <v>109</v>
      </c>
      <c r="B64" t="s">
        <v>42</v>
      </c>
      <c r="C64" t="s">
        <v>43</v>
      </c>
      <c r="D64" s="10">
        <v>45352</v>
      </c>
      <c r="E64" s="11">
        <v>5.5</v>
      </c>
      <c r="F64" s="12">
        <v>456500</v>
      </c>
      <c r="G64">
        <v>10</v>
      </c>
      <c r="H64" s="10">
        <v>45658</v>
      </c>
      <c r="I64" s="10">
        <v>45658</v>
      </c>
      <c r="J64" t="b">
        <v>0</v>
      </c>
      <c r="K64" s="11">
        <v>0.18</v>
      </c>
    </row>
    <row r="65" spans="1:11" x14ac:dyDescent="0.3">
      <c r="A65" t="s">
        <v>110</v>
      </c>
      <c r="B65" t="s">
        <v>42</v>
      </c>
      <c r="C65" t="s">
        <v>43</v>
      </c>
      <c r="D65" s="10">
        <v>45352</v>
      </c>
      <c r="E65" s="11">
        <v>4.5999999999999996</v>
      </c>
      <c r="F65" s="12">
        <v>381800</v>
      </c>
      <c r="G65">
        <v>7</v>
      </c>
      <c r="H65" s="10">
        <v>45566</v>
      </c>
      <c r="I65" s="10">
        <v>45566</v>
      </c>
      <c r="J65" t="b">
        <v>0</v>
      </c>
      <c r="K65" s="11">
        <v>0.21</v>
      </c>
    </row>
    <row r="66" spans="1:11" x14ac:dyDescent="0.3">
      <c r="A66" t="s">
        <v>111</v>
      </c>
      <c r="B66" t="s">
        <v>42</v>
      </c>
      <c r="C66" t="s">
        <v>43</v>
      </c>
      <c r="D66" s="10">
        <v>45352</v>
      </c>
      <c r="E66" s="11">
        <v>7.7</v>
      </c>
      <c r="F66" s="12">
        <v>639100</v>
      </c>
      <c r="G66">
        <v>9</v>
      </c>
      <c r="H66" s="10">
        <v>45627</v>
      </c>
      <c r="I66" s="10">
        <v>45627</v>
      </c>
      <c r="J66" t="b">
        <v>0</v>
      </c>
      <c r="K66" s="11">
        <v>0.11</v>
      </c>
    </row>
    <row r="67" spans="1:11" x14ac:dyDescent="0.3">
      <c r="A67" t="s">
        <v>112</v>
      </c>
      <c r="B67" t="s">
        <v>42</v>
      </c>
      <c r="C67" t="s">
        <v>43</v>
      </c>
      <c r="D67" s="10">
        <v>45352</v>
      </c>
      <c r="E67" s="11">
        <v>26.8</v>
      </c>
      <c r="F67" s="12">
        <v>2224400</v>
      </c>
      <c r="G67">
        <v>8</v>
      </c>
      <c r="H67" s="10">
        <v>45597</v>
      </c>
      <c r="I67" s="10">
        <v>45597</v>
      </c>
      <c r="J67" t="b">
        <v>0</v>
      </c>
      <c r="K67" s="11">
        <v>0.09</v>
      </c>
    </row>
    <row r="68" spans="1:11" x14ac:dyDescent="0.3">
      <c r="A68" t="s">
        <v>113</v>
      </c>
      <c r="B68" t="s">
        <v>42</v>
      </c>
      <c r="C68" t="s">
        <v>43</v>
      </c>
      <c r="D68" s="10">
        <v>45352</v>
      </c>
      <c r="E68" s="11">
        <v>28.5</v>
      </c>
      <c r="F68" s="12">
        <v>2365500</v>
      </c>
      <c r="G68">
        <v>11</v>
      </c>
      <c r="H68" s="10">
        <v>45689</v>
      </c>
      <c r="I68" s="10">
        <v>45717</v>
      </c>
      <c r="J68" t="b">
        <v>0</v>
      </c>
      <c r="K68" s="11">
        <v>1.32</v>
      </c>
    </row>
    <row r="69" spans="1:11" x14ac:dyDescent="0.3">
      <c r="A69" t="s">
        <v>114</v>
      </c>
      <c r="B69" t="s">
        <v>42</v>
      </c>
      <c r="C69" t="s">
        <v>43</v>
      </c>
      <c r="D69" s="10">
        <v>45352</v>
      </c>
      <c r="E69" s="11">
        <v>30.1</v>
      </c>
      <c r="F69" s="12">
        <v>2498300</v>
      </c>
      <c r="G69">
        <v>7</v>
      </c>
      <c r="H69" s="10">
        <v>45566</v>
      </c>
      <c r="I69" s="10">
        <v>45627</v>
      </c>
      <c r="J69" t="b">
        <v>0</v>
      </c>
      <c r="K69" s="11">
        <v>1.74</v>
      </c>
    </row>
    <row r="70" spans="1:11" x14ac:dyDescent="0.3">
      <c r="A70" t="s">
        <v>115</v>
      </c>
      <c r="B70" t="s">
        <v>42</v>
      </c>
      <c r="C70" t="s">
        <v>43</v>
      </c>
      <c r="D70" s="10">
        <v>45352</v>
      </c>
      <c r="E70" s="11">
        <v>8.6</v>
      </c>
      <c r="F70" s="12">
        <v>713800</v>
      </c>
      <c r="G70">
        <v>5</v>
      </c>
      <c r="H70" s="10">
        <v>45505</v>
      </c>
      <c r="I70" s="10"/>
      <c r="J70" t="b">
        <v>1</v>
      </c>
      <c r="K70" s="11">
        <v>0.22</v>
      </c>
    </row>
    <row r="71" spans="1:11" x14ac:dyDescent="0.3">
      <c r="A71" t="s">
        <v>116</v>
      </c>
      <c r="B71" t="s">
        <v>42</v>
      </c>
      <c r="C71" t="s">
        <v>43</v>
      </c>
      <c r="D71" s="10">
        <v>45352</v>
      </c>
      <c r="E71" s="11">
        <v>14.6</v>
      </c>
      <c r="F71" s="12">
        <v>1211800</v>
      </c>
      <c r="G71">
        <v>8</v>
      </c>
      <c r="H71" s="10">
        <v>45597</v>
      </c>
      <c r="I71" s="10">
        <v>45627</v>
      </c>
      <c r="J71" t="b">
        <v>0</v>
      </c>
      <c r="K71" s="11">
        <v>0.61</v>
      </c>
    </row>
    <row r="72" spans="1:11" x14ac:dyDescent="0.3">
      <c r="A72" t="s">
        <v>117</v>
      </c>
      <c r="B72" t="s">
        <v>42</v>
      </c>
      <c r="C72" t="s">
        <v>43</v>
      </c>
      <c r="D72" s="10">
        <v>45352</v>
      </c>
      <c r="E72" s="11">
        <v>45.4</v>
      </c>
      <c r="F72" s="12">
        <v>3768200</v>
      </c>
      <c r="G72">
        <v>9</v>
      </c>
      <c r="H72" s="10">
        <v>45627</v>
      </c>
      <c r="I72" s="10">
        <v>45627</v>
      </c>
      <c r="J72" t="b">
        <v>0</v>
      </c>
      <c r="K72" s="11">
        <v>0.01</v>
      </c>
    </row>
    <row r="73" spans="1:11" x14ac:dyDescent="0.3">
      <c r="A73" t="s">
        <v>118</v>
      </c>
      <c r="B73" t="s">
        <v>42</v>
      </c>
      <c r="C73" t="s">
        <v>43</v>
      </c>
      <c r="D73" s="10">
        <v>45352</v>
      </c>
      <c r="E73" s="11">
        <v>44</v>
      </c>
      <c r="F73" s="12">
        <v>3652000</v>
      </c>
      <c r="G73">
        <v>5</v>
      </c>
      <c r="H73" s="10">
        <v>45505</v>
      </c>
      <c r="I73" s="10">
        <v>45505</v>
      </c>
      <c r="J73" t="b">
        <v>0</v>
      </c>
      <c r="K73" s="11">
        <v>0.13</v>
      </c>
    </row>
    <row r="74" spans="1:11" x14ac:dyDescent="0.3">
      <c r="A74" t="s">
        <v>119</v>
      </c>
      <c r="B74" t="s">
        <v>42</v>
      </c>
      <c r="C74" t="s">
        <v>43</v>
      </c>
      <c r="D74" s="10">
        <v>45352</v>
      </c>
      <c r="E74" s="11">
        <v>6.4</v>
      </c>
      <c r="F74" s="12">
        <v>531200</v>
      </c>
      <c r="G74">
        <v>6</v>
      </c>
      <c r="H74" s="10">
        <v>45536</v>
      </c>
      <c r="I74" s="10">
        <v>45536</v>
      </c>
      <c r="J74" t="b">
        <v>0</v>
      </c>
      <c r="K74" s="11">
        <v>0.08</v>
      </c>
    </row>
    <row r="75" spans="1:11" x14ac:dyDescent="0.3">
      <c r="A75" t="s">
        <v>120</v>
      </c>
      <c r="B75" t="s">
        <v>42</v>
      </c>
      <c r="C75" t="s">
        <v>43</v>
      </c>
      <c r="D75" s="10">
        <v>45352</v>
      </c>
      <c r="E75" s="11">
        <v>35</v>
      </c>
      <c r="F75" s="12">
        <v>2905000</v>
      </c>
      <c r="G75">
        <v>7</v>
      </c>
      <c r="H75" s="10">
        <v>45566</v>
      </c>
      <c r="I75" s="10">
        <v>45597</v>
      </c>
      <c r="J75" t="b">
        <v>0</v>
      </c>
      <c r="K75" s="11">
        <v>0.78</v>
      </c>
    </row>
    <row r="76" spans="1:11" x14ac:dyDescent="0.3">
      <c r="A76" t="s">
        <v>121</v>
      </c>
      <c r="B76" t="s">
        <v>42</v>
      </c>
      <c r="C76" t="s">
        <v>43</v>
      </c>
      <c r="D76" s="10">
        <v>45352</v>
      </c>
      <c r="E76" s="11">
        <v>31.2</v>
      </c>
      <c r="F76" s="12">
        <v>2589600</v>
      </c>
      <c r="G76">
        <v>10</v>
      </c>
      <c r="H76" s="10">
        <v>45658</v>
      </c>
      <c r="I76" s="10">
        <v>45658</v>
      </c>
      <c r="J76" t="b">
        <v>0</v>
      </c>
      <c r="K76" s="11">
        <v>0</v>
      </c>
    </row>
    <row r="77" spans="1:11" x14ac:dyDescent="0.3">
      <c r="A77" t="s">
        <v>122</v>
      </c>
      <c r="B77" t="s">
        <v>42</v>
      </c>
      <c r="C77" t="s">
        <v>43</v>
      </c>
      <c r="D77" s="10">
        <v>45352</v>
      </c>
      <c r="E77" s="11">
        <v>29.9</v>
      </c>
      <c r="F77" s="12">
        <v>2481700</v>
      </c>
      <c r="G77">
        <v>7</v>
      </c>
      <c r="H77" s="10">
        <v>45566</v>
      </c>
      <c r="I77" s="10">
        <v>45566</v>
      </c>
      <c r="J77" t="b">
        <v>0</v>
      </c>
      <c r="K77" s="11">
        <v>0</v>
      </c>
    </row>
    <row r="78" spans="1:11" x14ac:dyDescent="0.3">
      <c r="A78" t="s">
        <v>123</v>
      </c>
      <c r="B78" t="s">
        <v>42</v>
      </c>
      <c r="C78" t="s">
        <v>43</v>
      </c>
      <c r="D78" s="10">
        <v>45352</v>
      </c>
      <c r="E78" s="11">
        <v>21.3</v>
      </c>
      <c r="F78" s="12">
        <v>1767900</v>
      </c>
      <c r="G78">
        <v>9</v>
      </c>
      <c r="H78" s="10">
        <v>45627</v>
      </c>
      <c r="I78" s="10">
        <v>45717</v>
      </c>
      <c r="J78" t="b">
        <v>0</v>
      </c>
      <c r="K78" s="11">
        <v>3.32</v>
      </c>
    </row>
    <row r="79" spans="1:11" x14ac:dyDescent="0.3">
      <c r="A79" t="s">
        <v>124</v>
      </c>
      <c r="B79" t="s">
        <v>42</v>
      </c>
      <c r="C79" t="s">
        <v>43</v>
      </c>
      <c r="D79" s="10">
        <v>45352</v>
      </c>
      <c r="E79" s="11">
        <v>10.3</v>
      </c>
      <c r="F79" s="12">
        <v>854900.00000000012</v>
      </c>
      <c r="G79">
        <v>5</v>
      </c>
      <c r="H79" s="10">
        <v>45505</v>
      </c>
      <c r="I79" s="10">
        <v>45536</v>
      </c>
      <c r="J79" t="b">
        <v>0</v>
      </c>
      <c r="K79" s="11">
        <v>0.65</v>
      </c>
    </row>
    <row r="80" spans="1:11" x14ac:dyDescent="0.3">
      <c r="A80" t="s">
        <v>125</v>
      </c>
      <c r="B80" t="s">
        <v>42</v>
      </c>
      <c r="C80" t="s">
        <v>43</v>
      </c>
      <c r="D80" s="10">
        <v>45352</v>
      </c>
      <c r="E80" s="11">
        <v>4.7</v>
      </c>
      <c r="F80" s="12">
        <v>390100</v>
      </c>
      <c r="G80">
        <v>8</v>
      </c>
      <c r="H80" s="10">
        <v>45597</v>
      </c>
      <c r="I80" s="10">
        <v>45597</v>
      </c>
      <c r="J80" t="b">
        <v>0</v>
      </c>
      <c r="K80" s="11">
        <v>0.04</v>
      </c>
    </row>
    <row r="81" spans="1:11" x14ac:dyDescent="0.3">
      <c r="A81" t="s">
        <v>126</v>
      </c>
      <c r="B81" t="s">
        <v>42</v>
      </c>
      <c r="C81" t="s">
        <v>43</v>
      </c>
      <c r="D81" s="10">
        <v>45352</v>
      </c>
      <c r="E81" s="11">
        <v>16.2</v>
      </c>
      <c r="F81" s="12">
        <v>1344600</v>
      </c>
      <c r="G81">
        <v>11</v>
      </c>
      <c r="H81" s="10">
        <v>45689</v>
      </c>
      <c r="I81" s="10">
        <v>45689</v>
      </c>
      <c r="J81" t="b">
        <v>0</v>
      </c>
      <c r="K81" s="11">
        <v>0.19</v>
      </c>
    </row>
    <row r="82" spans="1:11" x14ac:dyDescent="0.3">
      <c r="A82" t="s">
        <v>127</v>
      </c>
      <c r="B82" t="s">
        <v>42</v>
      </c>
      <c r="C82" t="s">
        <v>43</v>
      </c>
      <c r="D82" s="10">
        <v>45352</v>
      </c>
      <c r="E82" s="11">
        <v>5.9</v>
      </c>
      <c r="F82" s="12">
        <v>489700.00000000012</v>
      </c>
      <c r="G82">
        <v>7</v>
      </c>
      <c r="H82" s="10">
        <v>45566</v>
      </c>
      <c r="I82" s="10">
        <v>45566</v>
      </c>
      <c r="J82" t="b">
        <v>0</v>
      </c>
      <c r="K82" s="11">
        <v>0.06</v>
      </c>
    </row>
    <row r="83" spans="1:11" x14ac:dyDescent="0.3">
      <c r="A83" t="s">
        <v>128</v>
      </c>
      <c r="B83" t="s">
        <v>42</v>
      </c>
      <c r="C83" t="s">
        <v>43</v>
      </c>
      <c r="D83" s="10">
        <v>45352</v>
      </c>
      <c r="E83" s="11">
        <v>10.6</v>
      </c>
      <c r="F83" s="12">
        <v>879800</v>
      </c>
      <c r="G83">
        <v>11</v>
      </c>
      <c r="H83" s="10">
        <v>45689</v>
      </c>
      <c r="I83" s="10">
        <v>45689</v>
      </c>
      <c r="J83" t="b">
        <v>0</v>
      </c>
      <c r="K83" s="11">
        <v>0.02</v>
      </c>
    </row>
    <row r="84" spans="1:11" x14ac:dyDescent="0.3">
      <c r="A84" t="s">
        <v>129</v>
      </c>
      <c r="B84" t="s">
        <v>42</v>
      </c>
      <c r="C84" t="s">
        <v>43</v>
      </c>
      <c r="D84" s="10">
        <v>45352</v>
      </c>
      <c r="E84" s="11">
        <v>16.5</v>
      </c>
      <c r="F84" s="12">
        <v>1369500</v>
      </c>
      <c r="G84">
        <v>5</v>
      </c>
      <c r="H84" s="10">
        <v>45505</v>
      </c>
      <c r="I84" s="10">
        <v>45505</v>
      </c>
      <c r="J84" t="b">
        <v>0</v>
      </c>
      <c r="K84" s="11">
        <v>0.11</v>
      </c>
    </row>
    <row r="85" spans="1:11" x14ac:dyDescent="0.3">
      <c r="A85" t="s">
        <v>130</v>
      </c>
      <c r="B85" t="s">
        <v>42</v>
      </c>
      <c r="C85" t="s">
        <v>43</v>
      </c>
      <c r="D85" s="10">
        <v>45352</v>
      </c>
      <c r="E85" s="11">
        <v>38.9</v>
      </c>
      <c r="F85" s="12">
        <v>3228700</v>
      </c>
      <c r="G85">
        <v>11</v>
      </c>
      <c r="H85" s="10">
        <v>45689</v>
      </c>
      <c r="I85" s="10">
        <v>45689</v>
      </c>
      <c r="J85" t="b">
        <v>0</v>
      </c>
      <c r="K85" s="11">
        <v>0</v>
      </c>
    </row>
    <row r="86" spans="1:11" x14ac:dyDescent="0.3">
      <c r="A86" t="s">
        <v>131</v>
      </c>
      <c r="B86" t="s">
        <v>42</v>
      </c>
      <c r="C86" t="s">
        <v>43</v>
      </c>
      <c r="D86" s="10">
        <v>45352</v>
      </c>
      <c r="E86" s="11">
        <v>32.5</v>
      </c>
      <c r="F86" s="12">
        <v>2697500</v>
      </c>
      <c r="G86">
        <v>7</v>
      </c>
      <c r="H86" s="10">
        <v>45566</v>
      </c>
      <c r="I86" s="10">
        <v>45566</v>
      </c>
      <c r="J86" t="b">
        <v>0</v>
      </c>
      <c r="K86" s="11">
        <v>0.01</v>
      </c>
    </row>
    <row r="87" spans="1:11" x14ac:dyDescent="0.3">
      <c r="A87" t="s">
        <v>132</v>
      </c>
      <c r="B87" t="s">
        <v>42</v>
      </c>
      <c r="C87" t="s">
        <v>43</v>
      </c>
      <c r="D87" s="10">
        <v>45352</v>
      </c>
      <c r="E87" s="11">
        <v>11.4</v>
      </c>
      <c r="F87" s="12">
        <v>946200</v>
      </c>
      <c r="G87">
        <v>8</v>
      </c>
      <c r="H87" s="10">
        <v>45597</v>
      </c>
      <c r="I87" s="10">
        <v>45962</v>
      </c>
      <c r="J87" t="b">
        <v>0</v>
      </c>
      <c r="K87" s="11">
        <v>11.85</v>
      </c>
    </row>
    <row r="88" spans="1:11" x14ac:dyDescent="0.3">
      <c r="A88" t="s">
        <v>133</v>
      </c>
      <c r="B88" t="s">
        <v>42</v>
      </c>
      <c r="C88" t="s">
        <v>43</v>
      </c>
      <c r="D88" s="10">
        <v>45352</v>
      </c>
      <c r="E88" s="11">
        <v>13.8</v>
      </c>
      <c r="F88" s="12">
        <v>1145400</v>
      </c>
      <c r="G88">
        <v>11</v>
      </c>
      <c r="H88" s="10">
        <v>45689</v>
      </c>
      <c r="I88" s="10">
        <v>45689</v>
      </c>
      <c r="J88" t="b">
        <v>0</v>
      </c>
      <c r="K88" s="11">
        <v>0.34</v>
      </c>
    </row>
    <row r="89" spans="1:11" x14ac:dyDescent="0.3">
      <c r="A89" t="s">
        <v>134</v>
      </c>
      <c r="B89" t="s">
        <v>42</v>
      </c>
      <c r="C89" t="s">
        <v>43</v>
      </c>
      <c r="D89" s="10">
        <v>45352</v>
      </c>
      <c r="E89" s="11">
        <v>49.2</v>
      </c>
      <c r="F89" s="12">
        <v>4083600.0000000009</v>
      </c>
      <c r="G89">
        <v>11</v>
      </c>
      <c r="H89" s="10">
        <v>45689</v>
      </c>
      <c r="I89" s="10">
        <v>45748</v>
      </c>
      <c r="J89" t="b">
        <v>0</v>
      </c>
      <c r="K89" s="11">
        <v>1.57</v>
      </c>
    </row>
    <row r="90" spans="1:11" x14ac:dyDescent="0.3">
      <c r="A90" t="s">
        <v>135</v>
      </c>
      <c r="B90" t="s">
        <v>42</v>
      </c>
      <c r="C90" t="s">
        <v>43</v>
      </c>
      <c r="D90" s="10">
        <v>45352</v>
      </c>
      <c r="E90" s="11">
        <v>16</v>
      </c>
      <c r="F90" s="12">
        <v>1328000</v>
      </c>
      <c r="G90">
        <v>6</v>
      </c>
      <c r="H90" s="10">
        <v>45536</v>
      </c>
      <c r="I90" s="10">
        <v>45536</v>
      </c>
      <c r="J90" t="b">
        <v>0</v>
      </c>
      <c r="K90" s="11">
        <v>0.48</v>
      </c>
    </row>
    <row r="91" spans="1:11" x14ac:dyDescent="0.3">
      <c r="A91" t="s">
        <v>136</v>
      </c>
      <c r="B91" t="s">
        <v>42</v>
      </c>
      <c r="C91" t="s">
        <v>43</v>
      </c>
      <c r="D91" s="10">
        <v>45352</v>
      </c>
      <c r="E91" s="11">
        <v>5.6</v>
      </c>
      <c r="F91" s="12">
        <v>464800</v>
      </c>
      <c r="G91">
        <v>11</v>
      </c>
      <c r="H91" s="10">
        <v>45689</v>
      </c>
      <c r="I91" s="10">
        <v>45689</v>
      </c>
      <c r="J91" t="b">
        <v>0</v>
      </c>
      <c r="K91" s="11">
        <v>0.04</v>
      </c>
    </row>
    <row r="92" spans="1:11" x14ac:dyDescent="0.3">
      <c r="A92" t="s">
        <v>137</v>
      </c>
      <c r="B92" t="s">
        <v>42</v>
      </c>
      <c r="C92" t="s">
        <v>43</v>
      </c>
      <c r="D92" s="10">
        <v>45352</v>
      </c>
      <c r="E92" s="11">
        <v>6.6</v>
      </c>
      <c r="F92" s="12">
        <v>547800</v>
      </c>
      <c r="G92">
        <v>11</v>
      </c>
      <c r="H92" s="10">
        <v>45689</v>
      </c>
      <c r="I92" s="10">
        <v>45689</v>
      </c>
      <c r="J92" t="b">
        <v>0</v>
      </c>
      <c r="K92" s="11">
        <v>0.28000000000000003</v>
      </c>
    </row>
    <row r="93" spans="1:11" x14ac:dyDescent="0.3">
      <c r="A93" t="s">
        <v>138</v>
      </c>
      <c r="B93" t="s">
        <v>56</v>
      </c>
      <c r="C93" t="s">
        <v>57</v>
      </c>
      <c r="D93" s="10">
        <v>45352</v>
      </c>
      <c r="E93" s="11">
        <v>23.1</v>
      </c>
      <c r="F93" s="12">
        <v>2032800</v>
      </c>
      <c r="G93">
        <v>11</v>
      </c>
      <c r="H93" s="10">
        <v>45689</v>
      </c>
      <c r="I93" s="10">
        <v>45689</v>
      </c>
      <c r="J93" t="b">
        <v>0</v>
      </c>
      <c r="K93" s="11">
        <v>0.36</v>
      </c>
    </row>
    <row r="94" spans="1:11" x14ac:dyDescent="0.3">
      <c r="A94" t="s">
        <v>139</v>
      </c>
      <c r="B94" t="s">
        <v>56</v>
      </c>
      <c r="C94" t="s">
        <v>57</v>
      </c>
      <c r="D94" s="10">
        <v>45352</v>
      </c>
      <c r="E94" s="11">
        <v>7.7</v>
      </c>
      <c r="F94" s="12">
        <v>677600</v>
      </c>
      <c r="G94">
        <v>9</v>
      </c>
      <c r="H94" s="10">
        <v>45627</v>
      </c>
      <c r="I94" s="10">
        <v>45627</v>
      </c>
      <c r="J94" t="b">
        <v>0</v>
      </c>
      <c r="K94" s="11">
        <v>0.05</v>
      </c>
    </row>
    <row r="95" spans="1:11" x14ac:dyDescent="0.3">
      <c r="A95" t="s">
        <v>140</v>
      </c>
      <c r="B95" t="s">
        <v>56</v>
      </c>
      <c r="C95" t="s">
        <v>57</v>
      </c>
      <c r="D95" s="10">
        <v>45352</v>
      </c>
      <c r="E95" s="11">
        <v>66.3</v>
      </c>
      <c r="F95" s="12">
        <v>5834400</v>
      </c>
      <c r="G95">
        <v>8</v>
      </c>
      <c r="H95" s="10">
        <v>45597</v>
      </c>
      <c r="I95" s="10">
        <v>45627</v>
      </c>
      <c r="J95" t="b">
        <v>0</v>
      </c>
      <c r="K95" s="11">
        <v>0.87</v>
      </c>
    </row>
    <row r="96" spans="1:11" x14ac:dyDescent="0.3">
      <c r="A96" t="s">
        <v>141</v>
      </c>
      <c r="B96" t="s">
        <v>56</v>
      </c>
      <c r="C96" t="s">
        <v>57</v>
      </c>
      <c r="D96" s="10">
        <v>45352</v>
      </c>
      <c r="E96" s="11">
        <v>28</v>
      </c>
      <c r="F96" s="12">
        <v>2464000</v>
      </c>
      <c r="G96">
        <v>7</v>
      </c>
      <c r="H96" s="10">
        <v>45566</v>
      </c>
      <c r="I96" s="10">
        <v>45566</v>
      </c>
      <c r="J96" t="b">
        <v>0</v>
      </c>
      <c r="K96" s="11">
        <v>0.04</v>
      </c>
    </row>
    <row r="97" spans="1:11" x14ac:dyDescent="0.3">
      <c r="A97" t="s">
        <v>142</v>
      </c>
      <c r="B97" t="s">
        <v>56</v>
      </c>
      <c r="C97" t="s">
        <v>57</v>
      </c>
      <c r="D97" s="10">
        <v>45352</v>
      </c>
      <c r="E97" s="11">
        <v>5.8</v>
      </c>
      <c r="F97" s="12">
        <v>510400</v>
      </c>
      <c r="G97">
        <v>7</v>
      </c>
      <c r="H97" s="10">
        <v>45566</v>
      </c>
      <c r="I97" s="10">
        <v>45658</v>
      </c>
      <c r="J97" t="b">
        <v>0</v>
      </c>
      <c r="K97" s="11">
        <v>3.17</v>
      </c>
    </row>
    <row r="98" spans="1:11" x14ac:dyDescent="0.3">
      <c r="A98" t="s">
        <v>143</v>
      </c>
      <c r="B98" t="s">
        <v>56</v>
      </c>
      <c r="C98" t="s">
        <v>57</v>
      </c>
      <c r="D98" s="10">
        <v>45352</v>
      </c>
      <c r="E98" s="11">
        <v>13.1</v>
      </c>
      <c r="F98" s="12">
        <v>1152800</v>
      </c>
      <c r="G98">
        <v>7</v>
      </c>
      <c r="H98" s="10">
        <v>45566</v>
      </c>
      <c r="I98" s="10">
        <v>45597</v>
      </c>
      <c r="J98" t="b">
        <v>0</v>
      </c>
      <c r="K98" s="11">
        <v>0.73</v>
      </c>
    </row>
    <row r="99" spans="1:11" x14ac:dyDescent="0.3">
      <c r="A99" t="s">
        <v>144</v>
      </c>
      <c r="B99" t="s">
        <v>56</v>
      </c>
      <c r="C99" t="s">
        <v>62</v>
      </c>
      <c r="D99" s="10">
        <v>45352</v>
      </c>
      <c r="E99" s="11">
        <v>36</v>
      </c>
      <c r="F99" s="12">
        <v>2916000</v>
      </c>
      <c r="G99">
        <v>9</v>
      </c>
      <c r="H99" s="10">
        <v>45627</v>
      </c>
      <c r="I99" s="10"/>
      <c r="J99" t="b">
        <v>1</v>
      </c>
      <c r="K99" s="11">
        <v>14.32</v>
      </c>
    </row>
    <row r="100" spans="1:11" x14ac:dyDescent="0.3">
      <c r="A100" t="s">
        <v>145</v>
      </c>
      <c r="B100" t="s">
        <v>56</v>
      </c>
      <c r="C100" t="s">
        <v>62</v>
      </c>
      <c r="D100" s="10">
        <v>45352</v>
      </c>
      <c r="E100" s="11">
        <v>8.8000000000000007</v>
      </c>
      <c r="F100" s="12">
        <v>712800</v>
      </c>
      <c r="G100">
        <v>11</v>
      </c>
      <c r="H100" s="10">
        <v>45689</v>
      </c>
      <c r="I100" s="10">
        <v>46023</v>
      </c>
      <c r="J100" t="b">
        <v>0</v>
      </c>
      <c r="K100" s="11">
        <v>11.3</v>
      </c>
    </row>
    <row r="101" spans="1:11" x14ac:dyDescent="0.3">
      <c r="A101" t="s">
        <v>146</v>
      </c>
      <c r="B101" t="s">
        <v>56</v>
      </c>
      <c r="C101" t="s">
        <v>62</v>
      </c>
      <c r="D101" s="10">
        <v>45352</v>
      </c>
      <c r="E101" s="11">
        <v>22.9</v>
      </c>
      <c r="F101" s="12">
        <v>1854900</v>
      </c>
      <c r="G101">
        <v>7</v>
      </c>
      <c r="H101" s="10">
        <v>45566</v>
      </c>
      <c r="I101" s="10">
        <v>45809</v>
      </c>
      <c r="J101" t="b">
        <v>0</v>
      </c>
      <c r="K101" s="11">
        <v>8.2799999999999994</v>
      </c>
    </row>
    <row r="102" spans="1:11" x14ac:dyDescent="0.3">
      <c r="A102" t="s">
        <v>147</v>
      </c>
      <c r="B102" t="s">
        <v>65</v>
      </c>
      <c r="C102" t="s">
        <v>66</v>
      </c>
      <c r="D102" s="10">
        <v>45352</v>
      </c>
      <c r="E102" s="11">
        <v>20.2</v>
      </c>
      <c r="F102" s="12">
        <v>1434200</v>
      </c>
      <c r="G102">
        <v>7</v>
      </c>
      <c r="H102" s="10">
        <v>45566</v>
      </c>
      <c r="I102" s="10">
        <v>46054</v>
      </c>
      <c r="J102" t="b">
        <v>0</v>
      </c>
      <c r="K102" s="11">
        <v>15.78</v>
      </c>
    </row>
    <row r="103" spans="1:11" x14ac:dyDescent="0.3">
      <c r="A103" t="s">
        <v>148</v>
      </c>
      <c r="B103" t="s">
        <v>65</v>
      </c>
      <c r="C103" t="s">
        <v>66</v>
      </c>
      <c r="D103" s="10">
        <v>45352</v>
      </c>
      <c r="E103" s="11">
        <v>74.599999999999994</v>
      </c>
      <c r="F103" s="12">
        <v>5296600</v>
      </c>
      <c r="G103">
        <v>9</v>
      </c>
      <c r="H103" s="10">
        <v>45627</v>
      </c>
      <c r="I103" s="10">
        <v>45627</v>
      </c>
      <c r="J103" t="b">
        <v>0</v>
      </c>
      <c r="K103" s="11">
        <v>0.01</v>
      </c>
    </row>
    <row r="104" spans="1:11" x14ac:dyDescent="0.3">
      <c r="A104" t="s">
        <v>149</v>
      </c>
      <c r="B104" t="s">
        <v>65</v>
      </c>
      <c r="C104" t="s">
        <v>66</v>
      </c>
      <c r="D104" s="10">
        <v>45352</v>
      </c>
      <c r="E104" s="11">
        <v>8.6</v>
      </c>
      <c r="F104" s="12">
        <v>610600</v>
      </c>
      <c r="G104">
        <v>10</v>
      </c>
      <c r="H104" s="10">
        <v>45658</v>
      </c>
      <c r="I104" s="10">
        <v>45689</v>
      </c>
      <c r="J104" t="b">
        <v>0</v>
      </c>
      <c r="K104" s="11">
        <v>0.57999999999999996</v>
      </c>
    </row>
    <row r="105" spans="1:11" x14ac:dyDescent="0.3">
      <c r="A105" t="s">
        <v>150</v>
      </c>
      <c r="B105" t="s">
        <v>72</v>
      </c>
      <c r="C105" t="s">
        <v>72</v>
      </c>
      <c r="D105" s="10">
        <v>45352</v>
      </c>
      <c r="E105" s="11">
        <v>3.1</v>
      </c>
      <c r="F105" s="12">
        <v>244900</v>
      </c>
      <c r="G105">
        <v>11</v>
      </c>
      <c r="H105" s="10">
        <v>45689</v>
      </c>
      <c r="I105" s="10">
        <v>45778</v>
      </c>
      <c r="J105" t="b">
        <v>0</v>
      </c>
      <c r="K105" s="11">
        <v>2.9</v>
      </c>
    </row>
    <row r="106" spans="1:11" x14ac:dyDescent="0.3">
      <c r="A106" t="s">
        <v>151</v>
      </c>
      <c r="B106" t="s">
        <v>72</v>
      </c>
      <c r="C106" t="s">
        <v>72</v>
      </c>
      <c r="D106" s="10">
        <v>45352</v>
      </c>
      <c r="E106" s="11">
        <v>51.5</v>
      </c>
      <c r="F106" s="12">
        <v>4068500</v>
      </c>
      <c r="G106">
        <v>11</v>
      </c>
      <c r="H106" s="10">
        <v>45689</v>
      </c>
      <c r="I106" s="10">
        <v>45689</v>
      </c>
      <c r="J106" t="b">
        <v>0</v>
      </c>
      <c r="K106" s="11">
        <v>0.3</v>
      </c>
    </row>
    <row r="107" spans="1:11" x14ac:dyDescent="0.3">
      <c r="A107" t="s">
        <v>152</v>
      </c>
      <c r="B107" t="s">
        <v>72</v>
      </c>
      <c r="C107" t="s">
        <v>72</v>
      </c>
      <c r="D107" s="10">
        <v>45352</v>
      </c>
      <c r="E107" s="11">
        <v>13.8</v>
      </c>
      <c r="F107" s="12">
        <v>1090200</v>
      </c>
      <c r="G107">
        <v>11</v>
      </c>
      <c r="H107" s="10">
        <v>45689</v>
      </c>
      <c r="I107" s="10">
        <v>45748</v>
      </c>
      <c r="J107" t="b">
        <v>0</v>
      </c>
      <c r="K107" s="11">
        <v>2.44</v>
      </c>
    </row>
    <row r="108" spans="1:11" x14ac:dyDescent="0.3">
      <c r="A108" t="s">
        <v>153</v>
      </c>
      <c r="B108" t="s">
        <v>42</v>
      </c>
      <c r="C108" t="s">
        <v>43</v>
      </c>
      <c r="D108" s="10">
        <v>45383</v>
      </c>
      <c r="E108" s="11">
        <v>38.799999999999997</v>
      </c>
      <c r="F108" s="12">
        <v>3220400</v>
      </c>
      <c r="G108">
        <v>5</v>
      </c>
      <c r="H108" s="10">
        <v>45536</v>
      </c>
      <c r="I108" s="10">
        <v>45566</v>
      </c>
      <c r="J108" t="b">
        <v>0</v>
      </c>
      <c r="K108" s="11">
        <v>1.27</v>
      </c>
    </row>
    <row r="109" spans="1:11" x14ac:dyDescent="0.3">
      <c r="A109" t="s">
        <v>154</v>
      </c>
      <c r="B109" t="s">
        <v>42</v>
      </c>
      <c r="C109" t="s">
        <v>43</v>
      </c>
      <c r="D109" s="10">
        <v>45383</v>
      </c>
      <c r="E109" s="11">
        <v>5.3</v>
      </c>
      <c r="F109" s="12">
        <v>439900</v>
      </c>
      <c r="G109">
        <v>5</v>
      </c>
      <c r="H109" s="10">
        <v>45536</v>
      </c>
      <c r="I109" s="10">
        <v>45566</v>
      </c>
      <c r="J109" t="b">
        <v>0</v>
      </c>
      <c r="K109" s="11">
        <v>0.65</v>
      </c>
    </row>
    <row r="110" spans="1:11" x14ac:dyDescent="0.3">
      <c r="A110" t="s">
        <v>155</v>
      </c>
      <c r="B110" t="s">
        <v>42</v>
      </c>
      <c r="C110" t="s">
        <v>43</v>
      </c>
      <c r="D110" s="10">
        <v>45383</v>
      </c>
      <c r="E110" s="11">
        <v>13.3</v>
      </c>
      <c r="F110" s="12">
        <v>1103900</v>
      </c>
      <c r="G110">
        <v>6</v>
      </c>
      <c r="H110" s="10">
        <v>45566</v>
      </c>
      <c r="I110" s="10">
        <v>45566</v>
      </c>
      <c r="J110" t="b">
        <v>0</v>
      </c>
      <c r="K110" s="11">
        <v>0.03</v>
      </c>
    </row>
    <row r="111" spans="1:11" x14ac:dyDescent="0.3">
      <c r="A111" t="s">
        <v>156</v>
      </c>
      <c r="B111" t="s">
        <v>42</v>
      </c>
      <c r="C111" t="s">
        <v>43</v>
      </c>
      <c r="D111" s="10">
        <v>45383</v>
      </c>
      <c r="E111" s="11">
        <v>3.8</v>
      </c>
      <c r="F111" s="12">
        <v>315400</v>
      </c>
      <c r="G111">
        <v>7</v>
      </c>
      <c r="H111" s="10">
        <v>45597</v>
      </c>
      <c r="I111" s="10">
        <v>45627</v>
      </c>
      <c r="J111" t="b">
        <v>0</v>
      </c>
      <c r="K111" s="11">
        <v>0.72</v>
      </c>
    </row>
    <row r="112" spans="1:11" x14ac:dyDescent="0.3">
      <c r="A112" t="s">
        <v>157</v>
      </c>
      <c r="B112" t="s">
        <v>42</v>
      </c>
      <c r="C112" t="s">
        <v>43</v>
      </c>
      <c r="D112" s="10">
        <v>45383</v>
      </c>
      <c r="E112" s="11">
        <v>5.2</v>
      </c>
      <c r="F112" s="12">
        <v>431600</v>
      </c>
      <c r="G112">
        <v>6</v>
      </c>
      <c r="H112" s="10">
        <v>45566</v>
      </c>
      <c r="I112" s="10">
        <v>45566</v>
      </c>
      <c r="J112" t="b">
        <v>0</v>
      </c>
      <c r="K112" s="11">
        <v>0</v>
      </c>
    </row>
    <row r="113" spans="1:11" x14ac:dyDescent="0.3">
      <c r="A113" t="s">
        <v>158</v>
      </c>
      <c r="B113" t="s">
        <v>42</v>
      </c>
      <c r="C113" t="s">
        <v>43</v>
      </c>
      <c r="D113" s="10">
        <v>45383</v>
      </c>
      <c r="E113" s="11">
        <v>13.4</v>
      </c>
      <c r="F113" s="12">
        <v>1112200</v>
      </c>
      <c r="G113">
        <v>6</v>
      </c>
      <c r="H113" s="10">
        <v>45566</v>
      </c>
      <c r="I113" s="10">
        <v>45566</v>
      </c>
      <c r="J113" t="b">
        <v>0</v>
      </c>
      <c r="K113" s="11">
        <v>0.01</v>
      </c>
    </row>
    <row r="114" spans="1:11" x14ac:dyDescent="0.3">
      <c r="A114" t="s">
        <v>159</v>
      </c>
      <c r="B114" t="s">
        <v>42</v>
      </c>
      <c r="C114" t="s">
        <v>43</v>
      </c>
      <c r="D114" s="10">
        <v>45383</v>
      </c>
      <c r="E114" s="11">
        <v>16.5</v>
      </c>
      <c r="F114" s="12">
        <v>1369500</v>
      </c>
      <c r="G114">
        <v>11</v>
      </c>
      <c r="H114" s="10">
        <v>45717</v>
      </c>
      <c r="I114" s="10">
        <v>45717</v>
      </c>
      <c r="J114" t="b">
        <v>0</v>
      </c>
      <c r="K114" s="11">
        <v>0.17</v>
      </c>
    </row>
    <row r="115" spans="1:11" x14ac:dyDescent="0.3">
      <c r="A115" t="s">
        <v>160</v>
      </c>
      <c r="B115" t="s">
        <v>42</v>
      </c>
      <c r="C115" t="s">
        <v>43</v>
      </c>
      <c r="D115" s="10">
        <v>45383</v>
      </c>
      <c r="E115" s="11">
        <v>7</v>
      </c>
      <c r="F115" s="12">
        <v>581000</v>
      </c>
      <c r="G115">
        <v>11</v>
      </c>
      <c r="H115" s="10">
        <v>45717</v>
      </c>
      <c r="I115" s="10">
        <v>45717</v>
      </c>
      <c r="J115" t="b">
        <v>0</v>
      </c>
      <c r="K115" s="11">
        <v>0.05</v>
      </c>
    </row>
    <row r="116" spans="1:11" x14ac:dyDescent="0.3">
      <c r="A116" t="s">
        <v>161</v>
      </c>
      <c r="B116" t="s">
        <v>42</v>
      </c>
      <c r="C116" t="s">
        <v>43</v>
      </c>
      <c r="D116" s="10">
        <v>45383</v>
      </c>
      <c r="E116" s="11">
        <v>15.6</v>
      </c>
      <c r="F116" s="12">
        <v>1294800</v>
      </c>
      <c r="G116">
        <v>9</v>
      </c>
      <c r="H116" s="10">
        <v>45658</v>
      </c>
      <c r="I116" s="10">
        <v>45658</v>
      </c>
      <c r="J116" t="b">
        <v>0</v>
      </c>
      <c r="K116" s="11">
        <v>0.02</v>
      </c>
    </row>
    <row r="117" spans="1:11" x14ac:dyDescent="0.3">
      <c r="A117" t="s">
        <v>162</v>
      </c>
      <c r="B117" t="s">
        <v>42</v>
      </c>
      <c r="C117" t="s">
        <v>43</v>
      </c>
      <c r="D117" s="10">
        <v>45383</v>
      </c>
      <c r="E117" s="11">
        <v>12.2</v>
      </c>
      <c r="F117" s="12">
        <v>1012600</v>
      </c>
      <c r="G117">
        <v>8</v>
      </c>
      <c r="H117" s="10">
        <v>45627</v>
      </c>
      <c r="I117" s="10">
        <v>45627</v>
      </c>
      <c r="J117" t="b">
        <v>0</v>
      </c>
      <c r="K117" s="11">
        <v>0</v>
      </c>
    </row>
    <row r="118" spans="1:11" x14ac:dyDescent="0.3">
      <c r="A118" t="s">
        <v>163</v>
      </c>
      <c r="B118" t="s">
        <v>42</v>
      </c>
      <c r="C118" t="s">
        <v>43</v>
      </c>
      <c r="D118" s="10">
        <v>45383</v>
      </c>
      <c r="E118" s="11">
        <v>6.8</v>
      </c>
      <c r="F118" s="12">
        <v>564400</v>
      </c>
      <c r="G118">
        <v>9</v>
      </c>
      <c r="H118" s="10">
        <v>45658</v>
      </c>
      <c r="I118" s="10">
        <v>45689</v>
      </c>
      <c r="J118" t="b">
        <v>0</v>
      </c>
      <c r="K118" s="11">
        <v>0.99</v>
      </c>
    </row>
    <row r="119" spans="1:11" x14ac:dyDescent="0.3">
      <c r="A119" t="s">
        <v>164</v>
      </c>
      <c r="B119" t="s">
        <v>42</v>
      </c>
      <c r="C119" t="s">
        <v>43</v>
      </c>
      <c r="D119" s="10">
        <v>45383</v>
      </c>
      <c r="E119" s="11">
        <v>24.1</v>
      </c>
      <c r="F119" s="12">
        <v>2000300</v>
      </c>
      <c r="G119">
        <v>5</v>
      </c>
      <c r="H119" s="10">
        <v>45536</v>
      </c>
      <c r="I119" s="10">
        <v>45536</v>
      </c>
      <c r="J119" t="b">
        <v>0</v>
      </c>
      <c r="K119" s="11">
        <v>0.03</v>
      </c>
    </row>
    <row r="120" spans="1:11" x14ac:dyDescent="0.3">
      <c r="A120" t="s">
        <v>165</v>
      </c>
      <c r="B120" t="s">
        <v>42</v>
      </c>
      <c r="C120" t="s">
        <v>43</v>
      </c>
      <c r="D120" s="10">
        <v>45383</v>
      </c>
      <c r="E120" s="11">
        <v>16</v>
      </c>
      <c r="F120" s="12">
        <v>1328000</v>
      </c>
      <c r="G120">
        <v>9</v>
      </c>
      <c r="H120" s="10">
        <v>45658</v>
      </c>
      <c r="I120" s="10">
        <v>45689</v>
      </c>
      <c r="J120" t="b">
        <v>0</v>
      </c>
      <c r="K120" s="11">
        <v>0.55000000000000004</v>
      </c>
    </row>
    <row r="121" spans="1:11" x14ac:dyDescent="0.3">
      <c r="A121" t="s">
        <v>166</v>
      </c>
      <c r="B121" t="s">
        <v>42</v>
      </c>
      <c r="C121" t="s">
        <v>43</v>
      </c>
      <c r="D121" s="10">
        <v>45383</v>
      </c>
      <c r="E121" s="11">
        <v>36</v>
      </c>
      <c r="F121" s="12">
        <v>2988000</v>
      </c>
      <c r="G121">
        <v>8</v>
      </c>
      <c r="H121" s="10">
        <v>45627</v>
      </c>
      <c r="I121" s="10">
        <v>45627</v>
      </c>
      <c r="J121" t="b">
        <v>0</v>
      </c>
      <c r="K121" s="11">
        <v>0.03</v>
      </c>
    </row>
    <row r="122" spans="1:11" x14ac:dyDescent="0.3">
      <c r="A122" t="s">
        <v>167</v>
      </c>
      <c r="B122" t="s">
        <v>42</v>
      </c>
      <c r="C122" t="s">
        <v>43</v>
      </c>
      <c r="D122" s="10">
        <v>45383</v>
      </c>
      <c r="E122" s="11">
        <v>21.5</v>
      </c>
      <c r="F122" s="12">
        <v>1784500</v>
      </c>
      <c r="G122">
        <v>7</v>
      </c>
      <c r="H122" s="10">
        <v>45597</v>
      </c>
      <c r="I122" s="10">
        <v>45658</v>
      </c>
      <c r="J122" t="b">
        <v>0</v>
      </c>
      <c r="K122" s="11">
        <v>1.93</v>
      </c>
    </row>
    <row r="123" spans="1:11" x14ac:dyDescent="0.3">
      <c r="A123" t="s">
        <v>168</v>
      </c>
      <c r="B123" t="s">
        <v>42</v>
      </c>
      <c r="C123" t="s">
        <v>43</v>
      </c>
      <c r="D123" s="10">
        <v>45383</v>
      </c>
      <c r="E123" s="11">
        <v>51.2</v>
      </c>
      <c r="F123" s="12">
        <v>4249600</v>
      </c>
      <c r="G123">
        <v>8</v>
      </c>
      <c r="H123" s="10">
        <v>45627</v>
      </c>
      <c r="I123" s="10">
        <v>45627</v>
      </c>
      <c r="J123" t="b">
        <v>0</v>
      </c>
      <c r="K123" s="11">
        <v>0</v>
      </c>
    </row>
    <row r="124" spans="1:11" x14ac:dyDescent="0.3">
      <c r="A124" t="s">
        <v>169</v>
      </c>
      <c r="B124" t="s">
        <v>42</v>
      </c>
      <c r="C124" t="s">
        <v>43</v>
      </c>
      <c r="D124" s="10">
        <v>45383</v>
      </c>
      <c r="E124" s="11">
        <v>20.6</v>
      </c>
      <c r="F124" s="12">
        <v>1709800</v>
      </c>
      <c r="G124">
        <v>5</v>
      </c>
      <c r="H124" s="10">
        <v>45536</v>
      </c>
      <c r="I124" s="10">
        <v>45536</v>
      </c>
      <c r="J124" t="b">
        <v>0</v>
      </c>
      <c r="K124" s="11">
        <v>0</v>
      </c>
    </row>
    <row r="125" spans="1:11" x14ac:dyDescent="0.3">
      <c r="A125" t="s">
        <v>170</v>
      </c>
      <c r="B125" t="s">
        <v>42</v>
      </c>
      <c r="C125" t="s">
        <v>43</v>
      </c>
      <c r="D125" s="10">
        <v>45383</v>
      </c>
      <c r="E125" s="11">
        <v>22.9</v>
      </c>
      <c r="F125" s="12">
        <v>1900700</v>
      </c>
      <c r="G125">
        <v>8</v>
      </c>
      <c r="H125" s="10">
        <v>45627</v>
      </c>
      <c r="I125" s="10">
        <v>45627</v>
      </c>
      <c r="J125" t="b">
        <v>0</v>
      </c>
      <c r="K125" s="11">
        <v>0.03</v>
      </c>
    </row>
    <row r="126" spans="1:11" x14ac:dyDescent="0.3">
      <c r="A126" t="s">
        <v>171</v>
      </c>
      <c r="B126" t="s">
        <v>42</v>
      </c>
      <c r="C126" t="s">
        <v>43</v>
      </c>
      <c r="D126" s="10">
        <v>45383</v>
      </c>
      <c r="E126" s="11">
        <v>4.0999999999999996</v>
      </c>
      <c r="F126" s="12">
        <v>340299.99999999988</v>
      </c>
      <c r="G126">
        <v>7</v>
      </c>
      <c r="H126" s="10">
        <v>45597</v>
      </c>
      <c r="I126" s="10">
        <v>45597</v>
      </c>
      <c r="J126" t="b">
        <v>0</v>
      </c>
      <c r="K126" s="11">
        <v>0.11</v>
      </c>
    </row>
    <row r="127" spans="1:11" x14ac:dyDescent="0.3">
      <c r="A127" t="s">
        <v>172</v>
      </c>
      <c r="B127" t="s">
        <v>42</v>
      </c>
      <c r="C127" t="s">
        <v>43</v>
      </c>
      <c r="D127" s="10">
        <v>45383</v>
      </c>
      <c r="E127" s="11">
        <v>34.200000000000003</v>
      </c>
      <c r="F127" s="12">
        <v>2838600</v>
      </c>
      <c r="G127">
        <v>9</v>
      </c>
      <c r="H127" s="10">
        <v>45658</v>
      </c>
      <c r="I127" s="10">
        <v>45658</v>
      </c>
      <c r="J127" t="b">
        <v>0</v>
      </c>
      <c r="K127" s="11">
        <v>0.23</v>
      </c>
    </row>
    <row r="128" spans="1:11" x14ac:dyDescent="0.3">
      <c r="A128" t="s">
        <v>173</v>
      </c>
      <c r="B128" t="s">
        <v>42</v>
      </c>
      <c r="C128" t="s">
        <v>43</v>
      </c>
      <c r="D128" s="10">
        <v>45383</v>
      </c>
      <c r="E128" s="11">
        <v>7.1</v>
      </c>
      <c r="F128" s="12">
        <v>589300</v>
      </c>
      <c r="G128">
        <v>5</v>
      </c>
      <c r="H128" s="10">
        <v>45536</v>
      </c>
      <c r="I128" s="10">
        <v>45536</v>
      </c>
      <c r="J128" t="b">
        <v>0</v>
      </c>
      <c r="K128" s="11">
        <v>0.35</v>
      </c>
    </row>
    <row r="129" spans="1:11" x14ac:dyDescent="0.3">
      <c r="A129" t="s">
        <v>174</v>
      </c>
      <c r="B129" t="s">
        <v>42</v>
      </c>
      <c r="C129" t="s">
        <v>43</v>
      </c>
      <c r="D129" s="10">
        <v>45383</v>
      </c>
      <c r="E129" s="11">
        <v>9.4</v>
      </c>
      <c r="F129" s="12">
        <v>780200</v>
      </c>
      <c r="G129">
        <v>5</v>
      </c>
      <c r="H129" s="10">
        <v>45536</v>
      </c>
      <c r="I129" s="10">
        <v>45536</v>
      </c>
      <c r="J129" t="b">
        <v>0</v>
      </c>
      <c r="K129" s="11">
        <v>0.37</v>
      </c>
    </row>
    <row r="130" spans="1:11" x14ac:dyDescent="0.3">
      <c r="A130" t="s">
        <v>175</v>
      </c>
      <c r="B130" t="s">
        <v>42</v>
      </c>
      <c r="C130" t="s">
        <v>43</v>
      </c>
      <c r="D130" s="10">
        <v>45383</v>
      </c>
      <c r="E130" s="11">
        <v>31.1</v>
      </c>
      <c r="F130" s="12">
        <v>2581300</v>
      </c>
      <c r="G130">
        <v>8</v>
      </c>
      <c r="H130" s="10">
        <v>45627</v>
      </c>
      <c r="I130" s="10">
        <v>45658</v>
      </c>
      <c r="J130" t="b">
        <v>0</v>
      </c>
      <c r="K130" s="11">
        <v>1.1399999999999999</v>
      </c>
    </row>
    <row r="131" spans="1:11" x14ac:dyDescent="0.3">
      <c r="A131" t="s">
        <v>176</v>
      </c>
      <c r="B131" t="s">
        <v>42</v>
      </c>
      <c r="C131" t="s">
        <v>43</v>
      </c>
      <c r="D131" s="10">
        <v>45383</v>
      </c>
      <c r="E131" s="11">
        <v>10.4</v>
      </c>
      <c r="F131" s="12">
        <v>863200</v>
      </c>
      <c r="G131">
        <v>9</v>
      </c>
      <c r="H131" s="10">
        <v>45658</v>
      </c>
      <c r="I131" s="10">
        <v>45717</v>
      </c>
      <c r="J131" t="b">
        <v>0</v>
      </c>
      <c r="K131" s="11">
        <v>2.4700000000000002</v>
      </c>
    </row>
    <row r="132" spans="1:11" x14ac:dyDescent="0.3">
      <c r="A132" t="s">
        <v>177</v>
      </c>
      <c r="B132" t="s">
        <v>42</v>
      </c>
      <c r="C132" t="s">
        <v>43</v>
      </c>
      <c r="D132" s="10">
        <v>45383</v>
      </c>
      <c r="E132" s="11">
        <v>8.1</v>
      </c>
      <c r="F132" s="12">
        <v>672300</v>
      </c>
      <c r="G132">
        <v>8</v>
      </c>
      <c r="H132" s="10">
        <v>45627</v>
      </c>
      <c r="I132" s="10">
        <v>45627</v>
      </c>
      <c r="J132" t="b">
        <v>0</v>
      </c>
      <c r="K132" s="11">
        <v>0.1</v>
      </c>
    </row>
    <row r="133" spans="1:11" x14ac:dyDescent="0.3">
      <c r="A133" t="s">
        <v>178</v>
      </c>
      <c r="B133" t="s">
        <v>42</v>
      </c>
      <c r="C133" t="s">
        <v>43</v>
      </c>
      <c r="D133" s="10">
        <v>45383</v>
      </c>
      <c r="E133" s="11">
        <v>2.4</v>
      </c>
      <c r="F133" s="12">
        <v>199200</v>
      </c>
      <c r="G133">
        <v>8</v>
      </c>
      <c r="H133" s="10">
        <v>45627</v>
      </c>
      <c r="I133" s="10">
        <v>45748</v>
      </c>
      <c r="J133" t="b">
        <v>0</v>
      </c>
      <c r="K133" s="11">
        <v>4.41</v>
      </c>
    </row>
    <row r="134" spans="1:11" x14ac:dyDescent="0.3">
      <c r="A134" t="s">
        <v>179</v>
      </c>
      <c r="B134" t="s">
        <v>42</v>
      </c>
      <c r="C134" t="s">
        <v>43</v>
      </c>
      <c r="D134" s="10">
        <v>45383</v>
      </c>
      <c r="E134" s="11">
        <v>23.4</v>
      </c>
      <c r="F134" s="12">
        <v>1942200</v>
      </c>
      <c r="G134">
        <v>9</v>
      </c>
      <c r="H134" s="10">
        <v>45658</v>
      </c>
      <c r="I134" s="10">
        <v>45658</v>
      </c>
      <c r="J134" t="b">
        <v>0</v>
      </c>
      <c r="K134" s="11">
        <v>0</v>
      </c>
    </row>
    <row r="135" spans="1:11" x14ac:dyDescent="0.3">
      <c r="A135" t="s">
        <v>180</v>
      </c>
      <c r="B135" t="s">
        <v>56</v>
      </c>
      <c r="C135" t="s">
        <v>57</v>
      </c>
      <c r="D135" s="10">
        <v>45383</v>
      </c>
      <c r="E135" s="11">
        <v>5.3</v>
      </c>
      <c r="F135" s="12">
        <v>466400</v>
      </c>
      <c r="G135">
        <v>11</v>
      </c>
      <c r="H135" s="10">
        <v>45717</v>
      </c>
      <c r="I135" s="10">
        <v>45717</v>
      </c>
      <c r="J135" t="b">
        <v>0</v>
      </c>
      <c r="K135" s="11">
        <v>0</v>
      </c>
    </row>
    <row r="136" spans="1:11" x14ac:dyDescent="0.3">
      <c r="A136" t="s">
        <v>181</v>
      </c>
      <c r="B136" t="s">
        <v>56</v>
      </c>
      <c r="C136" t="s">
        <v>57</v>
      </c>
      <c r="D136" s="10">
        <v>45383</v>
      </c>
      <c r="E136" s="11">
        <v>5.9</v>
      </c>
      <c r="F136" s="12">
        <v>519200.00000000012</v>
      </c>
      <c r="G136">
        <v>5</v>
      </c>
      <c r="H136" s="10">
        <v>45536</v>
      </c>
      <c r="I136" s="10">
        <v>45658</v>
      </c>
      <c r="J136" t="b">
        <v>0</v>
      </c>
      <c r="K136" s="11">
        <v>3.94</v>
      </c>
    </row>
    <row r="137" spans="1:11" x14ac:dyDescent="0.3">
      <c r="A137" t="s">
        <v>182</v>
      </c>
      <c r="B137" t="s">
        <v>56</v>
      </c>
      <c r="C137" t="s">
        <v>57</v>
      </c>
      <c r="D137" s="10">
        <v>45383</v>
      </c>
      <c r="E137" s="11">
        <v>39.5</v>
      </c>
      <c r="F137" s="12">
        <v>3476000</v>
      </c>
      <c r="G137">
        <v>11</v>
      </c>
      <c r="H137" s="10">
        <v>45717</v>
      </c>
      <c r="I137" s="10">
        <v>45717</v>
      </c>
      <c r="J137" t="b">
        <v>0</v>
      </c>
      <c r="K137" s="11">
        <v>0.41</v>
      </c>
    </row>
    <row r="138" spans="1:11" x14ac:dyDescent="0.3">
      <c r="A138" t="s">
        <v>183</v>
      </c>
      <c r="B138" t="s">
        <v>56</v>
      </c>
      <c r="C138" t="s">
        <v>62</v>
      </c>
      <c r="D138" s="10">
        <v>45383</v>
      </c>
      <c r="E138" s="11">
        <v>15.3</v>
      </c>
      <c r="F138" s="12">
        <v>1239300</v>
      </c>
      <c r="G138">
        <v>6</v>
      </c>
      <c r="H138" s="10">
        <v>45566</v>
      </c>
      <c r="I138" s="10">
        <v>45566</v>
      </c>
      <c r="J138" t="b">
        <v>0</v>
      </c>
      <c r="K138" s="11">
        <v>0.03</v>
      </c>
    </row>
    <row r="139" spans="1:11" x14ac:dyDescent="0.3">
      <c r="A139" t="s">
        <v>184</v>
      </c>
      <c r="B139" t="s">
        <v>65</v>
      </c>
      <c r="C139" t="s">
        <v>66</v>
      </c>
      <c r="D139" s="10">
        <v>45383</v>
      </c>
      <c r="E139" s="11">
        <v>24.8</v>
      </c>
      <c r="F139" s="12">
        <v>1760800</v>
      </c>
      <c r="G139">
        <v>9</v>
      </c>
      <c r="H139" s="10">
        <v>45658</v>
      </c>
      <c r="I139" s="10">
        <v>45778</v>
      </c>
      <c r="J139" t="b">
        <v>0</v>
      </c>
      <c r="K139" s="11">
        <v>3.6</v>
      </c>
    </row>
    <row r="140" spans="1:11" x14ac:dyDescent="0.3">
      <c r="A140" t="s">
        <v>185</v>
      </c>
      <c r="B140" t="s">
        <v>65</v>
      </c>
      <c r="C140" t="s">
        <v>66</v>
      </c>
      <c r="D140" s="10">
        <v>45383</v>
      </c>
      <c r="E140" s="11">
        <v>19.2</v>
      </c>
      <c r="F140" s="12">
        <v>1363200</v>
      </c>
      <c r="G140">
        <v>7</v>
      </c>
      <c r="H140" s="10">
        <v>45597</v>
      </c>
      <c r="I140" s="10">
        <v>45717</v>
      </c>
      <c r="J140" t="b">
        <v>0</v>
      </c>
      <c r="K140" s="11">
        <v>4.1100000000000003</v>
      </c>
    </row>
    <row r="141" spans="1:11" x14ac:dyDescent="0.3">
      <c r="A141" t="s">
        <v>186</v>
      </c>
      <c r="B141" t="s">
        <v>65</v>
      </c>
      <c r="C141" t="s">
        <v>66</v>
      </c>
      <c r="D141" s="10">
        <v>45383</v>
      </c>
      <c r="E141" s="11">
        <v>33</v>
      </c>
      <c r="F141" s="12">
        <v>2343000</v>
      </c>
      <c r="G141">
        <v>10</v>
      </c>
      <c r="H141" s="10">
        <v>45689</v>
      </c>
      <c r="I141" s="10"/>
      <c r="J141" t="b">
        <v>1</v>
      </c>
      <c r="K141" s="11">
        <v>0.02</v>
      </c>
    </row>
    <row r="142" spans="1:11" x14ac:dyDescent="0.3">
      <c r="A142" t="s">
        <v>187</v>
      </c>
      <c r="B142" t="s">
        <v>65</v>
      </c>
      <c r="C142" t="s">
        <v>70</v>
      </c>
      <c r="D142" s="10">
        <v>45383</v>
      </c>
      <c r="E142" s="11">
        <v>10.8</v>
      </c>
      <c r="F142" s="12">
        <v>907200</v>
      </c>
      <c r="G142">
        <v>8</v>
      </c>
      <c r="H142" s="10">
        <v>45627</v>
      </c>
      <c r="I142" s="10">
        <v>45658</v>
      </c>
      <c r="J142" t="b">
        <v>0</v>
      </c>
      <c r="K142" s="11">
        <v>0.85</v>
      </c>
    </row>
    <row r="143" spans="1:11" x14ac:dyDescent="0.3">
      <c r="A143" t="s">
        <v>188</v>
      </c>
      <c r="B143" t="s">
        <v>72</v>
      </c>
      <c r="C143" t="s">
        <v>72</v>
      </c>
      <c r="D143" s="10">
        <v>45383</v>
      </c>
      <c r="E143" s="11">
        <v>70.900000000000006</v>
      </c>
      <c r="F143" s="12">
        <v>5601100</v>
      </c>
      <c r="G143">
        <v>5</v>
      </c>
      <c r="H143" s="10">
        <v>45536</v>
      </c>
      <c r="I143" s="10">
        <v>45597</v>
      </c>
      <c r="J143" t="b">
        <v>0</v>
      </c>
      <c r="K143" s="11">
        <v>1.55</v>
      </c>
    </row>
    <row r="144" spans="1:11" x14ac:dyDescent="0.3">
      <c r="A144" t="s">
        <v>189</v>
      </c>
      <c r="B144" t="s">
        <v>72</v>
      </c>
      <c r="C144" t="s">
        <v>72</v>
      </c>
      <c r="D144" s="10">
        <v>45383</v>
      </c>
      <c r="E144" s="11">
        <v>4.5999999999999996</v>
      </c>
      <c r="F144" s="12">
        <v>363400</v>
      </c>
      <c r="G144">
        <v>10</v>
      </c>
      <c r="H144" s="10">
        <v>45689</v>
      </c>
      <c r="I144" s="10"/>
      <c r="J144" t="b">
        <v>1</v>
      </c>
      <c r="K144" s="11">
        <v>0.95</v>
      </c>
    </row>
    <row r="145" spans="1:11" x14ac:dyDescent="0.3">
      <c r="A145" t="s">
        <v>190</v>
      </c>
      <c r="B145" t="s">
        <v>42</v>
      </c>
      <c r="C145" t="s">
        <v>43</v>
      </c>
      <c r="D145" s="10">
        <v>45413</v>
      </c>
      <c r="E145" s="11">
        <v>10</v>
      </c>
      <c r="F145" s="12">
        <v>830000</v>
      </c>
      <c r="G145">
        <v>6</v>
      </c>
      <c r="H145" s="10">
        <v>45597</v>
      </c>
      <c r="I145" s="10">
        <v>45597</v>
      </c>
      <c r="J145" t="b">
        <v>0</v>
      </c>
      <c r="K145" s="11">
        <v>0.44</v>
      </c>
    </row>
    <row r="146" spans="1:11" x14ac:dyDescent="0.3">
      <c r="A146" t="s">
        <v>191</v>
      </c>
      <c r="B146" t="s">
        <v>42</v>
      </c>
      <c r="C146" t="s">
        <v>43</v>
      </c>
      <c r="D146" s="10">
        <v>45413</v>
      </c>
      <c r="E146" s="11">
        <v>9</v>
      </c>
      <c r="F146" s="12">
        <v>747000</v>
      </c>
      <c r="G146">
        <v>6</v>
      </c>
      <c r="H146" s="10">
        <v>45597</v>
      </c>
      <c r="I146" s="10">
        <v>45778</v>
      </c>
      <c r="J146" t="b">
        <v>0</v>
      </c>
      <c r="K146" s="11">
        <v>6.26</v>
      </c>
    </row>
    <row r="147" spans="1:11" x14ac:dyDescent="0.3">
      <c r="A147" t="s">
        <v>192</v>
      </c>
      <c r="B147" t="s">
        <v>42</v>
      </c>
      <c r="C147" t="s">
        <v>43</v>
      </c>
      <c r="D147" s="10">
        <v>45413</v>
      </c>
      <c r="E147" s="11">
        <v>98.4</v>
      </c>
      <c r="F147" s="12">
        <v>8167200.0000000009</v>
      </c>
      <c r="G147">
        <v>7</v>
      </c>
      <c r="H147" s="10">
        <v>45627</v>
      </c>
      <c r="I147" s="10">
        <v>45658</v>
      </c>
      <c r="J147" t="b">
        <v>0</v>
      </c>
      <c r="K147" s="11">
        <v>0.55000000000000004</v>
      </c>
    </row>
    <row r="148" spans="1:11" x14ac:dyDescent="0.3">
      <c r="A148" t="s">
        <v>193</v>
      </c>
      <c r="B148" t="s">
        <v>42</v>
      </c>
      <c r="C148" t="s">
        <v>43</v>
      </c>
      <c r="D148" s="10">
        <v>45413</v>
      </c>
      <c r="E148" s="11">
        <v>15.6</v>
      </c>
      <c r="F148" s="12">
        <v>1294800</v>
      </c>
      <c r="G148">
        <v>11</v>
      </c>
      <c r="H148" s="10">
        <v>45748</v>
      </c>
      <c r="I148" s="10">
        <v>45748</v>
      </c>
      <c r="J148" t="b">
        <v>0</v>
      </c>
      <c r="K148" s="11">
        <v>7.0000000000000007E-2</v>
      </c>
    </row>
    <row r="149" spans="1:11" x14ac:dyDescent="0.3">
      <c r="A149" t="s">
        <v>194</v>
      </c>
      <c r="B149" t="s">
        <v>42</v>
      </c>
      <c r="C149" t="s">
        <v>43</v>
      </c>
      <c r="D149" s="10">
        <v>45413</v>
      </c>
      <c r="E149" s="11">
        <v>4.2</v>
      </c>
      <c r="F149" s="12">
        <v>348600</v>
      </c>
      <c r="G149">
        <v>6</v>
      </c>
      <c r="H149" s="10">
        <v>45597</v>
      </c>
      <c r="I149" s="10">
        <v>45658</v>
      </c>
      <c r="J149" t="b">
        <v>0</v>
      </c>
      <c r="K149" s="11">
        <v>1.75</v>
      </c>
    </row>
    <row r="150" spans="1:11" x14ac:dyDescent="0.3">
      <c r="A150" t="s">
        <v>195</v>
      </c>
      <c r="B150" t="s">
        <v>42</v>
      </c>
      <c r="C150" t="s">
        <v>43</v>
      </c>
      <c r="D150" s="10">
        <v>45413</v>
      </c>
      <c r="E150" s="11">
        <v>16.399999999999999</v>
      </c>
      <c r="F150" s="12">
        <v>1361200</v>
      </c>
      <c r="G150">
        <v>9</v>
      </c>
      <c r="H150" s="10">
        <v>45689</v>
      </c>
      <c r="I150" s="10">
        <v>45717</v>
      </c>
      <c r="J150" t="b">
        <v>0</v>
      </c>
      <c r="K150" s="11">
        <v>0.52</v>
      </c>
    </row>
    <row r="151" spans="1:11" x14ac:dyDescent="0.3">
      <c r="A151" t="s">
        <v>196</v>
      </c>
      <c r="B151" t="s">
        <v>42</v>
      </c>
      <c r="C151" t="s">
        <v>43</v>
      </c>
      <c r="D151" s="10">
        <v>45413</v>
      </c>
      <c r="E151" s="11">
        <v>8.6</v>
      </c>
      <c r="F151" s="12">
        <v>713800</v>
      </c>
      <c r="G151">
        <v>10</v>
      </c>
      <c r="H151" s="10">
        <v>45717</v>
      </c>
      <c r="I151" s="10">
        <v>45717</v>
      </c>
      <c r="J151" t="b">
        <v>0</v>
      </c>
      <c r="K151" s="11">
        <v>0</v>
      </c>
    </row>
    <row r="152" spans="1:11" x14ac:dyDescent="0.3">
      <c r="A152" t="s">
        <v>197</v>
      </c>
      <c r="B152" t="s">
        <v>42</v>
      </c>
      <c r="C152" t="s">
        <v>43</v>
      </c>
      <c r="D152" s="10">
        <v>45413</v>
      </c>
      <c r="E152" s="11">
        <v>10.4</v>
      </c>
      <c r="F152" s="12">
        <v>863200</v>
      </c>
      <c r="G152">
        <v>10</v>
      </c>
      <c r="H152" s="10">
        <v>45717</v>
      </c>
      <c r="I152" s="10">
        <v>45717</v>
      </c>
      <c r="J152" t="b">
        <v>0</v>
      </c>
      <c r="K152" s="11">
        <v>0.01</v>
      </c>
    </row>
    <row r="153" spans="1:11" x14ac:dyDescent="0.3">
      <c r="A153" t="s">
        <v>198</v>
      </c>
      <c r="B153" t="s">
        <v>42</v>
      </c>
      <c r="C153" t="s">
        <v>43</v>
      </c>
      <c r="D153" s="10">
        <v>45413</v>
      </c>
      <c r="E153" s="11">
        <v>9.1999999999999993</v>
      </c>
      <c r="F153" s="12">
        <v>763599.99999999988</v>
      </c>
      <c r="G153">
        <v>11</v>
      </c>
      <c r="H153" s="10">
        <v>45748</v>
      </c>
      <c r="I153" s="10">
        <v>45748</v>
      </c>
      <c r="J153" t="b">
        <v>0</v>
      </c>
      <c r="K153" s="11">
        <v>0.11</v>
      </c>
    </row>
    <row r="154" spans="1:11" x14ac:dyDescent="0.3">
      <c r="A154" t="s">
        <v>199</v>
      </c>
      <c r="B154" t="s">
        <v>42</v>
      </c>
      <c r="C154" t="s">
        <v>43</v>
      </c>
      <c r="D154" s="10">
        <v>45413</v>
      </c>
      <c r="E154" s="11">
        <v>22.5</v>
      </c>
      <c r="F154" s="12">
        <v>1867500</v>
      </c>
      <c r="G154">
        <v>11</v>
      </c>
      <c r="H154" s="10">
        <v>45748</v>
      </c>
      <c r="I154" s="10">
        <v>45748</v>
      </c>
      <c r="J154" t="b">
        <v>0</v>
      </c>
      <c r="K154" s="11">
        <v>0.08</v>
      </c>
    </row>
    <row r="155" spans="1:11" x14ac:dyDescent="0.3">
      <c r="A155" t="s">
        <v>200</v>
      </c>
      <c r="B155" t="s">
        <v>42</v>
      </c>
      <c r="C155" t="s">
        <v>43</v>
      </c>
      <c r="D155" s="10">
        <v>45413</v>
      </c>
      <c r="E155" s="11">
        <v>12.3</v>
      </c>
      <c r="F155" s="12">
        <v>1020900</v>
      </c>
      <c r="G155">
        <v>6</v>
      </c>
      <c r="H155" s="10">
        <v>45597</v>
      </c>
      <c r="I155" s="10">
        <v>45627</v>
      </c>
      <c r="J155" t="b">
        <v>0</v>
      </c>
      <c r="K155" s="11">
        <v>0.85</v>
      </c>
    </row>
    <row r="156" spans="1:11" x14ac:dyDescent="0.3">
      <c r="A156" t="s">
        <v>201</v>
      </c>
      <c r="B156" t="s">
        <v>42</v>
      </c>
      <c r="C156" t="s">
        <v>43</v>
      </c>
      <c r="D156" s="10">
        <v>45413</v>
      </c>
      <c r="E156" s="11">
        <v>3</v>
      </c>
      <c r="F156" s="12">
        <v>249000</v>
      </c>
      <c r="G156">
        <v>8</v>
      </c>
      <c r="H156" s="10">
        <v>45658</v>
      </c>
      <c r="I156" s="10">
        <v>45658</v>
      </c>
      <c r="J156" t="b">
        <v>0</v>
      </c>
      <c r="K156" s="11">
        <v>0</v>
      </c>
    </row>
    <row r="157" spans="1:11" x14ac:dyDescent="0.3">
      <c r="A157" t="s">
        <v>202</v>
      </c>
      <c r="B157" t="s">
        <v>42</v>
      </c>
      <c r="C157" t="s">
        <v>43</v>
      </c>
      <c r="D157" s="10">
        <v>45413</v>
      </c>
      <c r="E157" s="11">
        <v>15.9</v>
      </c>
      <c r="F157" s="12">
        <v>1319700</v>
      </c>
      <c r="G157">
        <v>10</v>
      </c>
      <c r="H157" s="10">
        <v>45717</v>
      </c>
      <c r="I157" s="10">
        <v>45839</v>
      </c>
      <c r="J157" t="b">
        <v>0</v>
      </c>
      <c r="K157" s="11">
        <v>3.74</v>
      </c>
    </row>
    <row r="158" spans="1:11" x14ac:dyDescent="0.3">
      <c r="A158" t="s">
        <v>203</v>
      </c>
      <c r="B158" t="s">
        <v>42</v>
      </c>
      <c r="C158" t="s">
        <v>43</v>
      </c>
      <c r="D158" s="10">
        <v>45413</v>
      </c>
      <c r="E158" s="11">
        <v>24.6</v>
      </c>
      <c r="F158" s="12">
        <v>2041800</v>
      </c>
      <c r="G158">
        <v>7</v>
      </c>
      <c r="H158" s="10">
        <v>45627</v>
      </c>
      <c r="I158" s="10">
        <v>45627</v>
      </c>
      <c r="J158" t="b">
        <v>0</v>
      </c>
      <c r="K158" s="11">
        <v>0</v>
      </c>
    </row>
    <row r="159" spans="1:11" x14ac:dyDescent="0.3">
      <c r="A159" t="s">
        <v>204</v>
      </c>
      <c r="B159" t="s">
        <v>42</v>
      </c>
      <c r="C159" t="s">
        <v>43</v>
      </c>
      <c r="D159" s="10">
        <v>45413</v>
      </c>
      <c r="E159" s="11">
        <v>40</v>
      </c>
      <c r="F159" s="12">
        <v>3320000</v>
      </c>
      <c r="G159">
        <v>10</v>
      </c>
      <c r="H159" s="10">
        <v>45717</v>
      </c>
      <c r="I159" s="10">
        <v>45717</v>
      </c>
      <c r="J159" t="b">
        <v>0</v>
      </c>
      <c r="K159" s="11">
        <v>0.02</v>
      </c>
    </row>
    <row r="160" spans="1:11" x14ac:dyDescent="0.3">
      <c r="A160" t="s">
        <v>205</v>
      </c>
      <c r="B160" t="s">
        <v>42</v>
      </c>
      <c r="C160" t="s">
        <v>43</v>
      </c>
      <c r="D160" s="10">
        <v>45413</v>
      </c>
      <c r="E160" s="11">
        <v>4.0999999999999996</v>
      </c>
      <c r="F160" s="12">
        <v>340299.99999999988</v>
      </c>
      <c r="G160">
        <v>8</v>
      </c>
      <c r="H160" s="10">
        <v>45658</v>
      </c>
      <c r="I160" s="10">
        <v>45717</v>
      </c>
      <c r="J160" t="b">
        <v>0</v>
      </c>
      <c r="K160" s="11">
        <v>2.13</v>
      </c>
    </row>
    <row r="161" spans="1:11" x14ac:dyDescent="0.3">
      <c r="A161" t="s">
        <v>206</v>
      </c>
      <c r="B161" t="s">
        <v>42</v>
      </c>
      <c r="C161" t="s">
        <v>43</v>
      </c>
      <c r="D161" s="10">
        <v>45413</v>
      </c>
      <c r="E161" s="11">
        <v>30.7</v>
      </c>
      <c r="F161" s="12">
        <v>2548100</v>
      </c>
      <c r="G161">
        <v>8</v>
      </c>
      <c r="H161" s="10">
        <v>45658</v>
      </c>
      <c r="I161" s="10">
        <v>45658</v>
      </c>
      <c r="J161" t="b">
        <v>0</v>
      </c>
      <c r="K161" s="11">
        <v>0.05</v>
      </c>
    </row>
    <row r="162" spans="1:11" x14ac:dyDescent="0.3">
      <c r="A162" t="s">
        <v>207</v>
      </c>
      <c r="B162" t="s">
        <v>42</v>
      </c>
      <c r="C162" t="s">
        <v>43</v>
      </c>
      <c r="D162" s="10">
        <v>45413</v>
      </c>
      <c r="E162" s="11">
        <v>21.6</v>
      </c>
      <c r="F162" s="12">
        <v>1792800</v>
      </c>
      <c r="G162">
        <v>8</v>
      </c>
      <c r="H162" s="10">
        <v>45658</v>
      </c>
      <c r="I162" s="10">
        <v>45717</v>
      </c>
      <c r="J162" t="b">
        <v>0</v>
      </c>
      <c r="K162" s="11">
        <v>1.73</v>
      </c>
    </row>
    <row r="163" spans="1:11" x14ac:dyDescent="0.3">
      <c r="A163" t="s">
        <v>208</v>
      </c>
      <c r="B163" t="s">
        <v>42</v>
      </c>
      <c r="C163" t="s">
        <v>43</v>
      </c>
      <c r="D163" s="10">
        <v>45413</v>
      </c>
      <c r="E163" s="11">
        <v>26.3</v>
      </c>
      <c r="F163" s="12">
        <v>2182900</v>
      </c>
      <c r="G163">
        <v>9</v>
      </c>
      <c r="H163" s="10">
        <v>45689</v>
      </c>
      <c r="I163" s="10">
        <v>45839</v>
      </c>
      <c r="J163" t="b">
        <v>0</v>
      </c>
      <c r="K163" s="11">
        <v>5.19</v>
      </c>
    </row>
    <row r="164" spans="1:11" x14ac:dyDescent="0.3">
      <c r="A164" t="s">
        <v>209</v>
      </c>
      <c r="B164" t="s">
        <v>42</v>
      </c>
      <c r="C164" t="s">
        <v>43</v>
      </c>
      <c r="D164" s="10">
        <v>45413</v>
      </c>
      <c r="E164" s="11">
        <v>15.4</v>
      </c>
      <c r="F164" s="12">
        <v>1278200</v>
      </c>
      <c r="G164">
        <v>9</v>
      </c>
      <c r="H164" s="10">
        <v>45689</v>
      </c>
      <c r="I164" s="10">
        <v>45689</v>
      </c>
      <c r="J164" t="b">
        <v>0</v>
      </c>
      <c r="K164" s="11">
        <v>0</v>
      </c>
    </row>
    <row r="165" spans="1:11" x14ac:dyDescent="0.3">
      <c r="A165" t="s">
        <v>210</v>
      </c>
      <c r="B165" t="s">
        <v>42</v>
      </c>
      <c r="C165" t="s">
        <v>43</v>
      </c>
      <c r="D165" s="10">
        <v>45413</v>
      </c>
      <c r="E165" s="11">
        <v>5.7</v>
      </c>
      <c r="F165" s="12">
        <v>473100</v>
      </c>
      <c r="G165">
        <v>10</v>
      </c>
      <c r="H165" s="10">
        <v>45717</v>
      </c>
      <c r="I165" s="10">
        <v>45717</v>
      </c>
      <c r="J165" t="b">
        <v>0</v>
      </c>
      <c r="K165" s="11">
        <v>0.26</v>
      </c>
    </row>
    <row r="166" spans="1:11" x14ac:dyDescent="0.3">
      <c r="A166" t="s">
        <v>211</v>
      </c>
      <c r="B166" t="s">
        <v>42</v>
      </c>
      <c r="C166" t="s">
        <v>43</v>
      </c>
      <c r="D166" s="10">
        <v>45413</v>
      </c>
      <c r="E166" s="11">
        <v>24.9</v>
      </c>
      <c r="F166" s="12">
        <v>2066700</v>
      </c>
      <c r="G166">
        <v>5</v>
      </c>
      <c r="H166" s="10">
        <v>45566</v>
      </c>
      <c r="I166" s="10">
        <v>45627</v>
      </c>
      <c r="J166" t="b">
        <v>0</v>
      </c>
      <c r="K166" s="11">
        <v>1.74</v>
      </c>
    </row>
    <row r="167" spans="1:11" x14ac:dyDescent="0.3">
      <c r="A167" t="s">
        <v>212</v>
      </c>
      <c r="B167" t="s">
        <v>42</v>
      </c>
      <c r="C167" t="s">
        <v>43</v>
      </c>
      <c r="D167" s="10">
        <v>45413</v>
      </c>
      <c r="E167" s="11">
        <v>10.199999999999999</v>
      </c>
      <c r="F167" s="12">
        <v>846599.99999999988</v>
      </c>
      <c r="G167">
        <v>5</v>
      </c>
      <c r="H167" s="10">
        <v>45566</v>
      </c>
      <c r="I167" s="10">
        <v>45597</v>
      </c>
      <c r="J167" t="b">
        <v>0</v>
      </c>
      <c r="K167" s="11">
        <v>0.52</v>
      </c>
    </row>
    <row r="168" spans="1:11" x14ac:dyDescent="0.3">
      <c r="A168" t="s">
        <v>213</v>
      </c>
      <c r="B168" t="s">
        <v>42</v>
      </c>
      <c r="C168" t="s">
        <v>43</v>
      </c>
      <c r="D168" s="10">
        <v>45413</v>
      </c>
      <c r="E168" s="11">
        <v>18.100000000000001</v>
      </c>
      <c r="F168" s="12">
        <v>1502300</v>
      </c>
      <c r="G168">
        <v>10</v>
      </c>
      <c r="H168" s="10">
        <v>45717</v>
      </c>
      <c r="I168" s="10">
        <v>45717</v>
      </c>
      <c r="J168" t="b">
        <v>0</v>
      </c>
      <c r="K168" s="11">
        <v>0.45</v>
      </c>
    </row>
    <row r="169" spans="1:11" x14ac:dyDescent="0.3">
      <c r="A169" t="s">
        <v>214</v>
      </c>
      <c r="B169" t="s">
        <v>42</v>
      </c>
      <c r="C169" t="s">
        <v>43</v>
      </c>
      <c r="D169" s="10">
        <v>45413</v>
      </c>
      <c r="E169" s="11">
        <v>41.9</v>
      </c>
      <c r="F169" s="12">
        <v>3477700</v>
      </c>
      <c r="G169">
        <v>7</v>
      </c>
      <c r="H169" s="10">
        <v>45627</v>
      </c>
      <c r="I169" s="10">
        <v>45627</v>
      </c>
      <c r="J169" t="b">
        <v>0</v>
      </c>
      <c r="K169" s="11">
        <v>0.04</v>
      </c>
    </row>
    <row r="170" spans="1:11" x14ac:dyDescent="0.3">
      <c r="A170" t="s">
        <v>215</v>
      </c>
      <c r="B170" t="s">
        <v>56</v>
      </c>
      <c r="C170" t="s">
        <v>57</v>
      </c>
      <c r="D170" s="10">
        <v>45413</v>
      </c>
      <c r="E170" s="11">
        <v>23.3</v>
      </c>
      <c r="F170" s="12">
        <v>2050400</v>
      </c>
      <c r="G170">
        <v>10</v>
      </c>
      <c r="H170" s="10">
        <v>45717</v>
      </c>
      <c r="I170" s="10">
        <v>45748</v>
      </c>
      <c r="J170" t="b">
        <v>0</v>
      </c>
      <c r="K170" s="11">
        <v>1.42</v>
      </c>
    </row>
    <row r="171" spans="1:11" x14ac:dyDescent="0.3">
      <c r="A171" t="s">
        <v>216</v>
      </c>
      <c r="B171" t="s">
        <v>56</v>
      </c>
      <c r="C171" t="s">
        <v>62</v>
      </c>
      <c r="D171" s="10">
        <v>45413</v>
      </c>
      <c r="E171" s="11">
        <v>5.9</v>
      </c>
      <c r="F171" s="12">
        <v>477900</v>
      </c>
      <c r="G171">
        <v>7</v>
      </c>
      <c r="H171" s="10">
        <v>45627</v>
      </c>
      <c r="I171" s="10">
        <v>45778</v>
      </c>
      <c r="J171" t="b">
        <v>0</v>
      </c>
      <c r="K171" s="11">
        <v>4.78</v>
      </c>
    </row>
    <row r="172" spans="1:11" x14ac:dyDescent="0.3">
      <c r="A172" t="s">
        <v>217</v>
      </c>
      <c r="B172" t="s">
        <v>65</v>
      </c>
      <c r="C172" t="s">
        <v>70</v>
      </c>
      <c r="D172" s="10">
        <v>45413</v>
      </c>
      <c r="E172" s="11">
        <v>20.5</v>
      </c>
      <c r="F172" s="12">
        <v>1722000</v>
      </c>
      <c r="G172">
        <v>6</v>
      </c>
      <c r="H172" s="10">
        <v>45597</v>
      </c>
      <c r="I172" s="10">
        <v>45627</v>
      </c>
      <c r="J172" t="b">
        <v>0</v>
      </c>
      <c r="K172" s="11">
        <v>0.54</v>
      </c>
    </row>
    <row r="173" spans="1:11" x14ac:dyDescent="0.3">
      <c r="A173" t="s">
        <v>218</v>
      </c>
      <c r="B173" t="s">
        <v>72</v>
      </c>
      <c r="C173" t="s">
        <v>72</v>
      </c>
      <c r="D173" s="10">
        <v>45413</v>
      </c>
      <c r="E173" s="11">
        <v>9.1999999999999993</v>
      </c>
      <c r="F173" s="12">
        <v>726800</v>
      </c>
      <c r="G173">
        <v>8</v>
      </c>
      <c r="H173" s="10">
        <v>45658</v>
      </c>
      <c r="I173" s="10"/>
      <c r="J173" t="b">
        <v>1</v>
      </c>
      <c r="K173" s="11">
        <v>0.57999999999999996</v>
      </c>
    </row>
    <row r="174" spans="1:11" x14ac:dyDescent="0.3">
      <c r="A174" t="s">
        <v>219</v>
      </c>
      <c r="B174" t="s">
        <v>72</v>
      </c>
      <c r="C174" t="s">
        <v>72</v>
      </c>
      <c r="D174" s="10">
        <v>45413</v>
      </c>
      <c r="E174" s="11">
        <v>11.2</v>
      </c>
      <c r="F174" s="12">
        <v>884800</v>
      </c>
      <c r="G174">
        <v>8</v>
      </c>
      <c r="H174" s="10">
        <v>45658</v>
      </c>
      <c r="I174" s="10">
        <v>45689</v>
      </c>
      <c r="J174" t="b">
        <v>0</v>
      </c>
      <c r="K174" s="11">
        <v>0.82</v>
      </c>
    </row>
    <row r="175" spans="1:11" x14ac:dyDescent="0.3">
      <c r="A175" t="s">
        <v>220</v>
      </c>
      <c r="B175" t="s">
        <v>72</v>
      </c>
      <c r="C175" t="s">
        <v>72</v>
      </c>
      <c r="D175" s="10">
        <v>45413</v>
      </c>
      <c r="E175" s="11">
        <v>4.4000000000000004</v>
      </c>
      <c r="F175" s="12">
        <v>347600</v>
      </c>
      <c r="G175">
        <v>5</v>
      </c>
      <c r="H175" s="10">
        <v>45566</v>
      </c>
      <c r="I175" s="10">
        <v>45597</v>
      </c>
      <c r="J175" t="b">
        <v>0</v>
      </c>
      <c r="K175" s="11">
        <v>0.57999999999999996</v>
      </c>
    </row>
    <row r="176" spans="1:11" x14ac:dyDescent="0.3">
      <c r="A176" t="s">
        <v>221</v>
      </c>
      <c r="B176" t="s">
        <v>72</v>
      </c>
      <c r="C176" t="s">
        <v>72</v>
      </c>
      <c r="D176" s="10">
        <v>45413</v>
      </c>
      <c r="E176" s="11">
        <v>8.9</v>
      </c>
      <c r="F176" s="12">
        <v>703100</v>
      </c>
      <c r="G176">
        <v>8</v>
      </c>
      <c r="H176" s="10">
        <v>45658</v>
      </c>
      <c r="I176" s="10">
        <v>45689</v>
      </c>
      <c r="J176" t="b">
        <v>0</v>
      </c>
      <c r="K176" s="11">
        <v>1.04</v>
      </c>
    </row>
    <row r="177" spans="1:11" x14ac:dyDescent="0.3">
      <c r="A177" t="s">
        <v>222</v>
      </c>
      <c r="B177" t="s">
        <v>72</v>
      </c>
      <c r="C177" t="s">
        <v>72</v>
      </c>
      <c r="D177" s="10">
        <v>45413</v>
      </c>
      <c r="E177" s="11">
        <v>15.6</v>
      </c>
      <c r="F177" s="12">
        <v>1232400</v>
      </c>
      <c r="G177">
        <v>11</v>
      </c>
      <c r="H177" s="10">
        <v>45748</v>
      </c>
      <c r="I177" s="10">
        <v>45901</v>
      </c>
      <c r="J177" t="b">
        <v>0</v>
      </c>
      <c r="K177" s="11">
        <v>4.6500000000000004</v>
      </c>
    </row>
    <row r="178" spans="1:11" x14ac:dyDescent="0.3">
      <c r="A178" t="s">
        <v>223</v>
      </c>
      <c r="B178" t="s">
        <v>42</v>
      </c>
      <c r="C178" t="s">
        <v>43</v>
      </c>
      <c r="D178" s="10">
        <v>45444</v>
      </c>
      <c r="E178" s="11">
        <v>38.200000000000003</v>
      </c>
      <c r="F178" s="12">
        <v>3170600</v>
      </c>
      <c r="G178">
        <v>5</v>
      </c>
      <c r="H178" s="10">
        <v>45597</v>
      </c>
      <c r="I178" s="10">
        <v>45627</v>
      </c>
      <c r="J178" t="b">
        <v>0</v>
      </c>
      <c r="K178" s="11">
        <v>0.76</v>
      </c>
    </row>
    <row r="179" spans="1:11" x14ac:dyDescent="0.3">
      <c r="A179" t="s">
        <v>224</v>
      </c>
      <c r="B179" t="s">
        <v>42</v>
      </c>
      <c r="C179" t="s">
        <v>43</v>
      </c>
      <c r="D179" s="10">
        <v>45444</v>
      </c>
      <c r="E179" s="11">
        <v>14.6</v>
      </c>
      <c r="F179" s="12">
        <v>1211800</v>
      </c>
      <c r="G179">
        <v>6</v>
      </c>
      <c r="H179" s="10">
        <v>45627</v>
      </c>
      <c r="I179" s="10">
        <v>45658</v>
      </c>
      <c r="J179" t="b">
        <v>0</v>
      </c>
      <c r="K179" s="11">
        <v>0.77</v>
      </c>
    </row>
    <row r="180" spans="1:11" x14ac:dyDescent="0.3">
      <c r="A180" t="s">
        <v>225</v>
      </c>
      <c r="B180" t="s">
        <v>42</v>
      </c>
      <c r="C180" t="s">
        <v>43</v>
      </c>
      <c r="D180" s="10">
        <v>45444</v>
      </c>
      <c r="E180" s="11">
        <v>7</v>
      </c>
      <c r="F180" s="12">
        <v>581000</v>
      </c>
      <c r="G180">
        <v>5</v>
      </c>
      <c r="H180" s="10">
        <v>45597</v>
      </c>
      <c r="I180" s="10">
        <v>45597</v>
      </c>
      <c r="J180" t="b">
        <v>0</v>
      </c>
      <c r="K180" s="11">
        <v>0.09</v>
      </c>
    </row>
    <row r="181" spans="1:11" x14ac:dyDescent="0.3">
      <c r="A181" t="s">
        <v>226</v>
      </c>
      <c r="B181" t="s">
        <v>42</v>
      </c>
      <c r="C181" t="s">
        <v>43</v>
      </c>
      <c r="D181" s="10">
        <v>45444</v>
      </c>
      <c r="E181" s="11">
        <v>5.9</v>
      </c>
      <c r="F181" s="12">
        <v>489700.00000000012</v>
      </c>
      <c r="G181">
        <v>9</v>
      </c>
      <c r="H181" s="10">
        <v>45717</v>
      </c>
      <c r="I181" s="10">
        <v>45748</v>
      </c>
      <c r="J181" t="b">
        <v>0</v>
      </c>
      <c r="K181" s="11">
        <v>0.84</v>
      </c>
    </row>
    <row r="182" spans="1:11" x14ac:dyDescent="0.3">
      <c r="A182" t="s">
        <v>227</v>
      </c>
      <c r="B182" t="s">
        <v>42</v>
      </c>
      <c r="C182" t="s">
        <v>43</v>
      </c>
      <c r="D182" s="10">
        <v>45444</v>
      </c>
      <c r="E182" s="11">
        <v>28.3</v>
      </c>
      <c r="F182" s="12">
        <v>2348900</v>
      </c>
      <c r="G182">
        <v>6</v>
      </c>
      <c r="H182" s="10">
        <v>45627</v>
      </c>
      <c r="I182" s="10">
        <v>45627</v>
      </c>
      <c r="J182" t="b">
        <v>0</v>
      </c>
      <c r="K182" s="11">
        <v>0</v>
      </c>
    </row>
    <row r="183" spans="1:11" x14ac:dyDescent="0.3">
      <c r="A183" t="s">
        <v>228</v>
      </c>
      <c r="B183" t="s">
        <v>42</v>
      </c>
      <c r="C183" t="s">
        <v>43</v>
      </c>
      <c r="D183" s="10">
        <v>45444</v>
      </c>
      <c r="E183" s="11">
        <v>12.8</v>
      </c>
      <c r="F183" s="12">
        <v>1062400</v>
      </c>
      <c r="G183">
        <v>5</v>
      </c>
      <c r="H183" s="10">
        <v>45597</v>
      </c>
      <c r="I183" s="10">
        <v>45627</v>
      </c>
      <c r="J183" t="b">
        <v>0</v>
      </c>
      <c r="K183" s="11">
        <v>0.99</v>
      </c>
    </row>
    <row r="184" spans="1:11" x14ac:dyDescent="0.3">
      <c r="A184" t="s">
        <v>229</v>
      </c>
      <c r="B184" t="s">
        <v>42</v>
      </c>
      <c r="C184" t="s">
        <v>43</v>
      </c>
      <c r="D184" s="10">
        <v>45444</v>
      </c>
      <c r="E184" s="11">
        <v>8.1999999999999993</v>
      </c>
      <c r="F184" s="12">
        <v>680599.99999999988</v>
      </c>
      <c r="G184">
        <v>6</v>
      </c>
      <c r="H184" s="10">
        <v>45627</v>
      </c>
      <c r="I184" s="10">
        <v>45627</v>
      </c>
      <c r="J184" t="b">
        <v>0</v>
      </c>
      <c r="K184" s="11">
        <v>0</v>
      </c>
    </row>
    <row r="185" spans="1:11" x14ac:dyDescent="0.3">
      <c r="A185" t="s">
        <v>230</v>
      </c>
      <c r="B185" t="s">
        <v>42</v>
      </c>
      <c r="C185" t="s">
        <v>43</v>
      </c>
      <c r="D185" s="10">
        <v>45444</v>
      </c>
      <c r="E185" s="11">
        <v>11.5</v>
      </c>
      <c r="F185" s="12">
        <v>954500</v>
      </c>
      <c r="G185">
        <v>6</v>
      </c>
      <c r="H185" s="10">
        <v>45627</v>
      </c>
      <c r="I185" s="10">
        <v>45627</v>
      </c>
      <c r="J185" t="b">
        <v>0</v>
      </c>
      <c r="K185" s="11">
        <v>0.06</v>
      </c>
    </row>
    <row r="186" spans="1:11" x14ac:dyDescent="0.3">
      <c r="A186" t="s">
        <v>231</v>
      </c>
      <c r="B186" t="s">
        <v>42</v>
      </c>
      <c r="C186" t="s">
        <v>43</v>
      </c>
      <c r="D186" s="10">
        <v>45444</v>
      </c>
      <c r="E186" s="11">
        <v>7.8</v>
      </c>
      <c r="F186" s="12">
        <v>647400</v>
      </c>
      <c r="G186">
        <v>6</v>
      </c>
      <c r="H186" s="10">
        <v>45627</v>
      </c>
      <c r="I186" s="10">
        <v>45627</v>
      </c>
      <c r="J186" t="b">
        <v>0</v>
      </c>
      <c r="K186" s="11">
        <v>0</v>
      </c>
    </row>
    <row r="187" spans="1:11" x14ac:dyDescent="0.3">
      <c r="A187" t="s">
        <v>232</v>
      </c>
      <c r="B187" t="s">
        <v>42</v>
      </c>
      <c r="C187" t="s">
        <v>43</v>
      </c>
      <c r="D187" s="10">
        <v>45444</v>
      </c>
      <c r="E187" s="11">
        <v>8.3000000000000007</v>
      </c>
      <c r="F187" s="12">
        <v>688900.00000000012</v>
      </c>
      <c r="G187">
        <v>10</v>
      </c>
      <c r="H187" s="10">
        <v>45748</v>
      </c>
      <c r="I187" s="10">
        <v>45748</v>
      </c>
      <c r="J187" t="b">
        <v>0</v>
      </c>
      <c r="K187" s="11">
        <v>0</v>
      </c>
    </row>
    <row r="188" spans="1:11" x14ac:dyDescent="0.3">
      <c r="A188" t="s">
        <v>233</v>
      </c>
      <c r="B188" t="s">
        <v>42</v>
      </c>
      <c r="C188" t="s">
        <v>43</v>
      </c>
      <c r="D188" s="10">
        <v>45444</v>
      </c>
      <c r="E188" s="11">
        <v>4.5999999999999996</v>
      </c>
      <c r="F188" s="12">
        <v>381800</v>
      </c>
      <c r="G188">
        <v>6</v>
      </c>
      <c r="H188" s="10">
        <v>45627</v>
      </c>
      <c r="I188" s="10">
        <v>45658</v>
      </c>
      <c r="J188" t="b">
        <v>0</v>
      </c>
      <c r="K188" s="11">
        <v>1.06</v>
      </c>
    </row>
    <row r="189" spans="1:11" x14ac:dyDescent="0.3">
      <c r="A189" t="s">
        <v>234</v>
      </c>
      <c r="B189" t="s">
        <v>42</v>
      </c>
      <c r="C189" t="s">
        <v>43</v>
      </c>
      <c r="D189" s="10">
        <v>45444</v>
      </c>
      <c r="E189" s="11">
        <v>23.1</v>
      </c>
      <c r="F189" s="12">
        <v>1917300</v>
      </c>
      <c r="G189">
        <v>11</v>
      </c>
      <c r="H189" s="10">
        <v>45778</v>
      </c>
      <c r="I189" s="10">
        <v>45778</v>
      </c>
      <c r="J189" t="b">
        <v>0</v>
      </c>
      <c r="K189" s="11">
        <v>0.01</v>
      </c>
    </row>
    <row r="190" spans="1:11" x14ac:dyDescent="0.3">
      <c r="A190" t="s">
        <v>235</v>
      </c>
      <c r="B190" t="s">
        <v>42</v>
      </c>
      <c r="C190" t="s">
        <v>43</v>
      </c>
      <c r="D190" s="10">
        <v>45444</v>
      </c>
      <c r="E190" s="11">
        <v>13.6</v>
      </c>
      <c r="F190" s="12">
        <v>1128800</v>
      </c>
      <c r="G190">
        <v>10</v>
      </c>
      <c r="H190" s="10">
        <v>45748</v>
      </c>
      <c r="I190" s="10">
        <v>45748</v>
      </c>
      <c r="J190" t="b">
        <v>0</v>
      </c>
      <c r="K190" s="11">
        <v>0.01</v>
      </c>
    </row>
    <row r="191" spans="1:11" x14ac:dyDescent="0.3">
      <c r="A191" t="s">
        <v>236</v>
      </c>
      <c r="B191" t="s">
        <v>42</v>
      </c>
      <c r="C191" t="s">
        <v>43</v>
      </c>
      <c r="D191" s="10">
        <v>45444</v>
      </c>
      <c r="E191" s="11">
        <v>4.5</v>
      </c>
      <c r="F191" s="12">
        <v>373500</v>
      </c>
      <c r="G191">
        <v>9</v>
      </c>
      <c r="H191" s="10">
        <v>45717</v>
      </c>
      <c r="I191" s="10">
        <v>45717</v>
      </c>
      <c r="J191" t="b">
        <v>0</v>
      </c>
      <c r="K191" s="11">
        <v>0</v>
      </c>
    </row>
    <row r="192" spans="1:11" x14ac:dyDescent="0.3">
      <c r="A192" t="s">
        <v>237</v>
      </c>
      <c r="B192" t="s">
        <v>42</v>
      </c>
      <c r="C192" t="s">
        <v>43</v>
      </c>
      <c r="D192" s="10">
        <v>45444</v>
      </c>
      <c r="E192" s="11">
        <v>29.7</v>
      </c>
      <c r="F192" s="12">
        <v>2465100</v>
      </c>
      <c r="G192">
        <v>5</v>
      </c>
      <c r="H192" s="10">
        <v>45597</v>
      </c>
      <c r="I192" s="10">
        <v>45627</v>
      </c>
      <c r="J192" t="b">
        <v>0</v>
      </c>
      <c r="K192" s="11">
        <v>1.38</v>
      </c>
    </row>
    <row r="193" spans="1:11" x14ac:dyDescent="0.3">
      <c r="A193" t="s">
        <v>238</v>
      </c>
      <c r="B193" t="s">
        <v>42</v>
      </c>
      <c r="C193" t="s">
        <v>43</v>
      </c>
      <c r="D193" s="10">
        <v>45444</v>
      </c>
      <c r="E193" s="11">
        <v>9</v>
      </c>
      <c r="F193" s="12">
        <v>747000</v>
      </c>
      <c r="G193">
        <v>9</v>
      </c>
      <c r="H193" s="10">
        <v>45717</v>
      </c>
      <c r="I193" s="10">
        <v>45748</v>
      </c>
      <c r="J193" t="b">
        <v>0</v>
      </c>
      <c r="K193" s="11">
        <v>0.88</v>
      </c>
    </row>
    <row r="194" spans="1:11" x14ac:dyDescent="0.3">
      <c r="A194" t="s">
        <v>239</v>
      </c>
      <c r="B194" t="s">
        <v>42</v>
      </c>
      <c r="C194" t="s">
        <v>43</v>
      </c>
      <c r="D194" s="10">
        <v>45444</v>
      </c>
      <c r="E194" s="11">
        <v>15</v>
      </c>
      <c r="F194" s="12">
        <v>1245000</v>
      </c>
      <c r="G194">
        <v>8</v>
      </c>
      <c r="H194" s="10">
        <v>45689</v>
      </c>
      <c r="I194" s="10">
        <v>45689</v>
      </c>
      <c r="J194" t="b">
        <v>0</v>
      </c>
      <c r="K194" s="11">
        <v>0</v>
      </c>
    </row>
    <row r="195" spans="1:11" x14ac:dyDescent="0.3">
      <c r="A195" t="s">
        <v>240</v>
      </c>
      <c r="B195" t="s">
        <v>42</v>
      </c>
      <c r="C195" t="s">
        <v>43</v>
      </c>
      <c r="D195" s="10">
        <v>45444</v>
      </c>
      <c r="E195" s="11">
        <v>5.3</v>
      </c>
      <c r="F195" s="12">
        <v>439900</v>
      </c>
      <c r="G195">
        <v>6</v>
      </c>
      <c r="H195" s="10">
        <v>45627</v>
      </c>
      <c r="I195" s="10">
        <v>45627</v>
      </c>
      <c r="J195" t="b">
        <v>0</v>
      </c>
      <c r="K195" s="11">
        <v>0</v>
      </c>
    </row>
    <row r="196" spans="1:11" x14ac:dyDescent="0.3">
      <c r="A196" t="s">
        <v>241</v>
      </c>
      <c r="B196" t="s">
        <v>42</v>
      </c>
      <c r="C196" t="s">
        <v>43</v>
      </c>
      <c r="D196" s="10">
        <v>45444</v>
      </c>
      <c r="E196" s="11">
        <v>9.5</v>
      </c>
      <c r="F196" s="12">
        <v>788500</v>
      </c>
      <c r="G196">
        <v>7</v>
      </c>
      <c r="H196" s="10">
        <v>45658</v>
      </c>
      <c r="I196" s="10">
        <v>45658</v>
      </c>
      <c r="J196" t="b">
        <v>0</v>
      </c>
      <c r="K196" s="11">
        <v>0.15</v>
      </c>
    </row>
    <row r="197" spans="1:11" x14ac:dyDescent="0.3">
      <c r="A197" t="s">
        <v>242</v>
      </c>
      <c r="B197" t="s">
        <v>42</v>
      </c>
      <c r="C197" t="s">
        <v>43</v>
      </c>
      <c r="D197" s="10">
        <v>45444</v>
      </c>
      <c r="E197" s="11">
        <v>11.6</v>
      </c>
      <c r="F197" s="12">
        <v>962800</v>
      </c>
      <c r="G197">
        <v>5</v>
      </c>
      <c r="H197" s="10">
        <v>45597</v>
      </c>
      <c r="I197" s="10">
        <v>45597</v>
      </c>
      <c r="J197" t="b">
        <v>0</v>
      </c>
      <c r="K197" s="11">
        <v>0.39</v>
      </c>
    </row>
    <row r="198" spans="1:11" x14ac:dyDescent="0.3">
      <c r="A198" t="s">
        <v>243</v>
      </c>
      <c r="B198" t="s">
        <v>42</v>
      </c>
      <c r="C198" t="s">
        <v>43</v>
      </c>
      <c r="D198" s="10">
        <v>45444</v>
      </c>
      <c r="E198" s="11">
        <v>6.9</v>
      </c>
      <c r="F198" s="12">
        <v>572700</v>
      </c>
      <c r="G198">
        <v>7</v>
      </c>
      <c r="H198" s="10">
        <v>45658</v>
      </c>
      <c r="I198" s="10">
        <v>45658</v>
      </c>
      <c r="J198" t="b">
        <v>0</v>
      </c>
      <c r="K198" s="11">
        <v>0.11</v>
      </c>
    </row>
    <row r="199" spans="1:11" x14ac:dyDescent="0.3">
      <c r="A199" t="s">
        <v>244</v>
      </c>
      <c r="B199" t="s">
        <v>42</v>
      </c>
      <c r="C199" t="s">
        <v>43</v>
      </c>
      <c r="D199" s="10">
        <v>45444</v>
      </c>
      <c r="E199" s="11">
        <v>18.5</v>
      </c>
      <c r="F199" s="12">
        <v>1535500</v>
      </c>
      <c r="G199">
        <v>10</v>
      </c>
      <c r="H199" s="10">
        <v>45748</v>
      </c>
      <c r="I199" s="10">
        <v>45748</v>
      </c>
      <c r="J199" t="b">
        <v>0</v>
      </c>
      <c r="K199" s="11">
        <v>0.15</v>
      </c>
    </row>
    <row r="200" spans="1:11" x14ac:dyDescent="0.3">
      <c r="A200" t="s">
        <v>245</v>
      </c>
      <c r="B200" t="s">
        <v>42</v>
      </c>
      <c r="C200" t="s">
        <v>43</v>
      </c>
      <c r="D200" s="10">
        <v>45444</v>
      </c>
      <c r="E200" s="11">
        <v>38.4</v>
      </c>
      <c r="F200" s="12">
        <v>3187200</v>
      </c>
      <c r="G200">
        <v>9</v>
      </c>
      <c r="H200" s="10">
        <v>45717</v>
      </c>
      <c r="I200" s="10">
        <v>45748</v>
      </c>
      <c r="J200" t="b">
        <v>0</v>
      </c>
      <c r="K200" s="11">
        <v>1.08</v>
      </c>
    </row>
    <row r="201" spans="1:11" x14ac:dyDescent="0.3">
      <c r="A201" t="s">
        <v>246</v>
      </c>
      <c r="B201" t="s">
        <v>42</v>
      </c>
      <c r="C201" t="s">
        <v>43</v>
      </c>
      <c r="D201" s="10">
        <v>45444</v>
      </c>
      <c r="E201" s="11">
        <v>61.2</v>
      </c>
      <c r="F201" s="12">
        <v>5079600</v>
      </c>
      <c r="G201">
        <v>11</v>
      </c>
      <c r="H201" s="10">
        <v>45778</v>
      </c>
      <c r="I201" s="10">
        <v>45778</v>
      </c>
      <c r="J201" t="b">
        <v>0</v>
      </c>
      <c r="K201" s="11">
        <v>0</v>
      </c>
    </row>
    <row r="202" spans="1:11" x14ac:dyDescent="0.3">
      <c r="A202" t="s">
        <v>247</v>
      </c>
      <c r="B202" t="s">
        <v>42</v>
      </c>
      <c r="C202" t="s">
        <v>43</v>
      </c>
      <c r="D202" s="10">
        <v>45444</v>
      </c>
      <c r="E202" s="11">
        <v>11.5</v>
      </c>
      <c r="F202" s="12">
        <v>954500</v>
      </c>
      <c r="G202">
        <v>7</v>
      </c>
      <c r="H202" s="10">
        <v>45658</v>
      </c>
      <c r="I202" s="10">
        <v>45658</v>
      </c>
      <c r="J202" t="b">
        <v>0</v>
      </c>
      <c r="K202" s="11">
        <v>0.49</v>
      </c>
    </row>
    <row r="203" spans="1:11" x14ac:dyDescent="0.3">
      <c r="A203" t="s">
        <v>248</v>
      </c>
      <c r="B203" t="s">
        <v>42</v>
      </c>
      <c r="C203" t="s">
        <v>43</v>
      </c>
      <c r="D203" s="10">
        <v>45444</v>
      </c>
      <c r="E203" s="11">
        <v>16.8</v>
      </c>
      <c r="F203" s="12">
        <v>1394400</v>
      </c>
      <c r="G203">
        <v>9</v>
      </c>
      <c r="H203" s="10">
        <v>45717</v>
      </c>
      <c r="I203" s="10">
        <v>45717</v>
      </c>
      <c r="J203" t="b">
        <v>0</v>
      </c>
      <c r="K203" s="11">
        <v>0</v>
      </c>
    </row>
    <row r="204" spans="1:11" x14ac:dyDescent="0.3">
      <c r="A204" t="s">
        <v>249</v>
      </c>
      <c r="B204" t="s">
        <v>42</v>
      </c>
      <c r="C204" t="s">
        <v>43</v>
      </c>
      <c r="D204" s="10">
        <v>45444</v>
      </c>
      <c r="E204" s="11">
        <v>9.9</v>
      </c>
      <c r="F204" s="12">
        <v>821700</v>
      </c>
      <c r="G204">
        <v>5</v>
      </c>
      <c r="H204" s="10">
        <v>45597</v>
      </c>
      <c r="I204" s="10">
        <v>45658</v>
      </c>
      <c r="J204" t="b">
        <v>0</v>
      </c>
      <c r="K204" s="11">
        <v>1.6</v>
      </c>
    </row>
    <row r="205" spans="1:11" x14ac:dyDescent="0.3">
      <c r="A205" t="s">
        <v>250</v>
      </c>
      <c r="B205" t="s">
        <v>42</v>
      </c>
      <c r="C205" t="s">
        <v>43</v>
      </c>
      <c r="D205" s="10">
        <v>45444</v>
      </c>
      <c r="E205" s="11">
        <v>62.8</v>
      </c>
      <c r="F205" s="12">
        <v>5212400</v>
      </c>
      <c r="G205">
        <v>6</v>
      </c>
      <c r="H205" s="10">
        <v>45627</v>
      </c>
      <c r="I205" s="10">
        <v>45627</v>
      </c>
      <c r="J205" t="b">
        <v>0</v>
      </c>
      <c r="K205" s="11">
        <v>0.36</v>
      </c>
    </row>
    <row r="206" spans="1:11" x14ac:dyDescent="0.3">
      <c r="A206" t="s">
        <v>251</v>
      </c>
      <c r="B206" t="s">
        <v>42</v>
      </c>
      <c r="C206" t="s">
        <v>43</v>
      </c>
      <c r="D206" s="10">
        <v>45444</v>
      </c>
      <c r="E206" s="11">
        <v>29.6</v>
      </c>
      <c r="F206" s="12">
        <v>2456800</v>
      </c>
      <c r="G206">
        <v>6</v>
      </c>
      <c r="H206" s="10">
        <v>45627</v>
      </c>
      <c r="I206" s="10">
        <v>45627</v>
      </c>
      <c r="J206" t="b">
        <v>0</v>
      </c>
      <c r="K206" s="11">
        <v>0.2</v>
      </c>
    </row>
    <row r="207" spans="1:11" x14ac:dyDescent="0.3">
      <c r="A207" t="s">
        <v>252</v>
      </c>
      <c r="B207" t="s">
        <v>42</v>
      </c>
      <c r="C207" t="s">
        <v>43</v>
      </c>
      <c r="D207" s="10">
        <v>45444</v>
      </c>
      <c r="E207" s="11">
        <v>76</v>
      </c>
      <c r="F207" s="12">
        <v>6308000</v>
      </c>
      <c r="G207">
        <v>6</v>
      </c>
      <c r="H207" s="10">
        <v>45627</v>
      </c>
      <c r="I207" s="10">
        <v>45627</v>
      </c>
      <c r="J207" t="b">
        <v>0</v>
      </c>
      <c r="K207" s="11">
        <v>0</v>
      </c>
    </row>
    <row r="208" spans="1:11" x14ac:dyDescent="0.3">
      <c r="A208" t="s">
        <v>253</v>
      </c>
      <c r="B208" t="s">
        <v>42</v>
      </c>
      <c r="C208" t="s">
        <v>43</v>
      </c>
      <c r="D208" s="10">
        <v>45444</v>
      </c>
      <c r="E208" s="11">
        <v>21.4</v>
      </c>
      <c r="F208" s="12">
        <v>1776200</v>
      </c>
      <c r="G208">
        <v>7</v>
      </c>
      <c r="H208" s="10">
        <v>45658</v>
      </c>
      <c r="I208" s="10">
        <v>45658</v>
      </c>
      <c r="J208" t="b">
        <v>0</v>
      </c>
      <c r="K208" s="11">
        <v>0.01</v>
      </c>
    </row>
    <row r="209" spans="1:11" x14ac:dyDescent="0.3">
      <c r="A209" t="s">
        <v>254</v>
      </c>
      <c r="B209" t="s">
        <v>42</v>
      </c>
      <c r="C209" t="s">
        <v>43</v>
      </c>
      <c r="D209" s="10">
        <v>45444</v>
      </c>
      <c r="E209" s="11">
        <v>4.7</v>
      </c>
      <c r="F209" s="12">
        <v>390100</v>
      </c>
      <c r="G209">
        <v>7</v>
      </c>
      <c r="H209" s="10">
        <v>45658</v>
      </c>
      <c r="I209" s="10">
        <v>45658</v>
      </c>
      <c r="J209" t="b">
        <v>0</v>
      </c>
      <c r="K209" s="11">
        <v>0</v>
      </c>
    </row>
    <row r="210" spans="1:11" x14ac:dyDescent="0.3">
      <c r="A210" t="s">
        <v>255</v>
      </c>
      <c r="B210" t="s">
        <v>42</v>
      </c>
      <c r="C210" t="s">
        <v>43</v>
      </c>
      <c r="D210" s="10">
        <v>45444</v>
      </c>
      <c r="E210" s="11">
        <v>7.9</v>
      </c>
      <c r="F210" s="12">
        <v>655700</v>
      </c>
      <c r="G210">
        <v>7</v>
      </c>
      <c r="H210" s="10">
        <v>45658</v>
      </c>
      <c r="I210" s="10">
        <v>45658</v>
      </c>
      <c r="J210" t="b">
        <v>0</v>
      </c>
      <c r="K210" s="11">
        <v>0.09</v>
      </c>
    </row>
    <row r="211" spans="1:11" x14ac:dyDescent="0.3">
      <c r="A211" t="s">
        <v>256</v>
      </c>
      <c r="B211" t="s">
        <v>42</v>
      </c>
      <c r="C211" t="s">
        <v>43</v>
      </c>
      <c r="D211" s="10">
        <v>45444</v>
      </c>
      <c r="E211" s="11">
        <v>17.399999999999999</v>
      </c>
      <c r="F211" s="12">
        <v>1444200</v>
      </c>
      <c r="G211">
        <v>11</v>
      </c>
      <c r="H211" s="10">
        <v>45778</v>
      </c>
      <c r="I211" s="10">
        <v>45778</v>
      </c>
      <c r="J211" t="b">
        <v>0</v>
      </c>
      <c r="K211" s="11">
        <v>0.01</v>
      </c>
    </row>
    <row r="212" spans="1:11" x14ac:dyDescent="0.3">
      <c r="A212" t="s">
        <v>257</v>
      </c>
      <c r="B212" t="s">
        <v>42</v>
      </c>
      <c r="C212" t="s">
        <v>43</v>
      </c>
      <c r="D212" s="10">
        <v>45444</v>
      </c>
      <c r="E212" s="11">
        <v>11</v>
      </c>
      <c r="F212" s="12">
        <v>913000</v>
      </c>
      <c r="G212">
        <v>7</v>
      </c>
      <c r="H212" s="10">
        <v>45658</v>
      </c>
      <c r="I212" s="10">
        <v>45658</v>
      </c>
      <c r="J212" t="b">
        <v>0</v>
      </c>
      <c r="K212" s="11">
        <v>0.48</v>
      </c>
    </row>
    <row r="213" spans="1:11" x14ac:dyDescent="0.3">
      <c r="A213" t="s">
        <v>258</v>
      </c>
      <c r="B213" t="s">
        <v>56</v>
      </c>
      <c r="C213" t="s">
        <v>57</v>
      </c>
      <c r="D213" s="10">
        <v>45444</v>
      </c>
      <c r="E213" s="11">
        <v>39.200000000000003</v>
      </c>
      <c r="F213" s="12">
        <v>3449600</v>
      </c>
      <c r="G213">
        <v>9</v>
      </c>
      <c r="H213" s="10">
        <v>45717</v>
      </c>
      <c r="I213" s="10">
        <v>45748</v>
      </c>
      <c r="J213" t="b">
        <v>0</v>
      </c>
      <c r="K213" s="11">
        <v>0.51</v>
      </c>
    </row>
    <row r="214" spans="1:11" x14ac:dyDescent="0.3">
      <c r="A214" t="s">
        <v>259</v>
      </c>
      <c r="B214" t="s">
        <v>56</v>
      </c>
      <c r="C214" t="s">
        <v>57</v>
      </c>
      <c r="D214" s="10">
        <v>45444</v>
      </c>
      <c r="E214" s="11">
        <v>6.1</v>
      </c>
      <c r="F214" s="12">
        <v>536800</v>
      </c>
      <c r="G214">
        <v>9</v>
      </c>
      <c r="H214" s="10">
        <v>45717</v>
      </c>
      <c r="I214" s="10">
        <v>45748</v>
      </c>
      <c r="J214" t="b">
        <v>0</v>
      </c>
      <c r="K214" s="11">
        <v>0.64</v>
      </c>
    </row>
    <row r="215" spans="1:11" x14ac:dyDescent="0.3">
      <c r="A215" t="s">
        <v>260</v>
      </c>
      <c r="B215" t="s">
        <v>56</v>
      </c>
      <c r="C215" t="s">
        <v>62</v>
      </c>
      <c r="D215" s="10">
        <v>45444</v>
      </c>
      <c r="E215" s="11">
        <v>13.2</v>
      </c>
      <c r="F215" s="12">
        <v>1069200</v>
      </c>
      <c r="G215">
        <v>6</v>
      </c>
      <c r="H215" s="10">
        <v>45627</v>
      </c>
      <c r="I215" s="10">
        <v>45689</v>
      </c>
      <c r="J215" t="b">
        <v>0</v>
      </c>
      <c r="K215" s="11">
        <v>2.19</v>
      </c>
    </row>
    <row r="216" spans="1:11" x14ac:dyDescent="0.3">
      <c r="A216" t="s">
        <v>261</v>
      </c>
      <c r="B216" t="s">
        <v>65</v>
      </c>
      <c r="C216" t="s">
        <v>66</v>
      </c>
      <c r="D216" s="10">
        <v>45444</v>
      </c>
      <c r="E216" s="11">
        <v>17.3</v>
      </c>
      <c r="F216" s="12">
        <v>1228300</v>
      </c>
      <c r="G216">
        <v>10</v>
      </c>
      <c r="H216" s="10">
        <v>45748</v>
      </c>
      <c r="I216" s="10">
        <v>45839</v>
      </c>
      <c r="J216" t="b">
        <v>0</v>
      </c>
      <c r="K216" s="11">
        <v>3.38</v>
      </c>
    </row>
    <row r="217" spans="1:11" x14ac:dyDescent="0.3">
      <c r="A217" t="s">
        <v>262</v>
      </c>
      <c r="B217" t="s">
        <v>65</v>
      </c>
      <c r="C217" t="s">
        <v>66</v>
      </c>
      <c r="D217" s="10">
        <v>45444</v>
      </c>
      <c r="E217" s="11">
        <v>12.3</v>
      </c>
      <c r="F217" s="12">
        <v>873300</v>
      </c>
      <c r="G217">
        <v>11</v>
      </c>
      <c r="H217" s="10">
        <v>45778</v>
      </c>
      <c r="I217" s="10"/>
      <c r="J217" t="b">
        <v>1</v>
      </c>
      <c r="K217" s="11">
        <v>2.94</v>
      </c>
    </row>
    <row r="218" spans="1:11" x14ac:dyDescent="0.3">
      <c r="A218" t="s">
        <v>263</v>
      </c>
      <c r="B218" t="s">
        <v>65</v>
      </c>
      <c r="C218" t="s">
        <v>66</v>
      </c>
      <c r="D218" s="10">
        <v>45444</v>
      </c>
      <c r="E218" s="11">
        <v>4.9000000000000004</v>
      </c>
      <c r="F218" s="12">
        <v>347900</v>
      </c>
      <c r="G218">
        <v>8</v>
      </c>
      <c r="H218" s="10">
        <v>45689</v>
      </c>
      <c r="I218" s="10">
        <v>45689</v>
      </c>
      <c r="J218" t="b">
        <v>0</v>
      </c>
      <c r="K218" s="11">
        <v>0.22</v>
      </c>
    </row>
    <row r="219" spans="1:11" x14ac:dyDescent="0.3">
      <c r="A219" t="s">
        <v>264</v>
      </c>
      <c r="B219" t="s">
        <v>65</v>
      </c>
      <c r="C219" t="s">
        <v>66</v>
      </c>
      <c r="D219" s="10">
        <v>45444</v>
      </c>
      <c r="E219" s="11">
        <v>7.7</v>
      </c>
      <c r="F219" s="12">
        <v>546700</v>
      </c>
      <c r="G219">
        <v>11</v>
      </c>
      <c r="H219" s="10">
        <v>45778</v>
      </c>
      <c r="I219" s="10">
        <v>45839</v>
      </c>
      <c r="J219" t="b">
        <v>0</v>
      </c>
      <c r="K219" s="11">
        <v>1.71</v>
      </c>
    </row>
    <row r="220" spans="1:11" x14ac:dyDescent="0.3">
      <c r="A220" t="s">
        <v>265</v>
      </c>
      <c r="B220" t="s">
        <v>65</v>
      </c>
      <c r="C220" t="s">
        <v>66</v>
      </c>
      <c r="D220" s="10">
        <v>45444</v>
      </c>
      <c r="E220" s="11">
        <v>11.9</v>
      </c>
      <c r="F220" s="12">
        <v>844900</v>
      </c>
      <c r="G220">
        <v>7</v>
      </c>
      <c r="H220" s="10">
        <v>45658</v>
      </c>
      <c r="I220" s="10">
        <v>46204</v>
      </c>
      <c r="J220" t="b">
        <v>0</v>
      </c>
      <c r="K220" s="11">
        <v>18</v>
      </c>
    </row>
    <row r="221" spans="1:11" x14ac:dyDescent="0.3">
      <c r="A221" t="s">
        <v>266</v>
      </c>
      <c r="B221" t="s">
        <v>65</v>
      </c>
      <c r="C221" t="s">
        <v>70</v>
      </c>
      <c r="D221" s="10">
        <v>45444</v>
      </c>
      <c r="E221" s="11">
        <v>34.1</v>
      </c>
      <c r="F221" s="12">
        <v>2864400</v>
      </c>
      <c r="G221">
        <v>8</v>
      </c>
      <c r="H221" s="10">
        <v>45689</v>
      </c>
      <c r="I221" s="10">
        <v>45809</v>
      </c>
      <c r="J221" t="b">
        <v>0</v>
      </c>
      <c r="K221" s="11">
        <v>4.2</v>
      </c>
    </row>
    <row r="222" spans="1:11" x14ac:dyDescent="0.3">
      <c r="A222" t="s">
        <v>267</v>
      </c>
      <c r="B222" t="s">
        <v>72</v>
      </c>
      <c r="C222" t="s">
        <v>72</v>
      </c>
      <c r="D222" s="10">
        <v>45444</v>
      </c>
      <c r="E222" s="11">
        <v>5.5</v>
      </c>
      <c r="F222" s="12">
        <v>434500</v>
      </c>
      <c r="G222">
        <v>6</v>
      </c>
      <c r="H222" s="10">
        <v>45627</v>
      </c>
      <c r="I222" s="10">
        <v>45658</v>
      </c>
      <c r="J222" t="b">
        <v>0</v>
      </c>
      <c r="K222" s="11">
        <v>0.6</v>
      </c>
    </row>
    <row r="223" spans="1:11" x14ac:dyDescent="0.3">
      <c r="A223" t="s">
        <v>268</v>
      </c>
      <c r="B223" t="s">
        <v>72</v>
      </c>
      <c r="C223" t="s">
        <v>72</v>
      </c>
      <c r="D223" s="10">
        <v>45444</v>
      </c>
      <c r="E223" s="11">
        <v>13.4</v>
      </c>
      <c r="F223" s="12">
        <v>1058600</v>
      </c>
      <c r="G223">
        <v>11</v>
      </c>
      <c r="H223" s="10">
        <v>45778</v>
      </c>
      <c r="I223" s="10">
        <v>45778</v>
      </c>
      <c r="J223" t="b">
        <v>0</v>
      </c>
      <c r="K223" s="11">
        <v>0.37</v>
      </c>
    </row>
    <row r="224" spans="1:11" x14ac:dyDescent="0.3">
      <c r="A224" t="s">
        <v>269</v>
      </c>
      <c r="B224" t="s">
        <v>72</v>
      </c>
      <c r="C224" t="s">
        <v>72</v>
      </c>
      <c r="D224" s="10">
        <v>45444</v>
      </c>
      <c r="E224" s="11">
        <v>19.399999999999999</v>
      </c>
      <c r="F224" s="12">
        <v>1532600</v>
      </c>
      <c r="G224">
        <v>5</v>
      </c>
      <c r="H224" s="10">
        <v>45597</v>
      </c>
      <c r="I224" s="10">
        <v>45597</v>
      </c>
      <c r="J224" t="b">
        <v>0</v>
      </c>
      <c r="K224" s="11">
        <v>0.04</v>
      </c>
    </row>
    <row r="225" spans="1:11" x14ac:dyDescent="0.3">
      <c r="A225" t="s">
        <v>270</v>
      </c>
      <c r="B225" t="s">
        <v>72</v>
      </c>
      <c r="C225" t="s">
        <v>72</v>
      </c>
      <c r="D225" s="10">
        <v>45444</v>
      </c>
      <c r="E225" s="11">
        <v>12.5</v>
      </c>
      <c r="F225" s="12">
        <v>987500</v>
      </c>
      <c r="G225">
        <v>6</v>
      </c>
      <c r="H225" s="10">
        <v>45627</v>
      </c>
      <c r="I225" s="10">
        <v>45627</v>
      </c>
      <c r="J225" t="b">
        <v>0</v>
      </c>
      <c r="K225" s="11">
        <v>0</v>
      </c>
    </row>
    <row r="226" spans="1:11" x14ac:dyDescent="0.3">
      <c r="A226" t="s">
        <v>271</v>
      </c>
      <c r="B226" t="s">
        <v>72</v>
      </c>
      <c r="C226" t="s">
        <v>72</v>
      </c>
      <c r="D226" s="10">
        <v>45444</v>
      </c>
      <c r="E226" s="11">
        <v>73.599999999999994</v>
      </c>
      <c r="F226" s="12">
        <v>5814400</v>
      </c>
      <c r="G226">
        <v>10</v>
      </c>
      <c r="H226" s="10">
        <v>45748</v>
      </c>
      <c r="I226" s="10">
        <v>45748</v>
      </c>
      <c r="J226" t="b">
        <v>0</v>
      </c>
      <c r="K226" s="11">
        <v>0.27</v>
      </c>
    </row>
    <row r="227" spans="1:11" x14ac:dyDescent="0.3">
      <c r="A227" t="s">
        <v>272</v>
      </c>
      <c r="B227" t="s">
        <v>42</v>
      </c>
      <c r="C227" t="s">
        <v>43</v>
      </c>
      <c r="D227" s="10">
        <v>45474</v>
      </c>
      <c r="E227" s="11">
        <v>11.5</v>
      </c>
      <c r="F227" s="12">
        <v>954500</v>
      </c>
      <c r="G227">
        <v>5</v>
      </c>
      <c r="H227" s="10">
        <v>45627</v>
      </c>
      <c r="I227" s="10">
        <v>45627</v>
      </c>
      <c r="J227" t="b">
        <v>0</v>
      </c>
      <c r="K227" s="11">
        <v>0.26</v>
      </c>
    </row>
    <row r="228" spans="1:11" x14ac:dyDescent="0.3">
      <c r="A228" t="s">
        <v>273</v>
      </c>
      <c r="B228" t="s">
        <v>42</v>
      </c>
      <c r="C228" t="s">
        <v>43</v>
      </c>
      <c r="D228" s="10">
        <v>45474</v>
      </c>
      <c r="E228" s="11">
        <v>21.2</v>
      </c>
      <c r="F228" s="12">
        <v>1759600</v>
      </c>
      <c r="G228">
        <v>11</v>
      </c>
      <c r="H228" s="10">
        <v>45809</v>
      </c>
      <c r="I228" s="10">
        <v>45870</v>
      </c>
      <c r="J228" t="b">
        <v>0</v>
      </c>
      <c r="K228" s="11">
        <v>1.72</v>
      </c>
    </row>
    <row r="229" spans="1:11" x14ac:dyDescent="0.3">
      <c r="A229" t="s">
        <v>274</v>
      </c>
      <c r="B229" t="s">
        <v>42</v>
      </c>
      <c r="C229" t="s">
        <v>43</v>
      </c>
      <c r="D229" s="10">
        <v>45474</v>
      </c>
      <c r="E229" s="11">
        <v>7.8</v>
      </c>
      <c r="F229" s="12">
        <v>647400</v>
      </c>
      <c r="G229">
        <v>10</v>
      </c>
      <c r="H229" s="10">
        <v>45778</v>
      </c>
      <c r="I229" s="10">
        <v>45778</v>
      </c>
      <c r="J229" t="b">
        <v>0</v>
      </c>
      <c r="K229" s="11">
        <v>0.15</v>
      </c>
    </row>
    <row r="230" spans="1:11" x14ac:dyDescent="0.3">
      <c r="A230" t="s">
        <v>275</v>
      </c>
      <c r="B230" t="s">
        <v>42</v>
      </c>
      <c r="C230" t="s">
        <v>43</v>
      </c>
      <c r="D230" s="10">
        <v>45474</v>
      </c>
      <c r="E230" s="11">
        <v>43.9</v>
      </c>
      <c r="F230" s="12">
        <v>3643700</v>
      </c>
      <c r="G230">
        <v>9</v>
      </c>
      <c r="H230" s="10">
        <v>45748</v>
      </c>
      <c r="I230" s="10">
        <v>45748</v>
      </c>
      <c r="J230" t="b">
        <v>0</v>
      </c>
      <c r="K230" s="11">
        <v>0.04</v>
      </c>
    </row>
    <row r="231" spans="1:11" x14ac:dyDescent="0.3">
      <c r="A231" t="s">
        <v>276</v>
      </c>
      <c r="B231" t="s">
        <v>42</v>
      </c>
      <c r="C231" t="s">
        <v>43</v>
      </c>
      <c r="D231" s="10">
        <v>45474</v>
      </c>
      <c r="E231" s="11">
        <v>20.7</v>
      </c>
      <c r="F231" s="12">
        <v>1718100</v>
      </c>
      <c r="G231">
        <v>10</v>
      </c>
      <c r="H231" s="10">
        <v>45778</v>
      </c>
      <c r="I231" s="10">
        <v>45778</v>
      </c>
      <c r="J231" t="b">
        <v>0</v>
      </c>
      <c r="K231" s="11">
        <v>0.03</v>
      </c>
    </row>
    <row r="232" spans="1:11" x14ac:dyDescent="0.3">
      <c r="A232" t="s">
        <v>277</v>
      </c>
      <c r="B232" t="s">
        <v>42</v>
      </c>
      <c r="C232" t="s">
        <v>43</v>
      </c>
      <c r="D232" s="10">
        <v>45474</v>
      </c>
      <c r="E232" s="11">
        <v>0.7</v>
      </c>
      <c r="F232" s="12">
        <v>58099.999999999993</v>
      </c>
      <c r="G232">
        <v>6</v>
      </c>
      <c r="H232" s="10">
        <v>45658</v>
      </c>
      <c r="I232" s="10">
        <v>45658</v>
      </c>
      <c r="J232" t="b">
        <v>0</v>
      </c>
      <c r="K232" s="11">
        <v>0.11</v>
      </c>
    </row>
    <row r="233" spans="1:11" x14ac:dyDescent="0.3">
      <c r="A233" t="s">
        <v>278</v>
      </c>
      <c r="B233" t="s">
        <v>42</v>
      </c>
      <c r="C233" t="s">
        <v>43</v>
      </c>
      <c r="D233" s="10">
        <v>45474</v>
      </c>
      <c r="E233" s="11">
        <v>7.7</v>
      </c>
      <c r="F233" s="12">
        <v>639100</v>
      </c>
      <c r="G233">
        <v>7</v>
      </c>
      <c r="H233" s="10">
        <v>45689</v>
      </c>
      <c r="I233" s="10">
        <v>45717</v>
      </c>
      <c r="J233" t="b">
        <v>0</v>
      </c>
      <c r="K233" s="11">
        <v>1.41</v>
      </c>
    </row>
    <row r="234" spans="1:11" x14ac:dyDescent="0.3">
      <c r="A234" t="s">
        <v>279</v>
      </c>
      <c r="B234" t="s">
        <v>42</v>
      </c>
      <c r="C234" t="s">
        <v>43</v>
      </c>
      <c r="D234" s="10">
        <v>45474</v>
      </c>
      <c r="E234" s="11">
        <v>13.2</v>
      </c>
      <c r="F234" s="12">
        <v>1095600</v>
      </c>
      <c r="G234">
        <v>7</v>
      </c>
      <c r="H234" s="10">
        <v>45689</v>
      </c>
      <c r="I234" s="10"/>
      <c r="J234" t="b">
        <v>1</v>
      </c>
      <c r="K234" s="11">
        <v>0.36</v>
      </c>
    </row>
    <row r="235" spans="1:11" x14ac:dyDescent="0.3">
      <c r="A235" t="s">
        <v>280</v>
      </c>
      <c r="B235" t="s">
        <v>42</v>
      </c>
      <c r="C235" t="s">
        <v>43</v>
      </c>
      <c r="D235" s="10">
        <v>45474</v>
      </c>
      <c r="E235" s="11">
        <v>10.199999999999999</v>
      </c>
      <c r="F235" s="12">
        <v>846599.99999999988</v>
      </c>
      <c r="G235">
        <v>8</v>
      </c>
      <c r="H235" s="10">
        <v>45717</v>
      </c>
      <c r="I235" s="10">
        <v>45717</v>
      </c>
      <c r="J235" t="b">
        <v>0</v>
      </c>
      <c r="K235" s="11">
        <v>0</v>
      </c>
    </row>
    <row r="236" spans="1:11" x14ac:dyDescent="0.3">
      <c r="A236" t="s">
        <v>281</v>
      </c>
      <c r="B236" t="s">
        <v>42</v>
      </c>
      <c r="C236" t="s">
        <v>43</v>
      </c>
      <c r="D236" s="10">
        <v>45474</v>
      </c>
      <c r="E236" s="11">
        <v>13</v>
      </c>
      <c r="F236" s="12">
        <v>1079000</v>
      </c>
      <c r="G236">
        <v>7</v>
      </c>
      <c r="H236" s="10">
        <v>45689</v>
      </c>
      <c r="I236" s="10">
        <v>45689</v>
      </c>
      <c r="J236" t="b">
        <v>0</v>
      </c>
      <c r="K236" s="11">
        <v>0.17</v>
      </c>
    </row>
    <row r="237" spans="1:11" x14ac:dyDescent="0.3">
      <c r="A237" t="s">
        <v>282</v>
      </c>
      <c r="B237" t="s">
        <v>42</v>
      </c>
      <c r="C237" t="s">
        <v>43</v>
      </c>
      <c r="D237" s="10">
        <v>45474</v>
      </c>
      <c r="E237" s="11">
        <v>25.6</v>
      </c>
      <c r="F237" s="12">
        <v>2124800</v>
      </c>
      <c r="G237">
        <v>10</v>
      </c>
      <c r="H237" s="10">
        <v>45778</v>
      </c>
      <c r="I237" s="10">
        <v>45778</v>
      </c>
      <c r="J237" t="b">
        <v>0</v>
      </c>
      <c r="K237" s="11">
        <v>0</v>
      </c>
    </row>
    <row r="238" spans="1:11" x14ac:dyDescent="0.3">
      <c r="A238" t="s">
        <v>283</v>
      </c>
      <c r="B238" t="s">
        <v>42</v>
      </c>
      <c r="C238" t="s">
        <v>43</v>
      </c>
      <c r="D238" s="10">
        <v>45474</v>
      </c>
      <c r="E238" s="11">
        <v>32.700000000000003</v>
      </c>
      <c r="F238" s="12">
        <v>2714100</v>
      </c>
      <c r="G238">
        <v>6</v>
      </c>
      <c r="H238" s="10">
        <v>45658</v>
      </c>
      <c r="I238" s="10">
        <v>45901</v>
      </c>
      <c r="J238" t="b">
        <v>0</v>
      </c>
      <c r="K238" s="11">
        <v>7.77</v>
      </c>
    </row>
    <row r="239" spans="1:11" x14ac:dyDescent="0.3">
      <c r="A239" t="s">
        <v>284</v>
      </c>
      <c r="B239" t="s">
        <v>42</v>
      </c>
      <c r="C239" t="s">
        <v>43</v>
      </c>
      <c r="D239" s="10">
        <v>45474</v>
      </c>
      <c r="E239" s="11">
        <v>39.799999999999997</v>
      </c>
      <c r="F239" s="12">
        <v>3303400</v>
      </c>
      <c r="G239">
        <v>7</v>
      </c>
      <c r="H239" s="10">
        <v>45689</v>
      </c>
      <c r="I239" s="10">
        <v>45689</v>
      </c>
      <c r="J239" t="b">
        <v>0</v>
      </c>
      <c r="K239" s="11">
        <v>0.01</v>
      </c>
    </row>
    <row r="240" spans="1:11" x14ac:dyDescent="0.3">
      <c r="A240" t="s">
        <v>285</v>
      </c>
      <c r="B240" t="s">
        <v>42</v>
      </c>
      <c r="C240" t="s">
        <v>43</v>
      </c>
      <c r="D240" s="10">
        <v>45474</v>
      </c>
      <c r="E240" s="11">
        <v>46.2</v>
      </c>
      <c r="F240" s="12">
        <v>3834600.0000000009</v>
      </c>
      <c r="G240">
        <v>10</v>
      </c>
      <c r="H240" s="10">
        <v>45778</v>
      </c>
      <c r="I240" s="10">
        <v>45778</v>
      </c>
      <c r="J240" t="b">
        <v>0</v>
      </c>
      <c r="K240" s="11">
        <v>0</v>
      </c>
    </row>
    <row r="241" spans="1:11" x14ac:dyDescent="0.3">
      <c r="A241" t="s">
        <v>286</v>
      </c>
      <c r="B241" t="s">
        <v>42</v>
      </c>
      <c r="C241" t="s">
        <v>43</v>
      </c>
      <c r="D241" s="10">
        <v>45474</v>
      </c>
      <c r="E241" s="11">
        <v>51.3</v>
      </c>
      <c r="F241" s="12">
        <v>4257900</v>
      </c>
      <c r="G241">
        <v>10</v>
      </c>
      <c r="H241" s="10">
        <v>45778</v>
      </c>
      <c r="I241" s="10">
        <v>45809</v>
      </c>
      <c r="J241" t="b">
        <v>0</v>
      </c>
      <c r="K241" s="11">
        <v>1.39</v>
      </c>
    </row>
    <row r="242" spans="1:11" x14ac:dyDescent="0.3">
      <c r="A242" t="s">
        <v>287</v>
      </c>
      <c r="B242" t="s">
        <v>42</v>
      </c>
      <c r="C242" t="s">
        <v>43</v>
      </c>
      <c r="D242" s="10">
        <v>45474</v>
      </c>
      <c r="E242" s="11">
        <v>10.9</v>
      </c>
      <c r="F242" s="12">
        <v>904700</v>
      </c>
      <c r="G242">
        <v>6</v>
      </c>
      <c r="H242" s="10">
        <v>45658</v>
      </c>
      <c r="I242" s="10">
        <v>45658</v>
      </c>
      <c r="J242" t="b">
        <v>0</v>
      </c>
      <c r="K242" s="11">
        <v>0.01</v>
      </c>
    </row>
    <row r="243" spans="1:11" x14ac:dyDescent="0.3">
      <c r="A243" t="s">
        <v>288</v>
      </c>
      <c r="B243" t="s">
        <v>42</v>
      </c>
      <c r="C243" t="s">
        <v>43</v>
      </c>
      <c r="D243" s="10">
        <v>45474</v>
      </c>
      <c r="E243" s="11">
        <v>11.4</v>
      </c>
      <c r="F243" s="12">
        <v>946200</v>
      </c>
      <c r="G243">
        <v>7</v>
      </c>
      <c r="H243" s="10">
        <v>45689</v>
      </c>
      <c r="I243" s="10">
        <v>45689</v>
      </c>
      <c r="J243" t="b">
        <v>0</v>
      </c>
      <c r="K243" s="11">
        <v>0.39</v>
      </c>
    </row>
    <row r="244" spans="1:11" x14ac:dyDescent="0.3">
      <c r="A244" t="s">
        <v>289</v>
      </c>
      <c r="B244" t="s">
        <v>42</v>
      </c>
      <c r="C244" t="s">
        <v>43</v>
      </c>
      <c r="D244" s="10">
        <v>45474</v>
      </c>
      <c r="E244" s="11">
        <v>9.3000000000000007</v>
      </c>
      <c r="F244" s="12">
        <v>771900.00000000012</v>
      </c>
      <c r="G244">
        <v>6</v>
      </c>
      <c r="H244" s="10">
        <v>45658</v>
      </c>
      <c r="I244" s="10">
        <v>45658</v>
      </c>
      <c r="J244" t="b">
        <v>0</v>
      </c>
      <c r="K244" s="11">
        <v>0.04</v>
      </c>
    </row>
    <row r="245" spans="1:11" x14ac:dyDescent="0.3">
      <c r="A245" t="s">
        <v>290</v>
      </c>
      <c r="B245" t="s">
        <v>42</v>
      </c>
      <c r="C245" t="s">
        <v>43</v>
      </c>
      <c r="D245" s="10">
        <v>45474</v>
      </c>
      <c r="E245" s="11">
        <v>30.9</v>
      </c>
      <c r="F245" s="12">
        <v>2564700</v>
      </c>
      <c r="G245">
        <v>6</v>
      </c>
      <c r="H245" s="10">
        <v>45658</v>
      </c>
      <c r="I245" s="10">
        <v>45658</v>
      </c>
      <c r="J245" t="b">
        <v>0</v>
      </c>
      <c r="K245" s="11">
        <v>0</v>
      </c>
    </row>
    <row r="246" spans="1:11" x14ac:dyDescent="0.3">
      <c r="A246" t="s">
        <v>291</v>
      </c>
      <c r="B246" t="s">
        <v>42</v>
      </c>
      <c r="C246" t="s">
        <v>43</v>
      </c>
      <c r="D246" s="10">
        <v>45474</v>
      </c>
      <c r="E246" s="11">
        <v>18.2</v>
      </c>
      <c r="F246" s="12">
        <v>1510600</v>
      </c>
      <c r="G246">
        <v>9</v>
      </c>
      <c r="H246" s="10">
        <v>45748</v>
      </c>
      <c r="I246" s="10">
        <v>45748</v>
      </c>
      <c r="J246" t="b">
        <v>0</v>
      </c>
      <c r="K246" s="11">
        <v>0</v>
      </c>
    </row>
    <row r="247" spans="1:11" x14ac:dyDescent="0.3">
      <c r="A247" t="s">
        <v>292</v>
      </c>
      <c r="B247" t="s">
        <v>42</v>
      </c>
      <c r="C247" t="s">
        <v>43</v>
      </c>
      <c r="D247" s="10">
        <v>45474</v>
      </c>
      <c r="E247" s="11">
        <v>25.3</v>
      </c>
      <c r="F247" s="12">
        <v>2099900</v>
      </c>
      <c r="G247">
        <v>8</v>
      </c>
      <c r="H247" s="10">
        <v>45717</v>
      </c>
      <c r="I247" s="10">
        <v>45717</v>
      </c>
      <c r="J247" t="b">
        <v>0</v>
      </c>
      <c r="K247" s="11">
        <v>0</v>
      </c>
    </row>
    <row r="248" spans="1:11" x14ac:dyDescent="0.3">
      <c r="A248" t="s">
        <v>293</v>
      </c>
      <c r="B248" t="s">
        <v>42</v>
      </c>
      <c r="C248" t="s">
        <v>43</v>
      </c>
      <c r="D248" s="10">
        <v>45474</v>
      </c>
      <c r="E248" s="11">
        <v>12.8</v>
      </c>
      <c r="F248" s="12">
        <v>1062400</v>
      </c>
      <c r="G248">
        <v>6</v>
      </c>
      <c r="H248" s="10">
        <v>45658</v>
      </c>
      <c r="I248" s="10">
        <v>45658</v>
      </c>
      <c r="J248" t="b">
        <v>0</v>
      </c>
      <c r="K248" s="11">
        <v>0</v>
      </c>
    </row>
    <row r="249" spans="1:11" x14ac:dyDescent="0.3">
      <c r="A249" t="s">
        <v>294</v>
      </c>
      <c r="B249" t="s">
        <v>56</v>
      </c>
      <c r="C249" t="s">
        <v>57</v>
      </c>
      <c r="D249" s="10">
        <v>45474</v>
      </c>
      <c r="E249" s="11">
        <v>10.5</v>
      </c>
      <c r="F249" s="12">
        <v>924000</v>
      </c>
      <c r="G249">
        <v>11</v>
      </c>
      <c r="H249" s="10">
        <v>45809</v>
      </c>
      <c r="I249" s="10">
        <v>45809</v>
      </c>
      <c r="J249" t="b">
        <v>0</v>
      </c>
      <c r="K249" s="11">
        <v>0.02</v>
      </c>
    </row>
    <row r="250" spans="1:11" x14ac:dyDescent="0.3">
      <c r="A250" t="s">
        <v>295</v>
      </c>
      <c r="B250" t="s">
        <v>56</v>
      </c>
      <c r="C250" t="s">
        <v>57</v>
      </c>
      <c r="D250" s="10">
        <v>45474</v>
      </c>
      <c r="E250" s="11">
        <v>9.6999999999999993</v>
      </c>
      <c r="F250" s="12">
        <v>853599.99999999988</v>
      </c>
      <c r="G250">
        <v>5</v>
      </c>
      <c r="H250" s="10">
        <v>45627</v>
      </c>
      <c r="I250" s="10">
        <v>45870</v>
      </c>
      <c r="J250" t="b">
        <v>0</v>
      </c>
      <c r="K250" s="11">
        <v>7.56</v>
      </c>
    </row>
    <row r="251" spans="1:11" x14ac:dyDescent="0.3">
      <c r="A251" t="s">
        <v>296</v>
      </c>
      <c r="B251" t="s">
        <v>56</v>
      </c>
      <c r="C251" t="s">
        <v>57</v>
      </c>
      <c r="D251" s="10">
        <v>45474</v>
      </c>
      <c r="E251" s="11">
        <v>3</v>
      </c>
      <c r="F251" s="12">
        <v>264000</v>
      </c>
      <c r="G251">
        <v>10</v>
      </c>
      <c r="H251" s="10">
        <v>45778</v>
      </c>
      <c r="I251" s="10">
        <v>45809</v>
      </c>
      <c r="J251" t="b">
        <v>0</v>
      </c>
      <c r="K251" s="11">
        <v>0.57999999999999996</v>
      </c>
    </row>
    <row r="252" spans="1:11" x14ac:dyDescent="0.3">
      <c r="A252" t="s">
        <v>297</v>
      </c>
      <c r="B252" t="s">
        <v>56</v>
      </c>
      <c r="C252" t="s">
        <v>57</v>
      </c>
      <c r="D252" s="10">
        <v>45474</v>
      </c>
      <c r="E252" s="11">
        <v>20.8</v>
      </c>
      <c r="F252" s="12">
        <v>1830400</v>
      </c>
      <c r="G252">
        <v>11</v>
      </c>
      <c r="H252" s="10">
        <v>45809</v>
      </c>
      <c r="I252" s="10">
        <v>45809</v>
      </c>
      <c r="J252" t="b">
        <v>0</v>
      </c>
      <c r="K252" s="11">
        <v>0.47</v>
      </c>
    </row>
    <row r="253" spans="1:11" x14ac:dyDescent="0.3">
      <c r="A253" t="s">
        <v>298</v>
      </c>
      <c r="B253" t="s">
        <v>56</v>
      </c>
      <c r="C253" t="s">
        <v>62</v>
      </c>
      <c r="D253" s="10">
        <v>45474</v>
      </c>
      <c r="E253" s="11">
        <v>21.1</v>
      </c>
      <c r="F253" s="12">
        <v>1709100</v>
      </c>
      <c r="G253">
        <v>6</v>
      </c>
      <c r="H253" s="10">
        <v>45658</v>
      </c>
      <c r="I253" s="10">
        <v>45839</v>
      </c>
      <c r="J253" t="b">
        <v>0</v>
      </c>
      <c r="K253" s="11">
        <v>5.6</v>
      </c>
    </row>
    <row r="254" spans="1:11" x14ac:dyDescent="0.3">
      <c r="A254" t="s">
        <v>299</v>
      </c>
      <c r="B254" t="s">
        <v>56</v>
      </c>
      <c r="C254" t="s">
        <v>62</v>
      </c>
      <c r="D254" s="10">
        <v>45474</v>
      </c>
      <c r="E254" s="11">
        <v>8.1</v>
      </c>
      <c r="F254" s="12">
        <v>656100</v>
      </c>
      <c r="G254">
        <v>6</v>
      </c>
      <c r="H254" s="10">
        <v>45658</v>
      </c>
      <c r="I254" s="10">
        <v>45689</v>
      </c>
      <c r="J254" t="b">
        <v>0</v>
      </c>
      <c r="K254" s="11">
        <v>0.64</v>
      </c>
    </row>
    <row r="255" spans="1:11" x14ac:dyDescent="0.3">
      <c r="A255" t="s">
        <v>300</v>
      </c>
      <c r="B255" t="s">
        <v>56</v>
      </c>
      <c r="C255" t="s">
        <v>62</v>
      </c>
      <c r="D255" s="10">
        <v>45474</v>
      </c>
      <c r="E255" s="11">
        <v>3.8</v>
      </c>
      <c r="F255" s="12">
        <v>307800</v>
      </c>
      <c r="G255">
        <v>7</v>
      </c>
      <c r="H255" s="10">
        <v>45689</v>
      </c>
      <c r="I255" s="10"/>
      <c r="J255" t="b">
        <v>1</v>
      </c>
      <c r="K255" s="11">
        <v>1.73</v>
      </c>
    </row>
    <row r="256" spans="1:11" x14ac:dyDescent="0.3">
      <c r="A256" t="s">
        <v>301</v>
      </c>
      <c r="B256" t="s">
        <v>56</v>
      </c>
      <c r="C256" t="s">
        <v>62</v>
      </c>
      <c r="D256" s="10">
        <v>45474</v>
      </c>
      <c r="E256" s="11">
        <v>17.899999999999999</v>
      </c>
      <c r="F256" s="12">
        <v>1449900</v>
      </c>
      <c r="G256">
        <v>9</v>
      </c>
      <c r="H256" s="10">
        <v>45748</v>
      </c>
      <c r="I256" s="10">
        <v>45778</v>
      </c>
      <c r="J256" t="b">
        <v>0</v>
      </c>
      <c r="K256" s="11">
        <v>1.05</v>
      </c>
    </row>
    <row r="257" spans="1:11" x14ac:dyDescent="0.3">
      <c r="A257" t="s">
        <v>302</v>
      </c>
      <c r="B257" t="s">
        <v>65</v>
      </c>
      <c r="C257" t="s">
        <v>66</v>
      </c>
      <c r="D257" s="10">
        <v>45474</v>
      </c>
      <c r="E257" s="11">
        <v>7.6</v>
      </c>
      <c r="F257" s="12">
        <v>539600</v>
      </c>
      <c r="G257">
        <v>10</v>
      </c>
      <c r="H257" s="10">
        <v>45778</v>
      </c>
      <c r="I257" s="10"/>
      <c r="J257" t="b">
        <v>1</v>
      </c>
      <c r="K257" s="11">
        <v>1.39</v>
      </c>
    </row>
    <row r="258" spans="1:11" x14ac:dyDescent="0.3">
      <c r="A258" t="s">
        <v>303</v>
      </c>
      <c r="B258" t="s">
        <v>65</v>
      </c>
      <c r="C258" t="s">
        <v>66</v>
      </c>
      <c r="D258" s="10">
        <v>45474</v>
      </c>
      <c r="E258" s="11">
        <v>11.3</v>
      </c>
      <c r="F258" s="12">
        <v>802300</v>
      </c>
      <c r="G258">
        <v>6</v>
      </c>
      <c r="H258" s="10">
        <v>45658</v>
      </c>
      <c r="I258" s="10">
        <v>45778</v>
      </c>
      <c r="J258" t="b">
        <v>0</v>
      </c>
      <c r="K258" s="11">
        <v>3.85</v>
      </c>
    </row>
    <row r="259" spans="1:11" x14ac:dyDescent="0.3">
      <c r="A259" t="s">
        <v>304</v>
      </c>
      <c r="B259" t="s">
        <v>72</v>
      </c>
      <c r="C259" t="s">
        <v>72</v>
      </c>
      <c r="D259" s="10">
        <v>45474</v>
      </c>
      <c r="E259" s="11">
        <v>7.4</v>
      </c>
      <c r="F259" s="12">
        <v>584600</v>
      </c>
      <c r="G259">
        <v>6</v>
      </c>
      <c r="H259" s="10">
        <v>45658</v>
      </c>
      <c r="I259" s="10">
        <v>45658</v>
      </c>
      <c r="J259" t="b">
        <v>0</v>
      </c>
      <c r="K259" s="11">
        <v>0.13</v>
      </c>
    </row>
    <row r="260" spans="1:11" x14ac:dyDescent="0.3">
      <c r="A260" t="s">
        <v>305</v>
      </c>
      <c r="B260" t="s">
        <v>42</v>
      </c>
      <c r="C260" t="s">
        <v>43</v>
      </c>
      <c r="D260" s="10">
        <v>45505</v>
      </c>
      <c r="E260" s="11">
        <v>60.8</v>
      </c>
      <c r="F260" s="12">
        <v>5046400</v>
      </c>
      <c r="G260">
        <v>8</v>
      </c>
      <c r="H260" s="10">
        <v>45748</v>
      </c>
      <c r="I260" s="10">
        <v>45778</v>
      </c>
      <c r="J260" t="b">
        <v>0</v>
      </c>
      <c r="K260" s="11">
        <v>1.04</v>
      </c>
    </row>
    <row r="261" spans="1:11" x14ac:dyDescent="0.3">
      <c r="A261" t="s">
        <v>306</v>
      </c>
      <c r="B261" t="s">
        <v>42</v>
      </c>
      <c r="C261" t="s">
        <v>43</v>
      </c>
      <c r="D261" s="10">
        <v>45505</v>
      </c>
      <c r="E261" s="11">
        <v>15.8</v>
      </c>
      <c r="F261" s="12">
        <v>1311400</v>
      </c>
      <c r="G261">
        <v>8</v>
      </c>
      <c r="H261" s="10">
        <v>45748</v>
      </c>
      <c r="I261" s="10">
        <v>45778</v>
      </c>
      <c r="J261" t="b">
        <v>0</v>
      </c>
      <c r="K261" s="11">
        <v>0.62</v>
      </c>
    </row>
    <row r="262" spans="1:11" x14ac:dyDescent="0.3">
      <c r="A262" t="s">
        <v>307</v>
      </c>
      <c r="B262" t="s">
        <v>42</v>
      </c>
      <c r="C262" t="s">
        <v>43</v>
      </c>
      <c r="D262" s="10">
        <v>45505</v>
      </c>
      <c r="E262" s="11">
        <v>11.7</v>
      </c>
      <c r="F262" s="12">
        <v>971100</v>
      </c>
      <c r="G262">
        <v>10</v>
      </c>
      <c r="H262" s="10">
        <v>45809</v>
      </c>
      <c r="I262" s="10">
        <v>45809</v>
      </c>
      <c r="J262" t="b">
        <v>0</v>
      </c>
      <c r="K262" s="11">
        <v>0</v>
      </c>
    </row>
    <row r="263" spans="1:11" x14ac:dyDescent="0.3">
      <c r="A263" t="s">
        <v>308</v>
      </c>
      <c r="B263" t="s">
        <v>42</v>
      </c>
      <c r="C263" t="s">
        <v>43</v>
      </c>
      <c r="D263" s="10">
        <v>45505</v>
      </c>
      <c r="E263" s="11">
        <v>7.5</v>
      </c>
      <c r="F263" s="12">
        <v>622500</v>
      </c>
      <c r="G263">
        <v>8</v>
      </c>
      <c r="H263" s="10">
        <v>45748</v>
      </c>
      <c r="I263" s="10">
        <v>45748</v>
      </c>
      <c r="J263" t="b">
        <v>0</v>
      </c>
      <c r="K263" s="11">
        <v>0</v>
      </c>
    </row>
    <row r="264" spans="1:11" x14ac:dyDescent="0.3">
      <c r="A264" t="s">
        <v>309</v>
      </c>
      <c r="B264" t="s">
        <v>42</v>
      </c>
      <c r="C264" t="s">
        <v>43</v>
      </c>
      <c r="D264" s="10">
        <v>45505</v>
      </c>
      <c r="E264" s="11">
        <v>12.6</v>
      </c>
      <c r="F264" s="12">
        <v>1045800</v>
      </c>
      <c r="G264">
        <v>7</v>
      </c>
      <c r="H264" s="10">
        <v>45717</v>
      </c>
      <c r="I264" s="10">
        <v>45717</v>
      </c>
      <c r="J264" t="b">
        <v>0</v>
      </c>
      <c r="K264" s="11">
        <v>0.45</v>
      </c>
    </row>
    <row r="265" spans="1:11" x14ac:dyDescent="0.3">
      <c r="A265" t="s">
        <v>310</v>
      </c>
      <c r="B265" t="s">
        <v>42</v>
      </c>
      <c r="C265" t="s">
        <v>43</v>
      </c>
      <c r="D265" s="10">
        <v>45505</v>
      </c>
      <c r="E265" s="11">
        <v>11.1</v>
      </c>
      <c r="F265" s="12">
        <v>921300</v>
      </c>
      <c r="G265">
        <v>9</v>
      </c>
      <c r="H265" s="10">
        <v>45778</v>
      </c>
      <c r="I265" s="10">
        <v>45778</v>
      </c>
      <c r="J265" t="b">
        <v>0</v>
      </c>
      <c r="K265" s="11">
        <v>0</v>
      </c>
    </row>
    <row r="266" spans="1:11" x14ac:dyDescent="0.3">
      <c r="A266" t="s">
        <v>311</v>
      </c>
      <c r="B266" t="s">
        <v>42</v>
      </c>
      <c r="C266" t="s">
        <v>43</v>
      </c>
      <c r="D266" s="10">
        <v>45505</v>
      </c>
      <c r="E266" s="11">
        <v>12</v>
      </c>
      <c r="F266" s="12">
        <v>996000</v>
      </c>
      <c r="G266">
        <v>6</v>
      </c>
      <c r="H266" s="10">
        <v>45689</v>
      </c>
      <c r="I266" s="10">
        <v>45778</v>
      </c>
      <c r="J266" t="b">
        <v>0</v>
      </c>
      <c r="K266" s="11">
        <v>2.68</v>
      </c>
    </row>
    <row r="267" spans="1:11" x14ac:dyDescent="0.3">
      <c r="A267" t="s">
        <v>312</v>
      </c>
      <c r="B267" t="s">
        <v>42</v>
      </c>
      <c r="C267" t="s">
        <v>43</v>
      </c>
      <c r="D267" s="10">
        <v>45505</v>
      </c>
      <c r="E267" s="11">
        <v>19.600000000000001</v>
      </c>
      <c r="F267" s="12">
        <v>1626800</v>
      </c>
      <c r="G267">
        <v>7</v>
      </c>
      <c r="H267" s="10">
        <v>45717</v>
      </c>
      <c r="I267" s="10">
        <v>45717</v>
      </c>
      <c r="J267" t="b">
        <v>0</v>
      </c>
      <c r="K267" s="11">
        <v>7.0000000000000007E-2</v>
      </c>
    </row>
    <row r="268" spans="1:11" x14ac:dyDescent="0.3">
      <c r="A268" t="s">
        <v>313</v>
      </c>
      <c r="B268" t="s">
        <v>42</v>
      </c>
      <c r="C268" t="s">
        <v>43</v>
      </c>
      <c r="D268" s="10">
        <v>45505</v>
      </c>
      <c r="E268" s="11">
        <v>9.9</v>
      </c>
      <c r="F268" s="12">
        <v>821700</v>
      </c>
      <c r="G268">
        <v>10</v>
      </c>
      <c r="H268" s="10">
        <v>45809</v>
      </c>
      <c r="I268" s="10">
        <v>45809</v>
      </c>
      <c r="J268" t="b">
        <v>0</v>
      </c>
      <c r="K268" s="11">
        <v>0</v>
      </c>
    </row>
    <row r="269" spans="1:11" x14ac:dyDescent="0.3">
      <c r="A269" t="s">
        <v>314</v>
      </c>
      <c r="B269" t="s">
        <v>42</v>
      </c>
      <c r="C269" t="s">
        <v>43</v>
      </c>
      <c r="D269" s="10">
        <v>45505</v>
      </c>
      <c r="E269" s="11">
        <v>7.2</v>
      </c>
      <c r="F269" s="12">
        <v>597600</v>
      </c>
      <c r="G269">
        <v>10</v>
      </c>
      <c r="H269" s="10">
        <v>45809</v>
      </c>
      <c r="I269" s="10">
        <v>45809</v>
      </c>
      <c r="J269" t="b">
        <v>0</v>
      </c>
      <c r="K269" s="11">
        <v>0.21</v>
      </c>
    </row>
    <row r="270" spans="1:11" x14ac:dyDescent="0.3">
      <c r="A270" t="s">
        <v>315</v>
      </c>
      <c r="B270" t="s">
        <v>42</v>
      </c>
      <c r="C270" t="s">
        <v>43</v>
      </c>
      <c r="D270" s="10">
        <v>45505</v>
      </c>
      <c r="E270" s="11">
        <v>51.3</v>
      </c>
      <c r="F270" s="12">
        <v>4257900</v>
      </c>
      <c r="G270">
        <v>5</v>
      </c>
      <c r="H270" s="10">
        <v>45658</v>
      </c>
      <c r="I270" s="10">
        <v>45658</v>
      </c>
      <c r="J270" t="b">
        <v>0</v>
      </c>
      <c r="K270" s="11">
        <v>0</v>
      </c>
    </row>
    <row r="271" spans="1:11" x14ac:dyDescent="0.3">
      <c r="A271" t="s">
        <v>316</v>
      </c>
      <c r="B271" t="s">
        <v>42</v>
      </c>
      <c r="C271" t="s">
        <v>43</v>
      </c>
      <c r="D271" s="10">
        <v>45505</v>
      </c>
      <c r="E271" s="11">
        <v>10.199999999999999</v>
      </c>
      <c r="F271" s="12">
        <v>846599.99999999988</v>
      </c>
      <c r="G271">
        <v>7</v>
      </c>
      <c r="H271" s="10">
        <v>45717</v>
      </c>
      <c r="I271" s="10">
        <v>45717</v>
      </c>
      <c r="J271" t="b">
        <v>0</v>
      </c>
      <c r="K271" s="11">
        <v>0.05</v>
      </c>
    </row>
    <row r="272" spans="1:11" x14ac:dyDescent="0.3">
      <c r="A272" t="s">
        <v>317</v>
      </c>
      <c r="B272" t="s">
        <v>42</v>
      </c>
      <c r="C272" t="s">
        <v>43</v>
      </c>
      <c r="D272" s="10">
        <v>45505</v>
      </c>
      <c r="E272" s="11">
        <v>52.5</v>
      </c>
      <c r="F272" s="12">
        <v>4357500</v>
      </c>
      <c r="G272">
        <v>6</v>
      </c>
      <c r="H272" s="10">
        <v>45689</v>
      </c>
      <c r="I272" s="10">
        <v>45839</v>
      </c>
      <c r="J272" t="b">
        <v>0</v>
      </c>
      <c r="K272" s="11">
        <v>5.34</v>
      </c>
    </row>
    <row r="273" spans="1:11" x14ac:dyDescent="0.3">
      <c r="A273" t="s">
        <v>318</v>
      </c>
      <c r="B273" t="s">
        <v>42</v>
      </c>
      <c r="C273" t="s">
        <v>43</v>
      </c>
      <c r="D273" s="10">
        <v>45505</v>
      </c>
      <c r="E273" s="11">
        <v>37.700000000000003</v>
      </c>
      <c r="F273" s="12">
        <v>3129100</v>
      </c>
      <c r="G273">
        <v>9</v>
      </c>
      <c r="H273" s="10">
        <v>45778</v>
      </c>
      <c r="I273" s="10">
        <v>45778</v>
      </c>
      <c r="J273" t="b">
        <v>0</v>
      </c>
      <c r="K273" s="11">
        <v>0</v>
      </c>
    </row>
    <row r="274" spans="1:11" x14ac:dyDescent="0.3">
      <c r="A274" t="s">
        <v>319</v>
      </c>
      <c r="B274" t="s">
        <v>42</v>
      </c>
      <c r="C274" t="s">
        <v>43</v>
      </c>
      <c r="D274" s="10">
        <v>45505</v>
      </c>
      <c r="E274" s="11">
        <v>29</v>
      </c>
      <c r="F274" s="12">
        <v>2407000</v>
      </c>
      <c r="G274">
        <v>9</v>
      </c>
      <c r="H274" s="10">
        <v>45778</v>
      </c>
      <c r="I274" s="10">
        <v>45778</v>
      </c>
      <c r="J274" t="b">
        <v>0</v>
      </c>
      <c r="K274" s="11">
        <v>0.05</v>
      </c>
    </row>
    <row r="275" spans="1:11" x14ac:dyDescent="0.3">
      <c r="A275" t="s">
        <v>320</v>
      </c>
      <c r="B275" t="s">
        <v>42</v>
      </c>
      <c r="C275" t="s">
        <v>43</v>
      </c>
      <c r="D275" s="10">
        <v>45505</v>
      </c>
      <c r="E275" s="11">
        <v>6</v>
      </c>
      <c r="F275" s="12">
        <v>498000</v>
      </c>
      <c r="G275">
        <v>11</v>
      </c>
      <c r="H275" s="10">
        <v>45839</v>
      </c>
      <c r="I275" s="10">
        <v>45870</v>
      </c>
      <c r="J275" t="b">
        <v>0</v>
      </c>
      <c r="K275" s="11">
        <v>0.82</v>
      </c>
    </row>
    <row r="276" spans="1:11" x14ac:dyDescent="0.3">
      <c r="A276" t="s">
        <v>321</v>
      </c>
      <c r="B276" t="s">
        <v>56</v>
      </c>
      <c r="C276" t="s">
        <v>57</v>
      </c>
      <c r="D276" s="10">
        <v>45505</v>
      </c>
      <c r="E276" s="11">
        <v>14.2</v>
      </c>
      <c r="F276" s="12">
        <v>1249600</v>
      </c>
      <c r="G276">
        <v>8</v>
      </c>
      <c r="H276" s="10">
        <v>45748</v>
      </c>
      <c r="I276" s="10">
        <v>45778</v>
      </c>
      <c r="J276" t="b">
        <v>0</v>
      </c>
      <c r="K276" s="11">
        <v>0.53</v>
      </c>
    </row>
    <row r="277" spans="1:11" x14ac:dyDescent="0.3">
      <c r="A277" t="s">
        <v>322</v>
      </c>
      <c r="B277" t="s">
        <v>56</v>
      </c>
      <c r="C277" t="s">
        <v>57</v>
      </c>
      <c r="D277" s="10">
        <v>45505</v>
      </c>
      <c r="E277" s="11">
        <v>43.6</v>
      </c>
      <c r="F277" s="12">
        <v>3836800</v>
      </c>
      <c r="G277">
        <v>7</v>
      </c>
      <c r="H277" s="10">
        <v>45717</v>
      </c>
      <c r="I277" s="10">
        <v>45748</v>
      </c>
      <c r="J277" t="b">
        <v>0</v>
      </c>
      <c r="K277" s="11">
        <v>1.1100000000000001</v>
      </c>
    </row>
    <row r="278" spans="1:11" x14ac:dyDescent="0.3">
      <c r="A278" t="s">
        <v>323</v>
      </c>
      <c r="B278" t="s">
        <v>56</v>
      </c>
      <c r="C278" t="s">
        <v>57</v>
      </c>
      <c r="D278" s="10">
        <v>45505</v>
      </c>
      <c r="E278" s="11">
        <v>9.6999999999999993</v>
      </c>
      <c r="F278" s="12">
        <v>853599.99999999988</v>
      </c>
      <c r="G278">
        <v>5</v>
      </c>
      <c r="H278" s="10">
        <v>45658</v>
      </c>
      <c r="I278" s="10">
        <v>45658</v>
      </c>
      <c r="J278" t="b">
        <v>0</v>
      </c>
      <c r="K278" s="11">
        <v>0.32</v>
      </c>
    </row>
    <row r="279" spans="1:11" x14ac:dyDescent="0.3">
      <c r="A279" t="s">
        <v>324</v>
      </c>
      <c r="B279" t="s">
        <v>56</v>
      </c>
      <c r="C279" t="s">
        <v>57</v>
      </c>
      <c r="D279" s="10">
        <v>45505</v>
      </c>
      <c r="E279" s="11">
        <v>9.6</v>
      </c>
      <c r="F279" s="12">
        <v>844800</v>
      </c>
      <c r="G279">
        <v>5</v>
      </c>
      <c r="H279" s="10">
        <v>45658</v>
      </c>
      <c r="I279" s="10">
        <v>45658</v>
      </c>
      <c r="J279" t="b">
        <v>0</v>
      </c>
      <c r="K279" s="11">
        <v>0.04</v>
      </c>
    </row>
    <row r="280" spans="1:11" x14ac:dyDescent="0.3">
      <c r="A280" t="s">
        <v>325</v>
      </c>
      <c r="B280" t="s">
        <v>56</v>
      </c>
      <c r="C280" t="s">
        <v>62</v>
      </c>
      <c r="D280" s="10">
        <v>45505</v>
      </c>
      <c r="E280" s="11">
        <v>14.9</v>
      </c>
      <c r="F280" s="12">
        <v>1206900</v>
      </c>
      <c r="G280">
        <v>7</v>
      </c>
      <c r="H280" s="10">
        <v>45717</v>
      </c>
      <c r="I280" s="10">
        <v>45717</v>
      </c>
      <c r="J280" t="b">
        <v>0</v>
      </c>
      <c r="K280" s="11">
        <v>0.34</v>
      </c>
    </row>
    <row r="281" spans="1:11" x14ac:dyDescent="0.3">
      <c r="A281" t="s">
        <v>326</v>
      </c>
      <c r="B281" t="s">
        <v>65</v>
      </c>
      <c r="C281" t="s">
        <v>66</v>
      </c>
      <c r="D281" s="10">
        <v>45505</v>
      </c>
      <c r="E281" s="11">
        <v>13.4</v>
      </c>
      <c r="F281" s="12">
        <v>951400</v>
      </c>
      <c r="G281">
        <v>6</v>
      </c>
      <c r="H281" s="10">
        <v>45689</v>
      </c>
      <c r="I281" s="10">
        <v>45962</v>
      </c>
      <c r="J281" t="b">
        <v>0</v>
      </c>
      <c r="K281" s="11">
        <v>8.66</v>
      </c>
    </row>
    <row r="282" spans="1:11" x14ac:dyDescent="0.3">
      <c r="A282" t="s">
        <v>327</v>
      </c>
      <c r="B282" t="s">
        <v>65</v>
      </c>
      <c r="C282" t="s">
        <v>66</v>
      </c>
      <c r="D282" s="10">
        <v>45505</v>
      </c>
      <c r="E282" s="11">
        <v>3.9</v>
      </c>
      <c r="F282" s="12">
        <v>276900</v>
      </c>
      <c r="G282">
        <v>7</v>
      </c>
      <c r="H282" s="10">
        <v>45717</v>
      </c>
      <c r="I282" s="10">
        <v>45809</v>
      </c>
      <c r="J282" t="b">
        <v>0</v>
      </c>
      <c r="K282" s="11">
        <v>2.5099999999999998</v>
      </c>
    </row>
    <row r="283" spans="1:11" x14ac:dyDescent="0.3">
      <c r="A283" t="s">
        <v>328</v>
      </c>
      <c r="B283" t="s">
        <v>65</v>
      </c>
      <c r="C283" t="s">
        <v>66</v>
      </c>
      <c r="D283" s="10">
        <v>45505</v>
      </c>
      <c r="E283" s="11">
        <v>65.8</v>
      </c>
      <c r="F283" s="12">
        <v>4671800</v>
      </c>
      <c r="G283">
        <v>5</v>
      </c>
      <c r="H283" s="10">
        <v>45658</v>
      </c>
      <c r="I283" s="10">
        <v>45689</v>
      </c>
      <c r="J283" t="b">
        <v>0</v>
      </c>
      <c r="K283" s="11">
        <v>0.54</v>
      </c>
    </row>
    <row r="284" spans="1:11" x14ac:dyDescent="0.3">
      <c r="A284" t="s">
        <v>329</v>
      </c>
      <c r="B284" t="s">
        <v>65</v>
      </c>
      <c r="C284" t="s">
        <v>70</v>
      </c>
      <c r="D284" s="10">
        <v>45505</v>
      </c>
      <c r="E284" s="11">
        <v>23</v>
      </c>
      <c r="F284" s="12">
        <v>1932000</v>
      </c>
      <c r="G284">
        <v>10</v>
      </c>
      <c r="H284" s="10">
        <v>45809</v>
      </c>
      <c r="I284" s="10">
        <v>45839</v>
      </c>
      <c r="J284" t="b">
        <v>0</v>
      </c>
      <c r="K284" s="11">
        <v>1.24</v>
      </c>
    </row>
    <row r="285" spans="1:11" x14ac:dyDescent="0.3">
      <c r="A285" t="s">
        <v>330</v>
      </c>
      <c r="B285" t="s">
        <v>72</v>
      </c>
      <c r="C285" t="s">
        <v>72</v>
      </c>
      <c r="D285" s="10">
        <v>45505</v>
      </c>
      <c r="E285" s="11">
        <v>18.7</v>
      </c>
      <c r="F285" s="12">
        <v>1477300</v>
      </c>
      <c r="G285">
        <v>10</v>
      </c>
      <c r="H285" s="10">
        <v>45809</v>
      </c>
      <c r="I285" s="10">
        <v>45870</v>
      </c>
      <c r="J285" t="b">
        <v>0</v>
      </c>
      <c r="K285" s="11">
        <v>1.75</v>
      </c>
    </row>
    <row r="286" spans="1:11" x14ac:dyDescent="0.3">
      <c r="A286" t="s">
        <v>331</v>
      </c>
      <c r="B286" t="s">
        <v>72</v>
      </c>
      <c r="C286" t="s">
        <v>72</v>
      </c>
      <c r="D286" s="10">
        <v>45505</v>
      </c>
      <c r="E286" s="11">
        <v>72.3</v>
      </c>
      <c r="F286" s="12">
        <v>5711700</v>
      </c>
      <c r="G286">
        <v>5</v>
      </c>
      <c r="H286" s="10">
        <v>45658</v>
      </c>
      <c r="I286" s="10">
        <v>45658</v>
      </c>
      <c r="J286" t="b">
        <v>0</v>
      </c>
      <c r="K286" s="11">
        <v>7.0000000000000007E-2</v>
      </c>
    </row>
    <row r="287" spans="1:11" x14ac:dyDescent="0.3">
      <c r="A287" t="s">
        <v>332</v>
      </c>
      <c r="B287" t="s">
        <v>42</v>
      </c>
      <c r="C287" t="s">
        <v>43</v>
      </c>
      <c r="D287" s="10">
        <v>45536</v>
      </c>
      <c r="E287" s="11">
        <v>15.6</v>
      </c>
      <c r="F287" s="12">
        <v>1294800</v>
      </c>
      <c r="G287">
        <v>11</v>
      </c>
      <c r="H287" s="10">
        <v>45870</v>
      </c>
      <c r="I287" s="10">
        <v>45870</v>
      </c>
      <c r="J287" t="b">
        <v>0</v>
      </c>
      <c r="K287" s="11">
        <v>0.08</v>
      </c>
    </row>
    <row r="288" spans="1:11" x14ac:dyDescent="0.3">
      <c r="A288" t="s">
        <v>333</v>
      </c>
      <c r="B288" t="s">
        <v>42</v>
      </c>
      <c r="C288" t="s">
        <v>43</v>
      </c>
      <c r="D288" s="10">
        <v>45536</v>
      </c>
      <c r="E288" s="11">
        <v>6</v>
      </c>
      <c r="F288" s="12">
        <v>498000</v>
      </c>
      <c r="G288">
        <v>11</v>
      </c>
      <c r="H288" s="10">
        <v>45870</v>
      </c>
      <c r="I288" s="10">
        <v>45870</v>
      </c>
      <c r="J288" t="b">
        <v>0</v>
      </c>
      <c r="K288" s="11">
        <v>0</v>
      </c>
    </row>
    <row r="289" spans="1:11" x14ac:dyDescent="0.3">
      <c r="A289" t="s">
        <v>334</v>
      </c>
      <c r="B289" t="s">
        <v>42</v>
      </c>
      <c r="C289" t="s">
        <v>43</v>
      </c>
      <c r="D289" s="10">
        <v>45536</v>
      </c>
      <c r="E289" s="11">
        <v>22.5</v>
      </c>
      <c r="F289" s="12">
        <v>1867500</v>
      </c>
      <c r="G289">
        <v>7</v>
      </c>
      <c r="H289" s="10">
        <v>45748</v>
      </c>
      <c r="I289" s="10">
        <v>45748</v>
      </c>
      <c r="J289" t="b">
        <v>0</v>
      </c>
      <c r="K289" s="11">
        <v>0.08</v>
      </c>
    </row>
    <row r="290" spans="1:11" x14ac:dyDescent="0.3">
      <c r="A290" t="s">
        <v>335</v>
      </c>
      <c r="B290" t="s">
        <v>42</v>
      </c>
      <c r="C290" t="s">
        <v>43</v>
      </c>
      <c r="D290" s="10">
        <v>45536</v>
      </c>
      <c r="E290" s="11">
        <v>10.6</v>
      </c>
      <c r="F290" s="12">
        <v>879800</v>
      </c>
      <c r="G290">
        <v>8</v>
      </c>
      <c r="H290" s="10">
        <v>45778</v>
      </c>
      <c r="I290" s="10">
        <v>45778</v>
      </c>
      <c r="J290" t="b">
        <v>0</v>
      </c>
      <c r="K290" s="11">
        <v>0.01</v>
      </c>
    </row>
    <row r="291" spans="1:11" x14ac:dyDescent="0.3">
      <c r="A291" t="s">
        <v>336</v>
      </c>
      <c r="B291" t="s">
        <v>42</v>
      </c>
      <c r="C291" t="s">
        <v>43</v>
      </c>
      <c r="D291" s="10">
        <v>45536</v>
      </c>
      <c r="E291" s="11">
        <v>5.2</v>
      </c>
      <c r="F291" s="12">
        <v>431600</v>
      </c>
      <c r="G291">
        <v>6</v>
      </c>
      <c r="H291" s="10">
        <v>45717</v>
      </c>
      <c r="I291" s="10">
        <v>45717</v>
      </c>
      <c r="J291" t="b">
        <v>0</v>
      </c>
      <c r="K291" s="11">
        <v>0</v>
      </c>
    </row>
    <row r="292" spans="1:11" x14ac:dyDescent="0.3">
      <c r="A292" t="s">
        <v>337</v>
      </c>
      <c r="B292" t="s">
        <v>42</v>
      </c>
      <c r="C292" t="s">
        <v>43</v>
      </c>
      <c r="D292" s="10">
        <v>45536</v>
      </c>
      <c r="E292" s="11">
        <v>17.899999999999999</v>
      </c>
      <c r="F292" s="12">
        <v>1485700</v>
      </c>
      <c r="G292">
        <v>7</v>
      </c>
      <c r="H292" s="10">
        <v>45748</v>
      </c>
      <c r="I292" s="10">
        <v>45748</v>
      </c>
      <c r="J292" t="b">
        <v>0</v>
      </c>
      <c r="K292" s="11">
        <v>0.27</v>
      </c>
    </row>
    <row r="293" spans="1:11" x14ac:dyDescent="0.3">
      <c r="A293" t="s">
        <v>338</v>
      </c>
      <c r="B293" t="s">
        <v>42</v>
      </c>
      <c r="C293" t="s">
        <v>43</v>
      </c>
      <c r="D293" s="10">
        <v>45536</v>
      </c>
      <c r="E293" s="11">
        <v>9.4</v>
      </c>
      <c r="F293" s="12">
        <v>780200</v>
      </c>
      <c r="G293">
        <v>5</v>
      </c>
      <c r="H293" s="10">
        <v>45689</v>
      </c>
      <c r="I293" s="10">
        <v>45809</v>
      </c>
      <c r="J293" t="b">
        <v>0</v>
      </c>
      <c r="K293" s="11">
        <v>3.61</v>
      </c>
    </row>
    <row r="294" spans="1:11" x14ac:dyDescent="0.3">
      <c r="A294" t="s">
        <v>339</v>
      </c>
      <c r="B294" t="s">
        <v>42</v>
      </c>
      <c r="C294" t="s">
        <v>43</v>
      </c>
      <c r="D294" s="10">
        <v>45536</v>
      </c>
      <c r="E294" s="11">
        <v>23.5</v>
      </c>
      <c r="F294" s="12">
        <v>1950500</v>
      </c>
      <c r="G294">
        <v>11</v>
      </c>
      <c r="H294" s="10">
        <v>45870</v>
      </c>
      <c r="I294" s="10">
        <v>45901</v>
      </c>
      <c r="J294" t="b">
        <v>0</v>
      </c>
      <c r="K294" s="11">
        <v>0.56000000000000005</v>
      </c>
    </row>
    <row r="295" spans="1:11" x14ac:dyDescent="0.3">
      <c r="A295" t="s">
        <v>340</v>
      </c>
      <c r="B295" t="s">
        <v>42</v>
      </c>
      <c r="C295" t="s">
        <v>43</v>
      </c>
      <c r="D295" s="10">
        <v>45536</v>
      </c>
      <c r="E295" s="11">
        <v>8.8000000000000007</v>
      </c>
      <c r="F295" s="12">
        <v>730400.00000000012</v>
      </c>
      <c r="G295">
        <v>6</v>
      </c>
      <c r="H295" s="10">
        <v>45717</v>
      </c>
      <c r="I295" s="10">
        <v>45717</v>
      </c>
      <c r="J295" t="b">
        <v>0</v>
      </c>
      <c r="K295" s="11">
        <v>0</v>
      </c>
    </row>
    <row r="296" spans="1:11" x14ac:dyDescent="0.3">
      <c r="A296" t="s">
        <v>341</v>
      </c>
      <c r="B296" t="s">
        <v>42</v>
      </c>
      <c r="C296" t="s">
        <v>43</v>
      </c>
      <c r="D296" s="10">
        <v>45536</v>
      </c>
      <c r="E296" s="11">
        <v>32.5</v>
      </c>
      <c r="F296" s="12">
        <v>2697500</v>
      </c>
      <c r="G296">
        <v>8</v>
      </c>
      <c r="H296" s="10">
        <v>45778</v>
      </c>
      <c r="I296" s="10">
        <v>46054</v>
      </c>
      <c r="J296" t="b">
        <v>0</v>
      </c>
      <c r="K296" s="11">
        <v>9.0399999999999991</v>
      </c>
    </row>
    <row r="297" spans="1:11" x14ac:dyDescent="0.3">
      <c r="A297" t="s">
        <v>342</v>
      </c>
      <c r="B297" t="s">
        <v>42</v>
      </c>
      <c r="C297" t="s">
        <v>43</v>
      </c>
      <c r="D297" s="10">
        <v>45536</v>
      </c>
      <c r="E297" s="11">
        <v>21.5</v>
      </c>
      <c r="F297" s="12">
        <v>1784500</v>
      </c>
      <c r="G297">
        <v>5</v>
      </c>
      <c r="H297" s="10">
        <v>45689</v>
      </c>
      <c r="I297" s="10">
        <v>45748</v>
      </c>
      <c r="J297" t="b">
        <v>0</v>
      </c>
      <c r="K297" s="11">
        <v>1.56</v>
      </c>
    </row>
    <row r="298" spans="1:11" x14ac:dyDescent="0.3">
      <c r="A298" t="s">
        <v>343</v>
      </c>
      <c r="B298" t="s">
        <v>42</v>
      </c>
      <c r="C298" t="s">
        <v>43</v>
      </c>
      <c r="D298" s="10">
        <v>45536</v>
      </c>
      <c r="E298" s="11">
        <v>12.7</v>
      </c>
      <c r="F298" s="12">
        <v>1054100</v>
      </c>
      <c r="G298">
        <v>9</v>
      </c>
      <c r="H298" s="10">
        <v>45809</v>
      </c>
      <c r="I298" s="10">
        <v>45901</v>
      </c>
      <c r="J298" t="b">
        <v>0</v>
      </c>
      <c r="K298" s="11">
        <v>2.66</v>
      </c>
    </row>
    <row r="299" spans="1:11" x14ac:dyDescent="0.3">
      <c r="A299" t="s">
        <v>344</v>
      </c>
      <c r="B299" t="s">
        <v>42</v>
      </c>
      <c r="C299" t="s">
        <v>43</v>
      </c>
      <c r="D299" s="10">
        <v>45536</v>
      </c>
      <c r="E299" s="11">
        <v>8.9</v>
      </c>
      <c r="F299" s="12">
        <v>738700</v>
      </c>
      <c r="G299">
        <v>7</v>
      </c>
      <c r="H299" s="10">
        <v>45748</v>
      </c>
      <c r="I299" s="10">
        <v>45901</v>
      </c>
      <c r="J299" t="b">
        <v>0</v>
      </c>
      <c r="K299" s="11">
        <v>4.7</v>
      </c>
    </row>
    <row r="300" spans="1:11" x14ac:dyDescent="0.3">
      <c r="A300" t="s">
        <v>345</v>
      </c>
      <c r="B300" t="s">
        <v>42</v>
      </c>
      <c r="C300" t="s">
        <v>43</v>
      </c>
      <c r="D300" s="10">
        <v>45536</v>
      </c>
      <c r="E300" s="11">
        <v>10.6</v>
      </c>
      <c r="F300" s="12">
        <v>879800</v>
      </c>
      <c r="G300">
        <v>9</v>
      </c>
      <c r="H300" s="10">
        <v>45809</v>
      </c>
      <c r="I300" s="10">
        <v>45809</v>
      </c>
      <c r="J300" t="b">
        <v>0</v>
      </c>
      <c r="K300" s="11">
        <v>0.02</v>
      </c>
    </row>
    <row r="301" spans="1:11" x14ac:dyDescent="0.3">
      <c r="A301" t="s">
        <v>346</v>
      </c>
      <c r="B301" t="s">
        <v>42</v>
      </c>
      <c r="C301" t="s">
        <v>43</v>
      </c>
      <c r="D301" s="10">
        <v>45536</v>
      </c>
      <c r="E301" s="11">
        <v>10.7</v>
      </c>
      <c r="F301" s="12">
        <v>888099.99999999988</v>
      </c>
      <c r="G301">
        <v>8</v>
      </c>
      <c r="H301" s="10">
        <v>45778</v>
      </c>
      <c r="I301" s="10">
        <v>45778</v>
      </c>
      <c r="J301" t="b">
        <v>0</v>
      </c>
      <c r="K301" s="11">
        <v>0.1</v>
      </c>
    </row>
    <row r="302" spans="1:11" x14ac:dyDescent="0.3">
      <c r="A302" t="s">
        <v>347</v>
      </c>
      <c r="B302" t="s">
        <v>42</v>
      </c>
      <c r="C302" t="s">
        <v>43</v>
      </c>
      <c r="D302" s="10">
        <v>45536</v>
      </c>
      <c r="E302" s="11">
        <v>14.6</v>
      </c>
      <c r="F302" s="12">
        <v>1211800</v>
      </c>
      <c r="G302">
        <v>6</v>
      </c>
      <c r="H302" s="10">
        <v>45717</v>
      </c>
      <c r="I302" s="10">
        <v>45778</v>
      </c>
      <c r="J302" t="b">
        <v>0</v>
      </c>
      <c r="K302" s="11">
        <v>1.91</v>
      </c>
    </row>
    <row r="303" spans="1:11" x14ac:dyDescent="0.3">
      <c r="A303" t="s">
        <v>348</v>
      </c>
      <c r="B303" t="s">
        <v>42</v>
      </c>
      <c r="C303" t="s">
        <v>43</v>
      </c>
      <c r="D303" s="10">
        <v>45536</v>
      </c>
      <c r="E303" s="11">
        <v>6.9</v>
      </c>
      <c r="F303" s="12">
        <v>572700</v>
      </c>
      <c r="G303">
        <v>8</v>
      </c>
      <c r="H303" s="10">
        <v>45778</v>
      </c>
      <c r="I303" s="10">
        <v>45778</v>
      </c>
      <c r="J303" t="b">
        <v>0</v>
      </c>
      <c r="K303" s="11">
        <v>0.32</v>
      </c>
    </row>
    <row r="304" spans="1:11" x14ac:dyDescent="0.3">
      <c r="A304" t="s">
        <v>349</v>
      </c>
      <c r="B304" t="s">
        <v>42</v>
      </c>
      <c r="C304" t="s">
        <v>43</v>
      </c>
      <c r="D304" s="10">
        <v>45536</v>
      </c>
      <c r="E304" s="11">
        <v>19.899999999999999</v>
      </c>
      <c r="F304" s="12">
        <v>1651700</v>
      </c>
      <c r="G304">
        <v>7</v>
      </c>
      <c r="H304" s="10">
        <v>45748</v>
      </c>
      <c r="I304" s="10">
        <v>45748</v>
      </c>
      <c r="J304" t="b">
        <v>0</v>
      </c>
      <c r="K304" s="11">
        <v>0</v>
      </c>
    </row>
    <row r="305" spans="1:11" x14ac:dyDescent="0.3">
      <c r="A305" t="s">
        <v>350</v>
      </c>
      <c r="B305" t="s">
        <v>42</v>
      </c>
      <c r="C305" t="s">
        <v>43</v>
      </c>
      <c r="D305" s="10">
        <v>45536</v>
      </c>
      <c r="E305" s="11">
        <v>40.799999999999997</v>
      </c>
      <c r="F305" s="12">
        <v>3386400</v>
      </c>
      <c r="G305">
        <v>7</v>
      </c>
      <c r="H305" s="10">
        <v>45748</v>
      </c>
      <c r="I305" s="10">
        <v>45809</v>
      </c>
      <c r="J305" t="b">
        <v>0</v>
      </c>
      <c r="K305" s="11">
        <v>1.62</v>
      </c>
    </row>
    <row r="306" spans="1:11" x14ac:dyDescent="0.3">
      <c r="A306" t="s">
        <v>351</v>
      </c>
      <c r="B306" t="s">
        <v>56</v>
      </c>
      <c r="C306" t="s">
        <v>57</v>
      </c>
      <c r="D306" s="10">
        <v>45536</v>
      </c>
      <c r="E306" s="11">
        <v>10.7</v>
      </c>
      <c r="F306" s="12">
        <v>941600</v>
      </c>
      <c r="G306">
        <v>10</v>
      </c>
      <c r="H306" s="10">
        <v>45839</v>
      </c>
      <c r="I306" s="10">
        <v>45839</v>
      </c>
      <c r="J306" t="b">
        <v>0</v>
      </c>
      <c r="K306" s="11">
        <v>0.01</v>
      </c>
    </row>
    <row r="307" spans="1:11" x14ac:dyDescent="0.3">
      <c r="A307" t="s">
        <v>352</v>
      </c>
      <c r="B307" t="s">
        <v>56</v>
      </c>
      <c r="C307" t="s">
        <v>57</v>
      </c>
      <c r="D307" s="10">
        <v>45536</v>
      </c>
      <c r="E307" s="11">
        <v>17.899999999999999</v>
      </c>
      <c r="F307" s="12">
        <v>1575200</v>
      </c>
      <c r="G307">
        <v>6</v>
      </c>
      <c r="H307" s="10">
        <v>45717</v>
      </c>
      <c r="I307" s="10">
        <v>45717</v>
      </c>
      <c r="J307" t="b">
        <v>0</v>
      </c>
      <c r="K307" s="11">
        <v>0.04</v>
      </c>
    </row>
    <row r="308" spans="1:11" x14ac:dyDescent="0.3">
      <c r="A308" t="s">
        <v>353</v>
      </c>
      <c r="B308" t="s">
        <v>56</v>
      </c>
      <c r="C308" t="s">
        <v>57</v>
      </c>
      <c r="D308" s="10">
        <v>45536</v>
      </c>
      <c r="E308" s="11">
        <v>10.7</v>
      </c>
      <c r="F308" s="12">
        <v>941600</v>
      </c>
      <c r="G308">
        <v>5</v>
      </c>
      <c r="H308" s="10">
        <v>45689</v>
      </c>
      <c r="I308" s="10">
        <v>45689</v>
      </c>
      <c r="J308" t="b">
        <v>0</v>
      </c>
      <c r="K308" s="11">
        <v>0.1</v>
      </c>
    </row>
    <row r="309" spans="1:11" x14ac:dyDescent="0.3">
      <c r="A309" t="s">
        <v>354</v>
      </c>
      <c r="B309" t="s">
        <v>56</v>
      </c>
      <c r="C309" t="s">
        <v>57</v>
      </c>
      <c r="D309" s="10">
        <v>45536</v>
      </c>
      <c r="E309" s="11">
        <v>12.5</v>
      </c>
      <c r="F309" s="12">
        <v>1100000</v>
      </c>
      <c r="G309">
        <v>9</v>
      </c>
      <c r="H309" s="10">
        <v>45809</v>
      </c>
      <c r="I309" s="10">
        <v>45809</v>
      </c>
      <c r="J309" t="b">
        <v>0</v>
      </c>
      <c r="K309" s="11">
        <v>7.0000000000000007E-2</v>
      </c>
    </row>
    <row r="310" spans="1:11" x14ac:dyDescent="0.3">
      <c r="A310" t="s">
        <v>355</v>
      </c>
      <c r="B310" t="s">
        <v>72</v>
      </c>
      <c r="C310" t="s">
        <v>72</v>
      </c>
      <c r="D310" s="10">
        <v>45536</v>
      </c>
      <c r="E310" s="11">
        <v>44.2</v>
      </c>
      <c r="F310" s="12">
        <v>3491800</v>
      </c>
      <c r="G310">
        <v>8</v>
      </c>
      <c r="H310" s="10">
        <v>45778</v>
      </c>
      <c r="I310" s="10">
        <v>45870</v>
      </c>
      <c r="J310" t="b">
        <v>0</v>
      </c>
      <c r="K310" s="11">
        <v>3.27</v>
      </c>
    </row>
    <row r="311" spans="1:11" x14ac:dyDescent="0.3">
      <c r="A311" t="s">
        <v>356</v>
      </c>
      <c r="B311" t="s">
        <v>42</v>
      </c>
      <c r="C311" t="s">
        <v>43</v>
      </c>
      <c r="D311" s="10">
        <v>45566</v>
      </c>
      <c r="E311" s="11">
        <v>14.7</v>
      </c>
      <c r="F311" s="12">
        <v>1220100</v>
      </c>
      <c r="G311">
        <v>8</v>
      </c>
      <c r="H311" s="10">
        <v>45809</v>
      </c>
      <c r="I311" s="10">
        <v>45809</v>
      </c>
      <c r="J311" t="b">
        <v>0</v>
      </c>
      <c r="K311" s="11">
        <v>0</v>
      </c>
    </row>
    <row r="312" spans="1:11" x14ac:dyDescent="0.3">
      <c r="A312" t="s">
        <v>357</v>
      </c>
      <c r="B312" t="s">
        <v>42</v>
      </c>
      <c r="C312" t="s">
        <v>43</v>
      </c>
      <c r="D312" s="10">
        <v>45566</v>
      </c>
      <c r="E312" s="11">
        <v>6.7</v>
      </c>
      <c r="F312" s="12">
        <v>556100</v>
      </c>
      <c r="G312">
        <v>8</v>
      </c>
      <c r="H312" s="10">
        <v>45809</v>
      </c>
      <c r="I312" s="10">
        <v>45809</v>
      </c>
      <c r="J312" t="b">
        <v>0</v>
      </c>
      <c r="K312" s="11">
        <v>0.01</v>
      </c>
    </row>
    <row r="313" spans="1:11" x14ac:dyDescent="0.3">
      <c r="A313" t="s">
        <v>358</v>
      </c>
      <c r="B313" t="s">
        <v>42</v>
      </c>
      <c r="C313" t="s">
        <v>43</v>
      </c>
      <c r="D313" s="10">
        <v>45566</v>
      </c>
      <c r="E313" s="11">
        <v>7.2</v>
      </c>
      <c r="F313" s="12">
        <v>597600</v>
      </c>
      <c r="G313">
        <v>7</v>
      </c>
      <c r="H313" s="10">
        <v>45778</v>
      </c>
      <c r="I313" s="10">
        <v>45778</v>
      </c>
      <c r="J313" t="b">
        <v>0</v>
      </c>
      <c r="K313" s="11">
        <v>0</v>
      </c>
    </row>
    <row r="314" spans="1:11" x14ac:dyDescent="0.3">
      <c r="A314" t="s">
        <v>359</v>
      </c>
      <c r="B314" t="s">
        <v>42</v>
      </c>
      <c r="C314" t="s">
        <v>43</v>
      </c>
      <c r="D314" s="10">
        <v>45566</v>
      </c>
      <c r="E314" s="11">
        <v>32.6</v>
      </c>
      <c r="F314" s="12">
        <v>2705800</v>
      </c>
      <c r="G314">
        <v>10</v>
      </c>
      <c r="H314" s="10">
        <v>45870</v>
      </c>
      <c r="I314" s="10">
        <v>46113</v>
      </c>
      <c r="J314" t="b">
        <v>0</v>
      </c>
      <c r="K314" s="11">
        <v>7.52</v>
      </c>
    </row>
    <row r="315" spans="1:11" x14ac:dyDescent="0.3">
      <c r="A315" t="s">
        <v>360</v>
      </c>
      <c r="B315" t="s">
        <v>42</v>
      </c>
      <c r="C315" t="s">
        <v>43</v>
      </c>
      <c r="D315" s="10">
        <v>45566</v>
      </c>
      <c r="E315" s="11">
        <v>14.6</v>
      </c>
      <c r="F315" s="12">
        <v>1211800</v>
      </c>
      <c r="G315">
        <v>6</v>
      </c>
      <c r="H315" s="10">
        <v>45748</v>
      </c>
      <c r="I315" s="10">
        <v>45748</v>
      </c>
      <c r="J315" t="b">
        <v>0</v>
      </c>
      <c r="K315" s="11">
        <v>0</v>
      </c>
    </row>
    <row r="316" spans="1:11" x14ac:dyDescent="0.3">
      <c r="A316" t="s">
        <v>361</v>
      </c>
      <c r="B316" t="s">
        <v>42</v>
      </c>
      <c r="C316" t="s">
        <v>43</v>
      </c>
      <c r="D316" s="10">
        <v>45566</v>
      </c>
      <c r="E316" s="11">
        <v>10.4</v>
      </c>
      <c r="F316" s="12">
        <v>863200</v>
      </c>
      <c r="G316">
        <v>10</v>
      </c>
      <c r="H316" s="10">
        <v>45870</v>
      </c>
      <c r="I316" s="10">
        <v>45870</v>
      </c>
      <c r="J316" t="b">
        <v>0</v>
      </c>
      <c r="K316" s="11">
        <v>0.01</v>
      </c>
    </row>
    <row r="317" spans="1:11" x14ac:dyDescent="0.3">
      <c r="A317" t="s">
        <v>362</v>
      </c>
      <c r="B317" t="s">
        <v>42</v>
      </c>
      <c r="C317" t="s">
        <v>43</v>
      </c>
      <c r="D317" s="10">
        <v>45566</v>
      </c>
      <c r="E317" s="11">
        <v>10.3</v>
      </c>
      <c r="F317" s="12">
        <v>854900.00000000012</v>
      </c>
      <c r="G317">
        <v>11</v>
      </c>
      <c r="H317" s="10">
        <v>45901</v>
      </c>
      <c r="I317" s="10">
        <v>45901</v>
      </c>
      <c r="J317" t="b">
        <v>0</v>
      </c>
      <c r="K317" s="11">
        <v>0.28999999999999998</v>
      </c>
    </row>
    <row r="318" spans="1:11" x14ac:dyDescent="0.3">
      <c r="A318" t="s">
        <v>363</v>
      </c>
      <c r="B318" t="s">
        <v>42</v>
      </c>
      <c r="C318" t="s">
        <v>43</v>
      </c>
      <c r="D318" s="10">
        <v>45566</v>
      </c>
      <c r="E318" s="11">
        <v>7.2</v>
      </c>
      <c r="F318" s="12">
        <v>597600</v>
      </c>
      <c r="G318">
        <v>5</v>
      </c>
      <c r="H318" s="10">
        <v>45717</v>
      </c>
      <c r="I318" s="10">
        <v>45717</v>
      </c>
      <c r="J318" t="b">
        <v>0</v>
      </c>
      <c r="K318" s="11">
        <v>0</v>
      </c>
    </row>
    <row r="319" spans="1:11" x14ac:dyDescent="0.3">
      <c r="A319" t="s">
        <v>364</v>
      </c>
      <c r="B319" t="s">
        <v>42</v>
      </c>
      <c r="C319" t="s">
        <v>43</v>
      </c>
      <c r="D319" s="10">
        <v>45566</v>
      </c>
      <c r="E319" s="11">
        <v>5.8</v>
      </c>
      <c r="F319" s="12">
        <v>481400</v>
      </c>
      <c r="G319">
        <v>9</v>
      </c>
      <c r="H319" s="10">
        <v>45839</v>
      </c>
      <c r="I319" s="10">
        <v>45839</v>
      </c>
      <c r="J319" t="b">
        <v>0</v>
      </c>
      <c r="K319" s="11">
        <v>0</v>
      </c>
    </row>
    <row r="320" spans="1:11" x14ac:dyDescent="0.3">
      <c r="A320" t="s">
        <v>365</v>
      </c>
      <c r="B320" t="s">
        <v>42</v>
      </c>
      <c r="C320" t="s">
        <v>43</v>
      </c>
      <c r="D320" s="10">
        <v>45566</v>
      </c>
      <c r="E320" s="11">
        <v>29.1</v>
      </c>
      <c r="F320" s="12">
        <v>2415300</v>
      </c>
      <c r="G320">
        <v>7</v>
      </c>
      <c r="H320" s="10">
        <v>45778</v>
      </c>
      <c r="I320" s="10">
        <v>45778</v>
      </c>
      <c r="J320" t="b">
        <v>0</v>
      </c>
      <c r="K320" s="11">
        <v>0</v>
      </c>
    </row>
    <row r="321" spans="1:11" x14ac:dyDescent="0.3">
      <c r="A321" t="s">
        <v>366</v>
      </c>
      <c r="B321" t="s">
        <v>42</v>
      </c>
      <c r="C321" t="s">
        <v>43</v>
      </c>
      <c r="D321" s="10">
        <v>45566</v>
      </c>
      <c r="E321" s="11">
        <v>24.6</v>
      </c>
      <c r="F321" s="12">
        <v>2041800</v>
      </c>
      <c r="G321">
        <v>10</v>
      </c>
      <c r="H321" s="10">
        <v>45870</v>
      </c>
      <c r="I321" s="10">
        <v>45870</v>
      </c>
      <c r="J321" t="b">
        <v>0</v>
      </c>
      <c r="K321" s="11">
        <v>0.1</v>
      </c>
    </row>
    <row r="322" spans="1:11" x14ac:dyDescent="0.3">
      <c r="A322" t="s">
        <v>367</v>
      </c>
      <c r="B322" t="s">
        <v>42</v>
      </c>
      <c r="C322" t="s">
        <v>43</v>
      </c>
      <c r="D322" s="10">
        <v>45566</v>
      </c>
      <c r="E322" s="11">
        <v>18.8</v>
      </c>
      <c r="F322" s="12">
        <v>1560400</v>
      </c>
      <c r="G322">
        <v>9</v>
      </c>
      <c r="H322" s="10">
        <v>45839</v>
      </c>
      <c r="I322" s="10">
        <v>45901</v>
      </c>
      <c r="J322" t="b">
        <v>0</v>
      </c>
      <c r="K322" s="11">
        <v>1.53</v>
      </c>
    </row>
    <row r="323" spans="1:11" x14ac:dyDescent="0.3">
      <c r="A323" t="s">
        <v>368</v>
      </c>
      <c r="B323" t="s">
        <v>42</v>
      </c>
      <c r="C323" t="s">
        <v>43</v>
      </c>
      <c r="D323" s="10">
        <v>45566</v>
      </c>
      <c r="E323" s="11">
        <v>14.8</v>
      </c>
      <c r="F323" s="12">
        <v>1228400</v>
      </c>
      <c r="G323">
        <v>7</v>
      </c>
      <c r="H323" s="10">
        <v>45778</v>
      </c>
      <c r="I323" s="10">
        <v>45778</v>
      </c>
      <c r="J323" t="b">
        <v>0</v>
      </c>
      <c r="K323" s="11">
        <v>0.41</v>
      </c>
    </row>
    <row r="324" spans="1:11" x14ac:dyDescent="0.3">
      <c r="A324" t="s">
        <v>369</v>
      </c>
      <c r="B324" t="s">
        <v>42</v>
      </c>
      <c r="C324" t="s">
        <v>43</v>
      </c>
      <c r="D324" s="10">
        <v>45566</v>
      </c>
      <c r="E324" s="11">
        <v>7</v>
      </c>
      <c r="F324" s="12">
        <v>581000</v>
      </c>
      <c r="G324">
        <v>5</v>
      </c>
      <c r="H324" s="10">
        <v>45717</v>
      </c>
      <c r="I324" s="10">
        <v>45748</v>
      </c>
      <c r="J324" t="b">
        <v>0</v>
      </c>
      <c r="K324" s="11">
        <v>0.63</v>
      </c>
    </row>
    <row r="325" spans="1:11" x14ac:dyDescent="0.3">
      <c r="A325" t="s">
        <v>370</v>
      </c>
      <c r="B325" t="s">
        <v>42</v>
      </c>
      <c r="C325" t="s">
        <v>43</v>
      </c>
      <c r="D325" s="10">
        <v>45566</v>
      </c>
      <c r="E325" s="11">
        <v>1.4</v>
      </c>
      <c r="F325" s="12">
        <v>116200</v>
      </c>
      <c r="G325">
        <v>11</v>
      </c>
      <c r="H325" s="10">
        <v>45901</v>
      </c>
      <c r="I325" s="10">
        <v>45992</v>
      </c>
      <c r="J325" t="b">
        <v>0</v>
      </c>
      <c r="K325" s="11">
        <v>3.39</v>
      </c>
    </row>
    <row r="326" spans="1:11" x14ac:dyDescent="0.3">
      <c r="A326" t="s">
        <v>371</v>
      </c>
      <c r="B326" t="s">
        <v>42</v>
      </c>
      <c r="C326" t="s">
        <v>43</v>
      </c>
      <c r="D326" s="10">
        <v>45566</v>
      </c>
      <c r="E326" s="11">
        <v>29.9</v>
      </c>
      <c r="F326" s="12">
        <v>2481700</v>
      </c>
      <c r="G326">
        <v>8</v>
      </c>
      <c r="H326" s="10">
        <v>45809</v>
      </c>
      <c r="I326" s="10">
        <v>45809</v>
      </c>
      <c r="J326" t="b">
        <v>0</v>
      </c>
      <c r="K326" s="11">
        <v>0.01</v>
      </c>
    </row>
    <row r="327" spans="1:11" x14ac:dyDescent="0.3">
      <c r="A327" t="s">
        <v>372</v>
      </c>
      <c r="B327" t="s">
        <v>42</v>
      </c>
      <c r="C327" t="s">
        <v>43</v>
      </c>
      <c r="D327" s="10">
        <v>45566</v>
      </c>
      <c r="E327" s="11">
        <v>33.1</v>
      </c>
      <c r="F327" s="12">
        <v>2747300</v>
      </c>
      <c r="G327">
        <v>8</v>
      </c>
      <c r="H327" s="10">
        <v>45809</v>
      </c>
      <c r="I327" s="10">
        <v>45809</v>
      </c>
      <c r="J327" t="b">
        <v>0</v>
      </c>
      <c r="K327" s="11">
        <v>0.34</v>
      </c>
    </row>
    <row r="328" spans="1:11" x14ac:dyDescent="0.3">
      <c r="A328" t="s">
        <v>373</v>
      </c>
      <c r="B328" t="s">
        <v>42</v>
      </c>
      <c r="C328" t="s">
        <v>43</v>
      </c>
      <c r="D328" s="10">
        <v>45566</v>
      </c>
      <c r="E328" s="11">
        <v>18</v>
      </c>
      <c r="F328" s="12">
        <v>1494000</v>
      </c>
      <c r="G328">
        <v>11</v>
      </c>
      <c r="H328" s="10">
        <v>45901</v>
      </c>
      <c r="I328" s="10">
        <v>45901</v>
      </c>
      <c r="J328" t="b">
        <v>0</v>
      </c>
      <c r="K328" s="11">
        <v>0.14000000000000001</v>
      </c>
    </row>
    <row r="329" spans="1:11" x14ac:dyDescent="0.3">
      <c r="A329" t="s">
        <v>374</v>
      </c>
      <c r="B329" t="s">
        <v>42</v>
      </c>
      <c r="C329" t="s">
        <v>43</v>
      </c>
      <c r="D329" s="10">
        <v>45566</v>
      </c>
      <c r="E329" s="11">
        <v>18.899999999999999</v>
      </c>
      <c r="F329" s="12">
        <v>1568700</v>
      </c>
      <c r="G329">
        <v>5</v>
      </c>
      <c r="H329" s="10">
        <v>45717</v>
      </c>
      <c r="I329" s="10">
        <v>45717</v>
      </c>
      <c r="J329" t="b">
        <v>0</v>
      </c>
      <c r="K329" s="11">
        <v>0.31</v>
      </c>
    </row>
    <row r="330" spans="1:11" x14ac:dyDescent="0.3">
      <c r="A330" t="s">
        <v>375</v>
      </c>
      <c r="B330" t="s">
        <v>42</v>
      </c>
      <c r="C330" t="s">
        <v>43</v>
      </c>
      <c r="D330" s="10">
        <v>45566</v>
      </c>
      <c r="E330" s="11">
        <v>13.4</v>
      </c>
      <c r="F330" s="12">
        <v>1112200</v>
      </c>
      <c r="G330">
        <v>8</v>
      </c>
      <c r="H330" s="10">
        <v>45809</v>
      </c>
      <c r="I330" s="10">
        <v>45839</v>
      </c>
      <c r="J330" t="b">
        <v>0</v>
      </c>
      <c r="K330" s="11">
        <v>0.75</v>
      </c>
    </row>
    <row r="331" spans="1:11" x14ac:dyDescent="0.3">
      <c r="A331" t="s">
        <v>376</v>
      </c>
      <c r="B331" t="s">
        <v>42</v>
      </c>
      <c r="C331" t="s">
        <v>43</v>
      </c>
      <c r="D331" s="10">
        <v>45566</v>
      </c>
      <c r="E331" s="11">
        <v>8.3000000000000007</v>
      </c>
      <c r="F331" s="12">
        <v>688900.00000000012</v>
      </c>
      <c r="G331">
        <v>6</v>
      </c>
      <c r="H331" s="10">
        <v>45748</v>
      </c>
      <c r="I331" s="10">
        <v>45748</v>
      </c>
      <c r="J331" t="b">
        <v>0</v>
      </c>
      <c r="K331" s="11">
        <v>0</v>
      </c>
    </row>
    <row r="332" spans="1:11" x14ac:dyDescent="0.3">
      <c r="A332" t="s">
        <v>377</v>
      </c>
      <c r="B332" t="s">
        <v>42</v>
      </c>
      <c r="C332" t="s">
        <v>43</v>
      </c>
      <c r="D332" s="10">
        <v>45566</v>
      </c>
      <c r="E332" s="11">
        <v>15.2</v>
      </c>
      <c r="F332" s="12">
        <v>1261600</v>
      </c>
      <c r="G332">
        <v>7</v>
      </c>
      <c r="H332" s="10">
        <v>45778</v>
      </c>
      <c r="I332" s="10">
        <v>45778</v>
      </c>
      <c r="J332" t="b">
        <v>0</v>
      </c>
      <c r="K332" s="11">
        <v>0</v>
      </c>
    </row>
    <row r="333" spans="1:11" x14ac:dyDescent="0.3">
      <c r="A333" t="s">
        <v>378</v>
      </c>
      <c r="B333" t="s">
        <v>42</v>
      </c>
      <c r="C333" t="s">
        <v>43</v>
      </c>
      <c r="D333" s="10">
        <v>45566</v>
      </c>
      <c r="E333" s="11">
        <v>9.6999999999999993</v>
      </c>
      <c r="F333" s="12">
        <v>805099.99999999988</v>
      </c>
      <c r="G333">
        <v>11</v>
      </c>
      <c r="H333" s="10">
        <v>45901</v>
      </c>
      <c r="I333" s="10">
        <v>45901</v>
      </c>
      <c r="J333" t="b">
        <v>0</v>
      </c>
      <c r="K333" s="11">
        <v>0.02</v>
      </c>
    </row>
    <row r="334" spans="1:11" x14ac:dyDescent="0.3">
      <c r="A334" t="s">
        <v>379</v>
      </c>
      <c r="B334" t="s">
        <v>56</v>
      </c>
      <c r="C334" t="s">
        <v>57</v>
      </c>
      <c r="D334" s="10">
        <v>45566</v>
      </c>
      <c r="E334" s="11">
        <v>10.3</v>
      </c>
      <c r="F334" s="12">
        <v>906400</v>
      </c>
      <c r="G334">
        <v>10</v>
      </c>
      <c r="H334" s="10">
        <v>45870</v>
      </c>
      <c r="I334" s="10">
        <v>45870</v>
      </c>
      <c r="J334" t="b">
        <v>0</v>
      </c>
      <c r="K334" s="11">
        <v>0.15</v>
      </c>
    </row>
    <row r="335" spans="1:11" x14ac:dyDescent="0.3">
      <c r="A335" t="s">
        <v>380</v>
      </c>
      <c r="B335" t="s">
        <v>56</v>
      </c>
      <c r="C335" t="s">
        <v>62</v>
      </c>
      <c r="D335" s="10">
        <v>45566</v>
      </c>
      <c r="E335" s="11">
        <v>28.8</v>
      </c>
      <c r="F335" s="12">
        <v>2332800</v>
      </c>
      <c r="G335">
        <v>5</v>
      </c>
      <c r="H335" s="10">
        <v>45717</v>
      </c>
      <c r="I335" s="10">
        <v>45717</v>
      </c>
      <c r="J335" t="b">
        <v>0</v>
      </c>
      <c r="K335" s="11">
        <v>0.19</v>
      </c>
    </row>
    <row r="336" spans="1:11" x14ac:dyDescent="0.3">
      <c r="A336" t="s">
        <v>381</v>
      </c>
      <c r="B336" t="s">
        <v>65</v>
      </c>
      <c r="C336" t="s">
        <v>66</v>
      </c>
      <c r="D336" s="10">
        <v>45566</v>
      </c>
      <c r="E336" s="11">
        <v>12.7</v>
      </c>
      <c r="F336" s="12">
        <v>901700</v>
      </c>
      <c r="G336">
        <v>6</v>
      </c>
      <c r="H336" s="10">
        <v>45748</v>
      </c>
      <c r="I336" s="10">
        <v>45778</v>
      </c>
      <c r="J336" t="b">
        <v>0</v>
      </c>
      <c r="K336" s="11">
        <v>0.93</v>
      </c>
    </row>
    <row r="337" spans="1:11" x14ac:dyDescent="0.3">
      <c r="A337" t="s">
        <v>382</v>
      </c>
      <c r="B337" t="s">
        <v>65</v>
      </c>
      <c r="C337" t="s">
        <v>66</v>
      </c>
      <c r="D337" s="10">
        <v>45566</v>
      </c>
      <c r="E337" s="11">
        <v>16</v>
      </c>
      <c r="F337" s="12">
        <v>1136000</v>
      </c>
      <c r="G337">
        <v>5</v>
      </c>
      <c r="H337" s="10">
        <v>45717</v>
      </c>
      <c r="I337" s="10">
        <v>45809</v>
      </c>
      <c r="J337" t="b">
        <v>0</v>
      </c>
      <c r="K337" s="11">
        <v>2.66</v>
      </c>
    </row>
    <row r="338" spans="1:11" x14ac:dyDescent="0.3">
      <c r="A338" t="s">
        <v>383</v>
      </c>
      <c r="B338" t="s">
        <v>65</v>
      </c>
      <c r="C338" t="s">
        <v>66</v>
      </c>
      <c r="D338" s="10">
        <v>45566</v>
      </c>
      <c r="E338" s="11">
        <v>45.8</v>
      </c>
      <c r="F338" s="12">
        <v>3251800</v>
      </c>
      <c r="G338">
        <v>9</v>
      </c>
      <c r="H338" s="10">
        <v>45839</v>
      </c>
      <c r="I338" s="10">
        <v>45931</v>
      </c>
      <c r="J338" t="b">
        <v>0</v>
      </c>
      <c r="K338" s="11">
        <v>2.75</v>
      </c>
    </row>
    <row r="339" spans="1:11" x14ac:dyDescent="0.3">
      <c r="A339" t="s">
        <v>384</v>
      </c>
      <c r="B339" t="s">
        <v>65</v>
      </c>
      <c r="C339" t="s">
        <v>70</v>
      </c>
      <c r="D339" s="10">
        <v>45566</v>
      </c>
      <c r="E339" s="11">
        <v>16.5</v>
      </c>
      <c r="F339" s="12">
        <v>1386000</v>
      </c>
      <c r="G339">
        <v>11</v>
      </c>
      <c r="H339" s="10">
        <v>45901</v>
      </c>
      <c r="I339" s="10">
        <v>45931</v>
      </c>
      <c r="J339" t="b">
        <v>0</v>
      </c>
      <c r="K339" s="11">
        <v>0.88</v>
      </c>
    </row>
    <row r="340" spans="1:11" x14ac:dyDescent="0.3">
      <c r="A340" t="s">
        <v>385</v>
      </c>
      <c r="B340" t="s">
        <v>65</v>
      </c>
      <c r="C340" t="s">
        <v>70</v>
      </c>
      <c r="D340" s="10">
        <v>45566</v>
      </c>
      <c r="E340" s="11">
        <v>19.8</v>
      </c>
      <c r="F340" s="12">
        <v>1663200</v>
      </c>
      <c r="G340">
        <v>6</v>
      </c>
      <c r="H340" s="10">
        <v>45748</v>
      </c>
      <c r="I340" s="10">
        <v>45748</v>
      </c>
      <c r="J340" t="b">
        <v>0</v>
      </c>
      <c r="K340" s="11">
        <v>0.1</v>
      </c>
    </row>
    <row r="341" spans="1:11" x14ac:dyDescent="0.3">
      <c r="A341" t="s">
        <v>386</v>
      </c>
      <c r="B341" t="s">
        <v>72</v>
      </c>
      <c r="C341" t="s">
        <v>72</v>
      </c>
      <c r="D341" s="10">
        <v>45566</v>
      </c>
      <c r="E341" s="11">
        <v>8.8000000000000007</v>
      </c>
      <c r="F341" s="12">
        <v>695200</v>
      </c>
      <c r="G341">
        <v>11</v>
      </c>
      <c r="H341" s="10">
        <v>45901</v>
      </c>
      <c r="I341" s="10">
        <v>45931</v>
      </c>
      <c r="J341" t="b">
        <v>0</v>
      </c>
      <c r="K341" s="11">
        <v>0.83</v>
      </c>
    </row>
    <row r="342" spans="1:11" x14ac:dyDescent="0.3">
      <c r="A342" t="s">
        <v>387</v>
      </c>
      <c r="B342" t="s">
        <v>42</v>
      </c>
      <c r="C342" t="s">
        <v>43</v>
      </c>
      <c r="D342" s="10">
        <v>45597</v>
      </c>
      <c r="E342" s="11">
        <v>4.3</v>
      </c>
      <c r="F342" s="12">
        <v>356900</v>
      </c>
      <c r="G342">
        <v>11</v>
      </c>
      <c r="H342" s="10">
        <v>45931</v>
      </c>
      <c r="I342" s="10">
        <v>45931</v>
      </c>
      <c r="J342" t="b">
        <v>0</v>
      </c>
      <c r="K342" s="11">
        <v>0.01</v>
      </c>
    </row>
    <row r="343" spans="1:11" x14ac:dyDescent="0.3">
      <c r="A343" t="s">
        <v>388</v>
      </c>
      <c r="B343" t="s">
        <v>42</v>
      </c>
      <c r="C343" t="s">
        <v>43</v>
      </c>
      <c r="D343" s="10">
        <v>45597</v>
      </c>
      <c r="E343" s="11">
        <v>8.5</v>
      </c>
      <c r="F343" s="12">
        <v>705500</v>
      </c>
      <c r="G343">
        <v>6</v>
      </c>
      <c r="H343" s="10">
        <v>45778</v>
      </c>
      <c r="I343" s="10">
        <v>45778</v>
      </c>
      <c r="J343" t="b">
        <v>0</v>
      </c>
      <c r="K343" s="11">
        <v>0.43</v>
      </c>
    </row>
    <row r="344" spans="1:11" x14ac:dyDescent="0.3">
      <c r="A344" t="s">
        <v>389</v>
      </c>
      <c r="B344" t="s">
        <v>42</v>
      </c>
      <c r="C344" t="s">
        <v>43</v>
      </c>
      <c r="D344" s="10">
        <v>45597</v>
      </c>
      <c r="E344" s="11">
        <v>11.2</v>
      </c>
      <c r="F344" s="12">
        <v>929600</v>
      </c>
      <c r="G344">
        <v>10</v>
      </c>
      <c r="H344" s="10">
        <v>45901</v>
      </c>
      <c r="I344" s="10">
        <v>45901</v>
      </c>
      <c r="J344" t="b">
        <v>0</v>
      </c>
      <c r="K344" s="11">
        <v>0.41</v>
      </c>
    </row>
    <row r="345" spans="1:11" x14ac:dyDescent="0.3">
      <c r="A345" t="s">
        <v>390</v>
      </c>
      <c r="B345" t="s">
        <v>42</v>
      </c>
      <c r="C345" t="s">
        <v>43</v>
      </c>
      <c r="D345" s="10">
        <v>45597</v>
      </c>
      <c r="E345" s="11">
        <v>3.9</v>
      </c>
      <c r="F345" s="12">
        <v>323700</v>
      </c>
      <c r="G345">
        <v>10</v>
      </c>
      <c r="H345" s="10">
        <v>45901</v>
      </c>
      <c r="I345" s="10">
        <v>45901</v>
      </c>
      <c r="J345" t="b">
        <v>0</v>
      </c>
      <c r="K345" s="11">
        <v>0.13</v>
      </c>
    </row>
    <row r="346" spans="1:11" x14ac:dyDescent="0.3">
      <c r="A346" t="s">
        <v>391</v>
      </c>
      <c r="B346" t="s">
        <v>42</v>
      </c>
      <c r="C346" t="s">
        <v>43</v>
      </c>
      <c r="D346" s="10">
        <v>45597</v>
      </c>
      <c r="E346" s="11">
        <v>20.7</v>
      </c>
      <c r="F346" s="12">
        <v>1718100</v>
      </c>
      <c r="G346">
        <v>10</v>
      </c>
      <c r="H346" s="10">
        <v>45901</v>
      </c>
      <c r="I346" s="10">
        <v>45931</v>
      </c>
      <c r="J346" t="b">
        <v>0</v>
      </c>
      <c r="K346" s="11">
        <v>1.35</v>
      </c>
    </row>
    <row r="347" spans="1:11" x14ac:dyDescent="0.3">
      <c r="A347" t="s">
        <v>392</v>
      </c>
      <c r="B347" t="s">
        <v>42</v>
      </c>
      <c r="C347" t="s">
        <v>43</v>
      </c>
      <c r="D347" s="10">
        <v>45597</v>
      </c>
      <c r="E347" s="11">
        <v>4.4000000000000004</v>
      </c>
      <c r="F347" s="12">
        <v>365200.00000000012</v>
      </c>
      <c r="G347">
        <v>10</v>
      </c>
      <c r="H347" s="10">
        <v>45901</v>
      </c>
      <c r="I347" s="10">
        <v>45901</v>
      </c>
      <c r="J347" t="b">
        <v>0</v>
      </c>
      <c r="K347" s="11">
        <v>0</v>
      </c>
    </row>
    <row r="348" spans="1:11" x14ac:dyDescent="0.3">
      <c r="A348" t="s">
        <v>393</v>
      </c>
      <c r="B348" t="s">
        <v>42</v>
      </c>
      <c r="C348" t="s">
        <v>43</v>
      </c>
      <c r="D348" s="10">
        <v>45597</v>
      </c>
      <c r="E348" s="11">
        <v>7.5</v>
      </c>
      <c r="F348" s="12">
        <v>622500</v>
      </c>
      <c r="G348">
        <v>10</v>
      </c>
      <c r="H348" s="10">
        <v>45901</v>
      </c>
      <c r="I348" s="10">
        <v>45901</v>
      </c>
      <c r="J348" t="b">
        <v>0</v>
      </c>
      <c r="K348" s="11">
        <v>0.01</v>
      </c>
    </row>
    <row r="349" spans="1:11" x14ac:dyDescent="0.3">
      <c r="A349" t="s">
        <v>394</v>
      </c>
      <c r="B349" t="s">
        <v>42</v>
      </c>
      <c r="C349" t="s">
        <v>43</v>
      </c>
      <c r="D349" s="10">
        <v>45597</v>
      </c>
      <c r="E349" s="11">
        <v>28.7</v>
      </c>
      <c r="F349" s="12">
        <v>2382100</v>
      </c>
      <c r="G349">
        <v>7</v>
      </c>
      <c r="H349" s="10">
        <v>45809</v>
      </c>
      <c r="I349" s="10">
        <v>45809</v>
      </c>
      <c r="J349" t="b">
        <v>0</v>
      </c>
      <c r="K349" s="11">
        <v>0.05</v>
      </c>
    </row>
    <row r="350" spans="1:11" x14ac:dyDescent="0.3">
      <c r="A350" t="s">
        <v>395</v>
      </c>
      <c r="B350" t="s">
        <v>42</v>
      </c>
      <c r="C350" t="s">
        <v>43</v>
      </c>
      <c r="D350" s="10">
        <v>45597</v>
      </c>
      <c r="E350" s="11">
        <v>30.2</v>
      </c>
      <c r="F350" s="12">
        <v>2506600</v>
      </c>
      <c r="G350">
        <v>9</v>
      </c>
      <c r="H350" s="10">
        <v>45870</v>
      </c>
      <c r="I350" s="10">
        <v>45901</v>
      </c>
      <c r="J350" t="b">
        <v>0</v>
      </c>
      <c r="K350" s="11">
        <v>0.68</v>
      </c>
    </row>
    <row r="351" spans="1:11" x14ac:dyDescent="0.3">
      <c r="A351" t="s">
        <v>396</v>
      </c>
      <c r="B351" t="s">
        <v>42</v>
      </c>
      <c r="C351" t="s">
        <v>43</v>
      </c>
      <c r="D351" s="10">
        <v>45597</v>
      </c>
      <c r="E351" s="11">
        <v>13.2</v>
      </c>
      <c r="F351" s="12">
        <v>1095600</v>
      </c>
      <c r="G351">
        <v>9</v>
      </c>
      <c r="H351" s="10">
        <v>45870</v>
      </c>
      <c r="I351" s="10">
        <v>45870</v>
      </c>
      <c r="J351" t="b">
        <v>0</v>
      </c>
      <c r="K351" s="11">
        <v>0</v>
      </c>
    </row>
    <row r="352" spans="1:11" x14ac:dyDescent="0.3">
      <c r="A352" t="s">
        <v>397</v>
      </c>
      <c r="B352" t="s">
        <v>42</v>
      </c>
      <c r="C352" t="s">
        <v>43</v>
      </c>
      <c r="D352" s="10">
        <v>45597</v>
      </c>
      <c r="E352" s="11">
        <v>21.8</v>
      </c>
      <c r="F352" s="12">
        <v>1809400</v>
      </c>
      <c r="G352">
        <v>6</v>
      </c>
      <c r="H352" s="10">
        <v>45778</v>
      </c>
      <c r="I352" s="10"/>
      <c r="J352" t="b">
        <v>1</v>
      </c>
      <c r="K352" s="11">
        <v>0.01</v>
      </c>
    </row>
    <row r="353" spans="1:11" x14ac:dyDescent="0.3">
      <c r="A353" t="s">
        <v>398</v>
      </c>
      <c r="B353" t="s">
        <v>42</v>
      </c>
      <c r="C353" t="s">
        <v>43</v>
      </c>
      <c r="D353" s="10">
        <v>45597</v>
      </c>
      <c r="E353" s="11">
        <v>23</v>
      </c>
      <c r="F353" s="12">
        <v>1909000</v>
      </c>
      <c r="G353">
        <v>5</v>
      </c>
      <c r="H353" s="10">
        <v>45748</v>
      </c>
      <c r="I353" s="10">
        <v>45748</v>
      </c>
      <c r="J353" t="b">
        <v>0</v>
      </c>
      <c r="K353" s="11">
        <v>0</v>
      </c>
    </row>
    <row r="354" spans="1:11" x14ac:dyDescent="0.3">
      <c r="A354" t="s">
        <v>399</v>
      </c>
      <c r="B354" t="s">
        <v>42</v>
      </c>
      <c r="C354" t="s">
        <v>43</v>
      </c>
      <c r="D354" s="10">
        <v>45597</v>
      </c>
      <c r="E354" s="11">
        <v>22.3</v>
      </c>
      <c r="F354" s="12">
        <v>1850900</v>
      </c>
      <c r="G354">
        <v>9</v>
      </c>
      <c r="H354" s="10">
        <v>45870</v>
      </c>
      <c r="I354" s="10">
        <v>45870</v>
      </c>
      <c r="J354" t="b">
        <v>0</v>
      </c>
      <c r="K354" s="11">
        <v>0</v>
      </c>
    </row>
    <row r="355" spans="1:11" x14ac:dyDescent="0.3">
      <c r="A355" t="s">
        <v>400</v>
      </c>
      <c r="B355" t="s">
        <v>42</v>
      </c>
      <c r="C355" t="s">
        <v>43</v>
      </c>
      <c r="D355" s="10">
        <v>45597</v>
      </c>
      <c r="E355" s="11">
        <v>16.8</v>
      </c>
      <c r="F355" s="12">
        <v>1394400</v>
      </c>
      <c r="G355">
        <v>11</v>
      </c>
      <c r="H355" s="10">
        <v>45931</v>
      </c>
      <c r="I355" s="10">
        <v>45931</v>
      </c>
      <c r="J355" t="b">
        <v>0</v>
      </c>
      <c r="K355" s="11">
        <v>0.08</v>
      </c>
    </row>
    <row r="356" spans="1:11" x14ac:dyDescent="0.3">
      <c r="A356" t="s">
        <v>401</v>
      </c>
      <c r="B356" t="s">
        <v>42</v>
      </c>
      <c r="C356" t="s">
        <v>43</v>
      </c>
      <c r="D356" s="10">
        <v>45597</v>
      </c>
      <c r="E356" s="11">
        <v>42.9</v>
      </c>
      <c r="F356" s="12">
        <v>3560700</v>
      </c>
      <c r="G356">
        <v>7</v>
      </c>
      <c r="H356" s="10">
        <v>45809</v>
      </c>
      <c r="I356" s="10">
        <v>45809</v>
      </c>
      <c r="J356" t="b">
        <v>0</v>
      </c>
      <c r="K356" s="11">
        <v>0.01</v>
      </c>
    </row>
    <row r="357" spans="1:11" x14ac:dyDescent="0.3">
      <c r="A357" t="s">
        <v>402</v>
      </c>
      <c r="B357" t="s">
        <v>42</v>
      </c>
      <c r="C357" t="s">
        <v>43</v>
      </c>
      <c r="D357" s="10">
        <v>45597</v>
      </c>
      <c r="E357" s="11">
        <v>8</v>
      </c>
      <c r="F357" s="12">
        <v>664000</v>
      </c>
      <c r="G357">
        <v>7</v>
      </c>
      <c r="H357" s="10">
        <v>45809</v>
      </c>
      <c r="I357" s="10">
        <v>45809</v>
      </c>
      <c r="J357" t="b">
        <v>0</v>
      </c>
      <c r="K357" s="11">
        <v>0.01</v>
      </c>
    </row>
    <row r="358" spans="1:11" x14ac:dyDescent="0.3">
      <c r="A358" t="s">
        <v>403</v>
      </c>
      <c r="B358" t="s">
        <v>42</v>
      </c>
      <c r="C358" t="s">
        <v>43</v>
      </c>
      <c r="D358" s="10">
        <v>45597</v>
      </c>
      <c r="E358" s="11">
        <v>15.7</v>
      </c>
      <c r="F358" s="12">
        <v>1303100</v>
      </c>
      <c r="G358">
        <v>10</v>
      </c>
      <c r="H358" s="10">
        <v>45901</v>
      </c>
      <c r="I358" s="10">
        <v>45931</v>
      </c>
      <c r="J358" t="b">
        <v>0</v>
      </c>
      <c r="K358" s="11">
        <v>0.57999999999999996</v>
      </c>
    </row>
    <row r="359" spans="1:11" x14ac:dyDescent="0.3">
      <c r="A359" t="s">
        <v>404</v>
      </c>
      <c r="B359" t="s">
        <v>42</v>
      </c>
      <c r="C359" t="s">
        <v>43</v>
      </c>
      <c r="D359" s="10">
        <v>45597</v>
      </c>
      <c r="E359" s="11">
        <v>114.9</v>
      </c>
      <c r="F359" s="12">
        <v>9536700</v>
      </c>
      <c r="G359">
        <v>11</v>
      </c>
      <c r="H359" s="10">
        <v>45931</v>
      </c>
      <c r="I359" s="10">
        <v>45931</v>
      </c>
      <c r="J359" t="b">
        <v>0</v>
      </c>
      <c r="K359" s="11">
        <v>0.03</v>
      </c>
    </row>
    <row r="360" spans="1:11" x14ac:dyDescent="0.3">
      <c r="A360" t="s">
        <v>405</v>
      </c>
      <c r="B360" t="s">
        <v>42</v>
      </c>
      <c r="C360" t="s">
        <v>43</v>
      </c>
      <c r="D360" s="10">
        <v>45597</v>
      </c>
      <c r="E360" s="11">
        <v>6.1</v>
      </c>
      <c r="F360" s="12">
        <v>506300</v>
      </c>
      <c r="G360">
        <v>10</v>
      </c>
      <c r="H360" s="10">
        <v>45901</v>
      </c>
      <c r="I360" s="10">
        <v>45901</v>
      </c>
      <c r="J360" t="b">
        <v>0</v>
      </c>
      <c r="K360" s="11">
        <v>0.27</v>
      </c>
    </row>
    <row r="361" spans="1:11" x14ac:dyDescent="0.3">
      <c r="A361" t="s">
        <v>406</v>
      </c>
      <c r="B361" t="s">
        <v>42</v>
      </c>
      <c r="C361" t="s">
        <v>43</v>
      </c>
      <c r="D361" s="10">
        <v>45597</v>
      </c>
      <c r="E361" s="11">
        <v>13.2</v>
      </c>
      <c r="F361" s="12">
        <v>1095600</v>
      </c>
      <c r="G361">
        <v>9</v>
      </c>
      <c r="H361" s="10">
        <v>45870</v>
      </c>
      <c r="I361" s="10">
        <v>45870</v>
      </c>
      <c r="J361" t="b">
        <v>0</v>
      </c>
      <c r="K361" s="11">
        <v>0.09</v>
      </c>
    </row>
    <row r="362" spans="1:11" x14ac:dyDescent="0.3">
      <c r="A362" t="s">
        <v>407</v>
      </c>
      <c r="B362" t="s">
        <v>42</v>
      </c>
      <c r="C362" t="s">
        <v>43</v>
      </c>
      <c r="D362" s="10">
        <v>45597</v>
      </c>
      <c r="E362" s="11">
        <v>14.5</v>
      </c>
      <c r="F362" s="12">
        <v>1203500</v>
      </c>
      <c r="G362">
        <v>5</v>
      </c>
      <c r="H362" s="10">
        <v>45748</v>
      </c>
      <c r="I362" s="10">
        <v>45748</v>
      </c>
      <c r="J362" t="b">
        <v>0</v>
      </c>
      <c r="K362" s="11">
        <v>0</v>
      </c>
    </row>
    <row r="363" spans="1:11" x14ac:dyDescent="0.3">
      <c r="A363" t="s">
        <v>408</v>
      </c>
      <c r="B363" t="s">
        <v>56</v>
      </c>
      <c r="C363" t="s">
        <v>57</v>
      </c>
      <c r="D363" s="10">
        <v>45597</v>
      </c>
      <c r="E363" s="11">
        <v>5.9</v>
      </c>
      <c r="F363" s="12">
        <v>519200.00000000012</v>
      </c>
      <c r="G363">
        <v>9</v>
      </c>
      <c r="H363" s="10">
        <v>45870</v>
      </c>
      <c r="I363" s="10">
        <v>45870</v>
      </c>
      <c r="J363" t="b">
        <v>0</v>
      </c>
      <c r="K363" s="11">
        <v>0.06</v>
      </c>
    </row>
    <row r="364" spans="1:11" x14ac:dyDescent="0.3">
      <c r="A364" t="s">
        <v>409</v>
      </c>
      <c r="B364" t="s">
        <v>56</v>
      </c>
      <c r="C364" t="s">
        <v>57</v>
      </c>
      <c r="D364" s="10">
        <v>45597</v>
      </c>
      <c r="E364" s="11">
        <v>27.4</v>
      </c>
      <c r="F364" s="12">
        <v>2411200</v>
      </c>
      <c r="G364">
        <v>7</v>
      </c>
      <c r="H364" s="10">
        <v>45809</v>
      </c>
      <c r="I364" s="10">
        <v>45809</v>
      </c>
      <c r="J364" t="b">
        <v>0</v>
      </c>
      <c r="K364" s="11">
        <v>0</v>
      </c>
    </row>
    <row r="365" spans="1:11" x14ac:dyDescent="0.3">
      <c r="A365" t="s">
        <v>410</v>
      </c>
      <c r="B365" t="s">
        <v>56</v>
      </c>
      <c r="C365" t="s">
        <v>57</v>
      </c>
      <c r="D365" s="10">
        <v>45597</v>
      </c>
      <c r="E365" s="11">
        <v>6</v>
      </c>
      <c r="F365" s="12">
        <v>528000</v>
      </c>
      <c r="G365">
        <v>8</v>
      </c>
      <c r="H365" s="10">
        <v>45839</v>
      </c>
      <c r="I365" s="10">
        <v>45839</v>
      </c>
      <c r="J365" t="b">
        <v>0</v>
      </c>
      <c r="K365" s="11">
        <v>0.09</v>
      </c>
    </row>
    <row r="366" spans="1:11" x14ac:dyDescent="0.3">
      <c r="A366" t="s">
        <v>411</v>
      </c>
      <c r="B366" t="s">
        <v>65</v>
      </c>
      <c r="C366" t="s">
        <v>66</v>
      </c>
      <c r="D366" s="10">
        <v>45597</v>
      </c>
      <c r="E366" s="11">
        <v>9.1</v>
      </c>
      <c r="F366" s="12">
        <v>646100</v>
      </c>
      <c r="G366">
        <v>7</v>
      </c>
      <c r="H366" s="10">
        <v>45809</v>
      </c>
      <c r="I366" s="10"/>
      <c r="J366" t="b">
        <v>1</v>
      </c>
      <c r="K366" s="11">
        <v>8.02</v>
      </c>
    </row>
    <row r="367" spans="1:11" x14ac:dyDescent="0.3">
      <c r="A367" t="s">
        <v>412</v>
      </c>
      <c r="B367" t="s">
        <v>65</v>
      </c>
      <c r="C367" t="s">
        <v>66</v>
      </c>
      <c r="D367" s="10">
        <v>45597</v>
      </c>
      <c r="E367" s="11">
        <v>8.4</v>
      </c>
      <c r="F367" s="12">
        <v>596400</v>
      </c>
      <c r="G367">
        <v>9</v>
      </c>
      <c r="H367" s="10">
        <v>45870</v>
      </c>
      <c r="I367" s="10">
        <v>45931</v>
      </c>
      <c r="J367" t="b">
        <v>0</v>
      </c>
      <c r="K367" s="11">
        <v>1.58</v>
      </c>
    </row>
    <row r="368" spans="1:11" x14ac:dyDescent="0.3">
      <c r="A368" t="s">
        <v>413</v>
      </c>
      <c r="B368" t="s">
        <v>65</v>
      </c>
      <c r="C368" t="s">
        <v>70</v>
      </c>
      <c r="D368" s="10">
        <v>45597</v>
      </c>
      <c r="E368" s="11">
        <v>9.1999999999999993</v>
      </c>
      <c r="F368" s="12">
        <v>772799.99999999988</v>
      </c>
      <c r="G368">
        <v>11</v>
      </c>
      <c r="H368" s="10">
        <v>45931</v>
      </c>
      <c r="I368" s="10">
        <v>46023</v>
      </c>
      <c r="J368" t="b">
        <v>0</v>
      </c>
      <c r="K368" s="11">
        <v>2.93</v>
      </c>
    </row>
    <row r="369" spans="1:11" x14ac:dyDescent="0.3">
      <c r="A369" t="s">
        <v>414</v>
      </c>
      <c r="B369" t="s">
        <v>42</v>
      </c>
      <c r="C369" t="s">
        <v>43</v>
      </c>
      <c r="D369" s="10">
        <v>45627</v>
      </c>
      <c r="E369" s="11">
        <v>8.6999999999999993</v>
      </c>
      <c r="F369" s="12">
        <v>722099.99999999988</v>
      </c>
      <c r="G369">
        <v>9</v>
      </c>
      <c r="H369" s="10">
        <v>45901</v>
      </c>
      <c r="I369" s="10">
        <v>45901</v>
      </c>
      <c r="J369" t="b">
        <v>0</v>
      </c>
      <c r="K369" s="11">
        <v>0.3</v>
      </c>
    </row>
    <row r="370" spans="1:11" x14ac:dyDescent="0.3">
      <c r="A370" t="s">
        <v>415</v>
      </c>
      <c r="B370" t="s">
        <v>42</v>
      </c>
      <c r="C370" t="s">
        <v>43</v>
      </c>
      <c r="D370" s="10">
        <v>45627</v>
      </c>
      <c r="E370" s="11">
        <v>12.2</v>
      </c>
      <c r="F370" s="12">
        <v>1012600</v>
      </c>
      <c r="G370">
        <v>9</v>
      </c>
      <c r="H370" s="10">
        <v>45901</v>
      </c>
      <c r="I370" s="10">
        <v>45901</v>
      </c>
      <c r="J370" t="b">
        <v>0</v>
      </c>
      <c r="K370" s="11">
        <v>0</v>
      </c>
    </row>
    <row r="371" spans="1:11" x14ac:dyDescent="0.3">
      <c r="A371" t="s">
        <v>416</v>
      </c>
      <c r="B371" t="s">
        <v>42</v>
      </c>
      <c r="C371" t="s">
        <v>43</v>
      </c>
      <c r="D371" s="10">
        <v>45627</v>
      </c>
      <c r="E371" s="11">
        <v>9.8000000000000007</v>
      </c>
      <c r="F371" s="12">
        <v>813400.00000000012</v>
      </c>
      <c r="G371">
        <v>9</v>
      </c>
      <c r="H371" s="10">
        <v>45901</v>
      </c>
      <c r="I371" s="10">
        <v>45901</v>
      </c>
      <c r="J371" t="b">
        <v>0</v>
      </c>
      <c r="K371" s="11">
        <v>0.03</v>
      </c>
    </row>
    <row r="372" spans="1:11" x14ac:dyDescent="0.3">
      <c r="A372" t="s">
        <v>417</v>
      </c>
      <c r="B372" t="s">
        <v>42</v>
      </c>
      <c r="C372" t="s">
        <v>43</v>
      </c>
      <c r="D372" s="10">
        <v>45627</v>
      </c>
      <c r="E372" s="11">
        <v>8</v>
      </c>
      <c r="F372" s="12">
        <v>664000</v>
      </c>
      <c r="G372">
        <v>5</v>
      </c>
      <c r="H372" s="10">
        <v>45778</v>
      </c>
      <c r="I372" s="10">
        <v>45778</v>
      </c>
      <c r="J372" t="b">
        <v>0</v>
      </c>
      <c r="K372" s="11">
        <v>0.23</v>
      </c>
    </row>
    <row r="373" spans="1:11" x14ac:dyDescent="0.3">
      <c r="A373" t="s">
        <v>418</v>
      </c>
      <c r="B373" t="s">
        <v>42</v>
      </c>
      <c r="C373" t="s">
        <v>43</v>
      </c>
      <c r="D373" s="10">
        <v>45627</v>
      </c>
      <c r="E373" s="11">
        <v>22.1</v>
      </c>
      <c r="F373" s="12">
        <v>1834300</v>
      </c>
      <c r="G373">
        <v>10</v>
      </c>
      <c r="H373" s="10">
        <v>45931</v>
      </c>
      <c r="I373" s="10">
        <v>45931</v>
      </c>
      <c r="J373" t="b">
        <v>0</v>
      </c>
      <c r="K373" s="11">
        <v>0.09</v>
      </c>
    </row>
    <row r="374" spans="1:11" x14ac:dyDescent="0.3">
      <c r="A374" t="s">
        <v>419</v>
      </c>
      <c r="B374" t="s">
        <v>42</v>
      </c>
      <c r="C374" t="s">
        <v>43</v>
      </c>
      <c r="D374" s="10">
        <v>45627</v>
      </c>
      <c r="E374" s="11">
        <v>7.4</v>
      </c>
      <c r="F374" s="12">
        <v>614200</v>
      </c>
      <c r="G374">
        <v>10</v>
      </c>
      <c r="H374" s="10">
        <v>45931</v>
      </c>
      <c r="I374" s="10">
        <v>45931</v>
      </c>
      <c r="J374" t="b">
        <v>0</v>
      </c>
      <c r="K374" s="11">
        <v>0.1</v>
      </c>
    </row>
    <row r="375" spans="1:11" x14ac:dyDescent="0.3">
      <c r="A375" t="s">
        <v>420</v>
      </c>
      <c r="B375" t="s">
        <v>42</v>
      </c>
      <c r="C375" t="s">
        <v>43</v>
      </c>
      <c r="D375" s="10">
        <v>45627</v>
      </c>
      <c r="E375" s="11">
        <v>11.2</v>
      </c>
      <c r="F375" s="12">
        <v>929600</v>
      </c>
      <c r="G375">
        <v>9</v>
      </c>
      <c r="H375" s="10">
        <v>45901</v>
      </c>
      <c r="I375" s="10"/>
      <c r="J375" t="b">
        <v>1</v>
      </c>
      <c r="K375" s="11">
        <v>0</v>
      </c>
    </row>
    <row r="376" spans="1:11" x14ac:dyDescent="0.3">
      <c r="A376" t="s">
        <v>421</v>
      </c>
      <c r="B376" t="s">
        <v>42</v>
      </c>
      <c r="C376" t="s">
        <v>43</v>
      </c>
      <c r="D376" s="10">
        <v>45627</v>
      </c>
      <c r="E376" s="11">
        <v>11.4</v>
      </c>
      <c r="F376" s="12">
        <v>946200</v>
      </c>
      <c r="G376">
        <v>8</v>
      </c>
      <c r="H376" s="10">
        <v>45870</v>
      </c>
      <c r="I376" s="10">
        <v>45870</v>
      </c>
      <c r="J376" t="b">
        <v>0</v>
      </c>
      <c r="K376" s="11">
        <v>0.02</v>
      </c>
    </row>
    <row r="377" spans="1:11" x14ac:dyDescent="0.3">
      <c r="A377" t="s">
        <v>422</v>
      </c>
      <c r="B377" t="s">
        <v>42</v>
      </c>
      <c r="C377" t="s">
        <v>43</v>
      </c>
      <c r="D377" s="10">
        <v>45627</v>
      </c>
      <c r="E377" s="11">
        <v>12.4</v>
      </c>
      <c r="F377" s="12">
        <v>1029200</v>
      </c>
      <c r="G377">
        <v>9</v>
      </c>
      <c r="H377" s="10">
        <v>45901</v>
      </c>
      <c r="I377" s="10">
        <v>45992</v>
      </c>
      <c r="J377" t="b">
        <v>0</v>
      </c>
      <c r="K377" s="11">
        <v>2.85</v>
      </c>
    </row>
    <row r="378" spans="1:11" x14ac:dyDescent="0.3">
      <c r="A378" t="s">
        <v>423</v>
      </c>
      <c r="B378" t="s">
        <v>42</v>
      </c>
      <c r="C378" t="s">
        <v>43</v>
      </c>
      <c r="D378" s="10">
        <v>45627</v>
      </c>
      <c r="E378" s="11">
        <v>8.1999999999999993</v>
      </c>
      <c r="F378" s="12">
        <v>680599.99999999988</v>
      </c>
      <c r="G378">
        <v>5</v>
      </c>
      <c r="H378" s="10">
        <v>45778</v>
      </c>
      <c r="I378" s="10">
        <v>45809</v>
      </c>
      <c r="J378" t="b">
        <v>0</v>
      </c>
      <c r="K378" s="11">
        <v>1.32</v>
      </c>
    </row>
    <row r="379" spans="1:11" x14ac:dyDescent="0.3">
      <c r="A379" t="s">
        <v>424</v>
      </c>
      <c r="B379" t="s">
        <v>42</v>
      </c>
      <c r="C379" t="s">
        <v>43</v>
      </c>
      <c r="D379" s="10">
        <v>45627</v>
      </c>
      <c r="E379" s="11">
        <v>7.5</v>
      </c>
      <c r="F379" s="12">
        <v>622500</v>
      </c>
      <c r="G379">
        <v>11</v>
      </c>
      <c r="H379" s="10">
        <v>45962</v>
      </c>
      <c r="I379" s="10">
        <v>45962</v>
      </c>
      <c r="J379" t="b">
        <v>0</v>
      </c>
      <c r="K379" s="11">
        <v>0</v>
      </c>
    </row>
    <row r="380" spans="1:11" x14ac:dyDescent="0.3">
      <c r="A380" t="s">
        <v>425</v>
      </c>
      <c r="B380" t="s">
        <v>42</v>
      </c>
      <c r="C380" t="s">
        <v>43</v>
      </c>
      <c r="D380" s="10">
        <v>45627</v>
      </c>
      <c r="E380" s="11">
        <v>15</v>
      </c>
      <c r="F380" s="12">
        <v>1245000</v>
      </c>
      <c r="G380">
        <v>7</v>
      </c>
      <c r="H380" s="10">
        <v>45839</v>
      </c>
      <c r="I380" s="10"/>
      <c r="J380" t="b">
        <v>1</v>
      </c>
      <c r="K380" s="11">
        <v>0</v>
      </c>
    </row>
    <row r="381" spans="1:11" x14ac:dyDescent="0.3">
      <c r="A381" t="s">
        <v>426</v>
      </c>
      <c r="B381" t="s">
        <v>42</v>
      </c>
      <c r="C381" t="s">
        <v>43</v>
      </c>
      <c r="D381" s="10">
        <v>45627</v>
      </c>
      <c r="E381" s="11">
        <v>24.1</v>
      </c>
      <c r="F381" s="12">
        <v>2000300</v>
      </c>
      <c r="G381">
        <v>5</v>
      </c>
      <c r="H381" s="10">
        <v>45778</v>
      </c>
      <c r="I381" s="10">
        <v>45778</v>
      </c>
      <c r="J381" t="b">
        <v>0</v>
      </c>
      <c r="K381" s="11">
        <v>7.0000000000000007E-2</v>
      </c>
    </row>
    <row r="382" spans="1:11" x14ac:dyDescent="0.3">
      <c r="A382" t="s">
        <v>427</v>
      </c>
      <c r="B382" t="s">
        <v>42</v>
      </c>
      <c r="C382" t="s">
        <v>43</v>
      </c>
      <c r="D382" s="10">
        <v>45627</v>
      </c>
      <c r="E382" s="11">
        <v>4</v>
      </c>
      <c r="F382" s="12">
        <v>332000</v>
      </c>
      <c r="G382">
        <v>5</v>
      </c>
      <c r="H382" s="10">
        <v>45778</v>
      </c>
      <c r="I382" s="10">
        <v>45778</v>
      </c>
      <c r="J382" t="b">
        <v>0</v>
      </c>
      <c r="K382" s="11">
        <v>0.26</v>
      </c>
    </row>
    <row r="383" spans="1:11" x14ac:dyDescent="0.3">
      <c r="A383" t="s">
        <v>428</v>
      </c>
      <c r="B383" t="s">
        <v>42</v>
      </c>
      <c r="C383" t="s">
        <v>43</v>
      </c>
      <c r="D383" s="10">
        <v>45627</v>
      </c>
      <c r="E383" s="11">
        <v>13.8</v>
      </c>
      <c r="F383" s="12">
        <v>1145400</v>
      </c>
      <c r="G383">
        <v>7</v>
      </c>
      <c r="H383" s="10">
        <v>45839</v>
      </c>
      <c r="I383" s="10">
        <v>45839</v>
      </c>
      <c r="J383" t="b">
        <v>0</v>
      </c>
      <c r="K383" s="11">
        <v>0</v>
      </c>
    </row>
    <row r="384" spans="1:11" x14ac:dyDescent="0.3">
      <c r="A384" t="s">
        <v>429</v>
      </c>
      <c r="B384" t="s">
        <v>42</v>
      </c>
      <c r="C384" t="s">
        <v>43</v>
      </c>
      <c r="D384" s="10">
        <v>45627</v>
      </c>
      <c r="E384" s="11">
        <v>18.8</v>
      </c>
      <c r="F384" s="12">
        <v>1560400</v>
      </c>
      <c r="G384">
        <v>11</v>
      </c>
      <c r="H384" s="10">
        <v>45962</v>
      </c>
      <c r="I384" s="10">
        <v>45962</v>
      </c>
      <c r="J384" t="b">
        <v>0</v>
      </c>
      <c r="K384" s="11">
        <v>0.06</v>
      </c>
    </row>
    <row r="385" spans="1:11" x14ac:dyDescent="0.3">
      <c r="A385" t="s">
        <v>430</v>
      </c>
      <c r="B385" t="s">
        <v>42</v>
      </c>
      <c r="C385" t="s">
        <v>43</v>
      </c>
      <c r="D385" s="10">
        <v>45627</v>
      </c>
      <c r="E385" s="11">
        <v>6.3</v>
      </c>
      <c r="F385" s="12">
        <v>522900</v>
      </c>
      <c r="G385">
        <v>7</v>
      </c>
      <c r="H385" s="10">
        <v>45839</v>
      </c>
      <c r="I385" s="10">
        <v>45839</v>
      </c>
      <c r="J385" t="b">
        <v>0</v>
      </c>
      <c r="K385" s="11">
        <v>0.16</v>
      </c>
    </row>
    <row r="386" spans="1:11" x14ac:dyDescent="0.3">
      <c r="A386" t="s">
        <v>431</v>
      </c>
      <c r="B386" t="s">
        <v>42</v>
      </c>
      <c r="C386" t="s">
        <v>43</v>
      </c>
      <c r="D386" s="10">
        <v>45627</v>
      </c>
      <c r="E386" s="11">
        <v>11.8</v>
      </c>
      <c r="F386" s="12">
        <v>979400</v>
      </c>
      <c r="G386">
        <v>9</v>
      </c>
      <c r="H386" s="10">
        <v>45901</v>
      </c>
      <c r="I386" s="10">
        <v>45992</v>
      </c>
      <c r="J386" t="b">
        <v>0</v>
      </c>
      <c r="K386" s="11">
        <v>2.75</v>
      </c>
    </row>
    <row r="387" spans="1:11" x14ac:dyDescent="0.3">
      <c r="A387" t="s">
        <v>432</v>
      </c>
      <c r="B387" t="s">
        <v>42</v>
      </c>
      <c r="C387" t="s">
        <v>43</v>
      </c>
      <c r="D387" s="10">
        <v>45627</v>
      </c>
      <c r="E387" s="11">
        <v>12.5</v>
      </c>
      <c r="F387" s="12">
        <v>1037500</v>
      </c>
      <c r="G387">
        <v>7</v>
      </c>
      <c r="H387" s="10">
        <v>45839</v>
      </c>
      <c r="I387" s="10">
        <v>45839</v>
      </c>
      <c r="J387" t="b">
        <v>0</v>
      </c>
      <c r="K387" s="11">
        <v>0.06</v>
      </c>
    </row>
    <row r="388" spans="1:11" x14ac:dyDescent="0.3">
      <c r="A388" t="s">
        <v>433</v>
      </c>
      <c r="B388" t="s">
        <v>42</v>
      </c>
      <c r="C388" t="s">
        <v>43</v>
      </c>
      <c r="D388" s="10">
        <v>45627</v>
      </c>
      <c r="E388" s="11">
        <v>12.6</v>
      </c>
      <c r="F388" s="12">
        <v>1045800</v>
      </c>
      <c r="G388">
        <v>7</v>
      </c>
      <c r="H388" s="10">
        <v>45839</v>
      </c>
      <c r="I388" s="10">
        <v>45839</v>
      </c>
      <c r="J388" t="b">
        <v>0</v>
      </c>
      <c r="K388" s="11">
        <v>0</v>
      </c>
    </row>
    <row r="389" spans="1:11" x14ac:dyDescent="0.3">
      <c r="A389" t="s">
        <v>434</v>
      </c>
      <c r="B389" t="s">
        <v>42</v>
      </c>
      <c r="C389" t="s">
        <v>43</v>
      </c>
      <c r="D389" s="10">
        <v>45627</v>
      </c>
      <c r="E389" s="11">
        <v>5.7</v>
      </c>
      <c r="F389" s="12">
        <v>473100</v>
      </c>
      <c r="G389">
        <v>11</v>
      </c>
      <c r="H389" s="10">
        <v>45962</v>
      </c>
      <c r="I389" s="10">
        <v>45962</v>
      </c>
      <c r="J389" t="b">
        <v>0</v>
      </c>
      <c r="K389" s="11">
        <v>0.01</v>
      </c>
    </row>
    <row r="390" spans="1:11" x14ac:dyDescent="0.3">
      <c r="A390" t="s">
        <v>435</v>
      </c>
      <c r="B390" t="s">
        <v>42</v>
      </c>
      <c r="C390" t="s">
        <v>43</v>
      </c>
      <c r="D390" s="10">
        <v>45627</v>
      </c>
      <c r="E390" s="11">
        <v>20.6</v>
      </c>
      <c r="F390" s="12">
        <v>1709800</v>
      </c>
      <c r="G390">
        <v>11</v>
      </c>
      <c r="H390" s="10">
        <v>45962</v>
      </c>
      <c r="I390" s="10">
        <v>45962</v>
      </c>
      <c r="J390" t="b">
        <v>0</v>
      </c>
      <c r="K390" s="11">
        <v>0.21</v>
      </c>
    </row>
    <row r="391" spans="1:11" x14ac:dyDescent="0.3">
      <c r="A391" t="s">
        <v>436</v>
      </c>
      <c r="B391" t="s">
        <v>42</v>
      </c>
      <c r="C391" t="s">
        <v>43</v>
      </c>
      <c r="D391" s="10">
        <v>45627</v>
      </c>
      <c r="E391" s="11">
        <v>9.6</v>
      </c>
      <c r="F391" s="12">
        <v>796800</v>
      </c>
      <c r="G391">
        <v>8</v>
      </c>
      <c r="H391" s="10">
        <v>45870</v>
      </c>
      <c r="I391" s="10">
        <v>45901</v>
      </c>
      <c r="J391" t="b">
        <v>0</v>
      </c>
      <c r="K391" s="11">
        <v>0.85</v>
      </c>
    </row>
    <row r="392" spans="1:11" x14ac:dyDescent="0.3">
      <c r="A392" t="s">
        <v>437</v>
      </c>
      <c r="B392" t="s">
        <v>42</v>
      </c>
      <c r="C392" t="s">
        <v>43</v>
      </c>
      <c r="D392" s="10">
        <v>45627</v>
      </c>
      <c r="E392" s="11">
        <v>5.0999999999999996</v>
      </c>
      <c r="F392" s="12">
        <v>423300</v>
      </c>
      <c r="G392">
        <v>9</v>
      </c>
      <c r="H392" s="10">
        <v>45901</v>
      </c>
      <c r="I392" s="10">
        <v>45901</v>
      </c>
      <c r="J392" t="b">
        <v>0</v>
      </c>
      <c r="K392" s="11">
        <v>0</v>
      </c>
    </row>
    <row r="393" spans="1:11" x14ac:dyDescent="0.3">
      <c r="A393" t="s">
        <v>438</v>
      </c>
      <c r="B393" t="s">
        <v>56</v>
      </c>
      <c r="C393" t="s">
        <v>57</v>
      </c>
      <c r="D393" s="10">
        <v>45627</v>
      </c>
      <c r="E393" s="11">
        <v>7.1</v>
      </c>
      <c r="F393" s="12">
        <v>624800</v>
      </c>
      <c r="G393">
        <v>11</v>
      </c>
      <c r="H393" s="10">
        <v>45962</v>
      </c>
      <c r="I393" s="10">
        <v>45962</v>
      </c>
      <c r="J393" t="b">
        <v>0</v>
      </c>
      <c r="K393" s="11">
        <v>0.16</v>
      </c>
    </row>
    <row r="394" spans="1:11" x14ac:dyDescent="0.3">
      <c r="A394" t="s">
        <v>439</v>
      </c>
      <c r="B394" t="s">
        <v>56</v>
      </c>
      <c r="C394" t="s">
        <v>57</v>
      </c>
      <c r="D394" s="10">
        <v>45627</v>
      </c>
      <c r="E394" s="11">
        <v>37.5</v>
      </c>
      <c r="F394" s="12">
        <v>3300000</v>
      </c>
      <c r="G394">
        <v>7</v>
      </c>
      <c r="H394" s="10">
        <v>45839</v>
      </c>
      <c r="I394" s="10">
        <v>45992</v>
      </c>
      <c r="J394" t="b">
        <v>0</v>
      </c>
      <c r="K394" s="11">
        <v>4.87</v>
      </c>
    </row>
    <row r="395" spans="1:11" x14ac:dyDescent="0.3">
      <c r="A395" t="s">
        <v>440</v>
      </c>
      <c r="B395" t="s">
        <v>56</v>
      </c>
      <c r="C395" t="s">
        <v>62</v>
      </c>
      <c r="D395" s="10">
        <v>45627</v>
      </c>
      <c r="E395" s="11">
        <v>10.8</v>
      </c>
      <c r="F395" s="12">
        <v>874800</v>
      </c>
      <c r="G395">
        <v>6</v>
      </c>
      <c r="H395" s="10">
        <v>45809</v>
      </c>
      <c r="I395" s="10">
        <v>45901</v>
      </c>
      <c r="J395" t="b">
        <v>0</v>
      </c>
      <c r="K395" s="11">
        <v>2.73</v>
      </c>
    </row>
    <row r="396" spans="1:11" x14ac:dyDescent="0.3">
      <c r="A396" t="s">
        <v>441</v>
      </c>
      <c r="B396" t="s">
        <v>56</v>
      </c>
      <c r="C396" t="s">
        <v>62</v>
      </c>
      <c r="D396" s="10">
        <v>45627</v>
      </c>
      <c r="E396" s="11">
        <v>8.1</v>
      </c>
      <c r="F396" s="12">
        <v>656100</v>
      </c>
      <c r="G396">
        <v>7</v>
      </c>
      <c r="H396" s="10">
        <v>45839</v>
      </c>
      <c r="I396" s="10">
        <v>45870</v>
      </c>
      <c r="J396" t="b">
        <v>0</v>
      </c>
      <c r="K396" s="11">
        <v>1.23</v>
      </c>
    </row>
    <row r="397" spans="1:11" x14ac:dyDescent="0.3">
      <c r="A397" t="s">
        <v>442</v>
      </c>
      <c r="B397" t="s">
        <v>65</v>
      </c>
      <c r="C397" t="s">
        <v>66</v>
      </c>
      <c r="D397" s="10">
        <v>45627</v>
      </c>
      <c r="E397" s="11">
        <v>35</v>
      </c>
      <c r="F397" s="12">
        <v>2485000</v>
      </c>
      <c r="G397">
        <v>7</v>
      </c>
      <c r="H397" s="10">
        <v>45839</v>
      </c>
      <c r="I397" s="10">
        <v>45870</v>
      </c>
      <c r="J397" t="b">
        <v>0</v>
      </c>
      <c r="K397" s="11">
        <v>0.56999999999999995</v>
      </c>
    </row>
    <row r="398" spans="1:11" x14ac:dyDescent="0.3">
      <c r="A398" t="s">
        <v>443</v>
      </c>
      <c r="B398" t="s">
        <v>65</v>
      </c>
      <c r="C398" t="s">
        <v>70</v>
      </c>
      <c r="D398" s="10">
        <v>45627</v>
      </c>
      <c r="E398" s="11">
        <v>62.8</v>
      </c>
      <c r="F398" s="12">
        <v>5275200</v>
      </c>
      <c r="G398">
        <v>8</v>
      </c>
      <c r="H398" s="10">
        <v>45870</v>
      </c>
      <c r="I398" s="10"/>
      <c r="J398" t="b">
        <v>1</v>
      </c>
      <c r="K398" s="11">
        <v>0.91</v>
      </c>
    </row>
    <row r="399" spans="1:11" x14ac:dyDescent="0.3">
      <c r="A399" t="s">
        <v>444</v>
      </c>
      <c r="B399" t="s">
        <v>72</v>
      </c>
      <c r="C399" t="s">
        <v>72</v>
      </c>
      <c r="D399" s="10">
        <v>45627</v>
      </c>
      <c r="E399" s="11">
        <v>8.6</v>
      </c>
      <c r="F399" s="12">
        <v>679400</v>
      </c>
      <c r="G399">
        <v>10</v>
      </c>
      <c r="H399" s="10">
        <v>45931</v>
      </c>
      <c r="I399" s="10">
        <v>46023</v>
      </c>
      <c r="J399" t="b">
        <v>0</v>
      </c>
      <c r="K399" s="11">
        <v>2.93</v>
      </c>
    </row>
    <row r="400" spans="1:11" x14ac:dyDescent="0.3">
      <c r="A400" t="s">
        <v>445</v>
      </c>
      <c r="B400" t="s">
        <v>72</v>
      </c>
      <c r="C400" t="s">
        <v>72</v>
      </c>
      <c r="D400" s="10">
        <v>45627</v>
      </c>
      <c r="E400" s="11">
        <v>3.5</v>
      </c>
      <c r="F400" s="12">
        <v>276500</v>
      </c>
      <c r="G400">
        <v>8</v>
      </c>
      <c r="H400" s="10">
        <v>45870</v>
      </c>
      <c r="I400" s="10">
        <v>45901</v>
      </c>
      <c r="J400" t="b">
        <v>0</v>
      </c>
      <c r="K400" s="11">
        <v>0.7</v>
      </c>
    </row>
    <row r="401" spans="1:11" x14ac:dyDescent="0.3">
      <c r="A401" t="s">
        <v>446</v>
      </c>
      <c r="B401" t="s">
        <v>42</v>
      </c>
      <c r="C401" t="s">
        <v>43</v>
      </c>
      <c r="D401" s="10">
        <v>45658</v>
      </c>
      <c r="E401" s="11">
        <v>28.2</v>
      </c>
      <c r="F401" s="12">
        <v>2340600</v>
      </c>
      <c r="G401">
        <v>7</v>
      </c>
      <c r="H401" s="10">
        <v>45870</v>
      </c>
      <c r="I401" s="10">
        <v>45931</v>
      </c>
      <c r="J401" t="b">
        <v>0</v>
      </c>
      <c r="K401" s="11">
        <v>1.78</v>
      </c>
    </row>
    <row r="402" spans="1:11" x14ac:dyDescent="0.3">
      <c r="A402" t="s">
        <v>447</v>
      </c>
      <c r="B402" t="s">
        <v>42</v>
      </c>
      <c r="C402" t="s">
        <v>43</v>
      </c>
      <c r="D402" s="10">
        <v>45658</v>
      </c>
      <c r="E402" s="11">
        <v>12.4</v>
      </c>
      <c r="F402" s="12">
        <v>1029200</v>
      </c>
      <c r="G402">
        <v>8</v>
      </c>
      <c r="H402" s="10">
        <v>45901</v>
      </c>
      <c r="I402" s="10">
        <v>45901</v>
      </c>
      <c r="J402" t="b">
        <v>0</v>
      </c>
      <c r="K402" s="11">
        <v>0.05</v>
      </c>
    </row>
    <row r="403" spans="1:11" x14ac:dyDescent="0.3">
      <c r="A403" t="s">
        <v>448</v>
      </c>
      <c r="B403" t="s">
        <v>42</v>
      </c>
      <c r="C403" t="s">
        <v>43</v>
      </c>
      <c r="D403" s="10">
        <v>45658</v>
      </c>
      <c r="E403" s="11">
        <v>27</v>
      </c>
      <c r="F403" s="12">
        <v>2241000</v>
      </c>
      <c r="G403">
        <v>9</v>
      </c>
      <c r="H403" s="10">
        <v>45931</v>
      </c>
      <c r="I403" s="10">
        <v>45931</v>
      </c>
      <c r="J403" t="b">
        <v>0</v>
      </c>
      <c r="K403" s="11">
        <v>0</v>
      </c>
    </row>
    <row r="404" spans="1:11" x14ac:dyDescent="0.3">
      <c r="A404" t="s">
        <v>449</v>
      </c>
      <c r="B404" t="s">
        <v>42</v>
      </c>
      <c r="C404" t="s">
        <v>43</v>
      </c>
      <c r="D404" s="10">
        <v>45658</v>
      </c>
      <c r="E404" s="11">
        <v>66.099999999999994</v>
      </c>
      <c r="F404" s="12">
        <v>5486299.9999999991</v>
      </c>
      <c r="G404">
        <v>10</v>
      </c>
      <c r="H404" s="10">
        <v>45962</v>
      </c>
      <c r="I404" s="10">
        <v>45962</v>
      </c>
      <c r="J404" t="b">
        <v>0</v>
      </c>
      <c r="K404" s="11">
        <v>0</v>
      </c>
    </row>
    <row r="405" spans="1:11" x14ac:dyDescent="0.3">
      <c r="A405" t="s">
        <v>450</v>
      </c>
      <c r="B405" t="s">
        <v>42</v>
      </c>
      <c r="C405" t="s">
        <v>43</v>
      </c>
      <c r="D405" s="10">
        <v>45658</v>
      </c>
      <c r="E405" s="11">
        <v>30.7</v>
      </c>
      <c r="F405" s="12">
        <v>2548100</v>
      </c>
      <c r="G405">
        <v>10</v>
      </c>
      <c r="H405" s="10">
        <v>45962</v>
      </c>
      <c r="I405" s="10">
        <v>45962</v>
      </c>
      <c r="J405" t="b">
        <v>0</v>
      </c>
      <c r="K405" s="11">
        <v>0</v>
      </c>
    </row>
    <row r="406" spans="1:11" x14ac:dyDescent="0.3">
      <c r="A406" t="s">
        <v>451</v>
      </c>
      <c r="B406" t="s">
        <v>42</v>
      </c>
      <c r="C406" t="s">
        <v>43</v>
      </c>
      <c r="D406" s="10">
        <v>45658</v>
      </c>
      <c r="E406" s="11">
        <v>10.4</v>
      </c>
      <c r="F406" s="12">
        <v>863200</v>
      </c>
      <c r="G406">
        <v>6</v>
      </c>
      <c r="H406" s="10">
        <v>45839</v>
      </c>
      <c r="I406" s="10">
        <v>45839</v>
      </c>
      <c r="J406" t="b">
        <v>0</v>
      </c>
      <c r="K406" s="11">
        <v>0</v>
      </c>
    </row>
    <row r="407" spans="1:11" x14ac:dyDescent="0.3">
      <c r="A407" t="s">
        <v>452</v>
      </c>
      <c r="B407" t="s">
        <v>42</v>
      </c>
      <c r="C407" t="s">
        <v>43</v>
      </c>
      <c r="D407" s="10">
        <v>45658</v>
      </c>
      <c r="E407" s="11">
        <v>11</v>
      </c>
      <c r="F407" s="12">
        <v>913000</v>
      </c>
      <c r="G407">
        <v>11</v>
      </c>
      <c r="H407" s="10">
        <v>45992</v>
      </c>
      <c r="I407" s="10">
        <v>45992</v>
      </c>
      <c r="J407" t="b">
        <v>0</v>
      </c>
      <c r="K407" s="11">
        <v>0.04</v>
      </c>
    </row>
    <row r="408" spans="1:11" x14ac:dyDescent="0.3">
      <c r="A408" t="s">
        <v>453</v>
      </c>
      <c r="B408" t="s">
        <v>42</v>
      </c>
      <c r="C408" t="s">
        <v>43</v>
      </c>
      <c r="D408" s="10">
        <v>45658</v>
      </c>
      <c r="E408" s="11">
        <v>8.5</v>
      </c>
      <c r="F408" s="12">
        <v>705500</v>
      </c>
      <c r="G408">
        <v>11</v>
      </c>
      <c r="H408" s="10">
        <v>45992</v>
      </c>
      <c r="I408" s="10">
        <v>46054</v>
      </c>
      <c r="J408" t="b">
        <v>0</v>
      </c>
      <c r="K408" s="11">
        <v>1.98</v>
      </c>
    </row>
    <row r="409" spans="1:11" x14ac:dyDescent="0.3">
      <c r="A409" t="s">
        <v>454</v>
      </c>
      <c r="B409" t="s">
        <v>42</v>
      </c>
      <c r="C409" t="s">
        <v>43</v>
      </c>
      <c r="D409" s="10">
        <v>45658</v>
      </c>
      <c r="E409" s="11">
        <v>21.4</v>
      </c>
      <c r="F409" s="12">
        <v>1776200</v>
      </c>
      <c r="G409">
        <v>7</v>
      </c>
      <c r="H409" s="10">
        <v>45870</v>
      </c>
      <c r="I409" s="10">
        <v>45870</v>
      </c>
      <c r="J409" t="b">
        <v>0</v>
      </c>
      <c r="K409" s="11">
        <v>0</v>
      </c>
    </row>
    <row r="410" spans="1:11" x14ac:dyDescent="0.3">
      <c r="A410" t="s">
        <v>455</v>
      </c>
      <c r="B410" t="s">
        <v>42</v>
      </c>
      <c r="C410" t="s">
        <v>43</v>
      </c>
      <c r="D410" s="10">
        <v>45658</v>
      </c>
      <c r="E410" s="11">
        <v>33.9</v>
      </c>
      <c r="F410" s="12">
        <v>2813700</v>
      </c>
      <c r="G410">
        <v>6</v>
      </c>
      <c r="H410" s="10">
        <v>45839</v>
      </c>
      <c r="I410" s="10">
        <v>45870</v>
      </c>
      <c r="J410" t="b">
        <v>0</v>
      </c>
      <c r="K410" s="11">
        <v>0.51</v>
      </c>
    </row>
    <row r="411" spans="1:11" x14ac:dyDescent="0.3">
      <c r="A411" t="s">
        <v>456</v>
      </c>
      <c r="B411" t="s">
        <v>42</v>
      </c>
      <c r="C411" t="s">
        <v>43</v>
      </c>
      <c r="D411" s="10">
        <v>45658</v>
      </c>
      <c r="E411" s="11">
        <v>3.9</v>
      </c>
      <c r="F411" s="12">
        <v>323700</v>
      </c>
      <c r="G411">
        <v>11</v>
      </c>
      <c r="H411" s="10">
        <v>45992</v>
      </c>
      <c r="I411" s="10">
        <v>45992</v>
      </c>
      <c r="J411" t="b">
        <v>0</v>
      </c>
      <c r="K411" s="11">
        <v>0.01</v>
      </c>
    </row>
    <row r="412" spans="1:11" x14ac:dyDescent="0.3">
      <c r="A412" t="s">
        <v>457</v>
      </c>
      <c r="B412" t="s">
        <v>42</v>
      </c>
      <c r="C412" t="s">
        <v>43</v>
      </c>
      <c r="D412" s="10">
        <v>45658</v>
      </c>
      <c r="E412" s="11">
        <v>17.399999999999999</v>
      </c>
      <c r="F412" s="12">
        <v>1444200</v>
      </c>
      <c r="G412">
        <v>10</v>
      </c>
      <c r="H412" s="10">
        <v>45962</v>
      </c>
      <c r="I412" s="10">
        <v>45962</v>
      </c>
      <c r="J412" t="b">
        <v>0</v>
      </c>
      <c r="K412" s="11">
        <v>0.06</v>
      </c>
    </row>
    <row r="413" spans="1:11" x14ac:dyDescent="0.3">
      <c r="A413" t="s">
        <v>458</v>
      </c>
      <c r="B413" t="s">
        <v>42</v>
      </c>
      <c r="C413" t="s">
        <v>43</v>
      </c>
      <c r="D413" s="10">
        <v>45658</v>
      </c>
      <c r="E413" s="11">
        <v>30.3</v>
      </c>
      <c r="F413" s="12">
        <v>2514900</v>
      </c>
      <c r="G413">
        <v>6</v>
      </c>
      <c r="H413" s="10">
        <v>45839</v>
      </c>
      <c r="I413" s="10">
        <v>45839</v>
      </c>
      <c r="J413" t="b">
        <v>0</v>
      </c>
      <c r="K413" s="11">
        <v>0.01</v>
      </c>
    </row>
    <row r="414" spans="1:11" x14ac:dyDescent="0.3">
      <c r="A414" t="s">
        <v>459</v>
      </c>
      <c r="B414" t="s">
        <v>42</v>
      </c>
      <c r="C414" t="s">
        <v>43</v>
      </c>
      <c r="D414" s="10">
        <v>45658</v>
      </c>
      <c r="E414" s="11">
        <v>14.1</v>
      </c>
      <c r="F414" s="12">
        <v>1170300</v>
      </c>
      <c r="G414">
        <v>7</v>
      </c>
      <c r="H414" s="10">
        <v>45870</v>
      </c>
      <c r="I414" s="10">
        <v>45870</v>
      </c>
      <c r="J414" t="b">
        <v>0</v>
      </c>
      <c r="K414" s="11">
        <v>0</v>
      </c>
    </row>
    <row r="415" spans="1:11" x14ac:dyDescent="0.3">
      <c r="A415" t="s">
        <v>460</v>
      </c>
      <c r="B415" t="s">
        <v>42</v>
      </c>
      <c r="C415" t="s">
        <v>43</v>
      </c>
      <c r="D415" s="10">
        <v>45658</v>
      </c>
      <c r="E415" s="11">
        <v>17.399999999999999</v>
      </c>
      <c r="F415" s="12">
        <v>1444200</v>
      </c>
      <c r="G415">
        <v>5</v>
      </c>
      <c r="H415" s="10">
        <v>45809</v>
      </c>
      <c r="I415" s="10">
        <v>45809</v>
      </c>
      <c r="J415" t="b">
        <v>0</v>
      </c>
      <c r="K415" s="11">
        <v>0</v>
      </c>
    </row>
    <row r="416" spans="1:11" x14ac:dyDescent="0.3">
      <c r="A416" t="s">
        <v>461</v>
      </c>
      <c r="B416" t="s">
        <v>42</v>
      </c>
      <c r="C416" t="s">
        <v>43</v>
      </c>
      <c r="D416" s="10">
        <v>45658</v>
      </c>
      <c r="E416" s="11">
        <v>67.5</v>
      </c>
      <c r="F416" s="12">
        <v>5602500</v>
      </c>
      <c r="G416">
        <v>9</v>
      </c>
      <c r="H416" s="10">
        <v>45931</v>
      </c>
      <c r="I416" s="10">
        <v>45931</v>
      </c>
      <c r="J416" t="b">
        <v>0</v>
      </c>
      <c r="K416" s="11">
        <v>0.05</v>
      </c>
    </row>
    <row r="417" spans="1:11" x14ac:dyDescent="0.3">
      <c r="A417" t="s">
        <v>462</v>
      </c>
      <c r="B417" t="s">
        <v>42</v>
      </c>
      <c r="C417" t="s">
        <v>43</v>
      </c>
      <c r="D417" s="10">
        <v>45658</v>
      </c>
      <c r="E417" s="11">
        <v>2.1</v>
      </c>
      <c r="F417" s="12">
        <v>174300</v>
      </c>
      <c r="G417">
        <v>7</v>
      </c>
      <c r="H417" s="10">
        <v>45870</v>
      </c>
      <c r="I417" s="10">
        <v>45870</v>
      </c>
      <c r="J417" t="b">
        <v>0</v>
      </c>
      <c r="K417" s="11">
        <v>0.05</v>
      </c>
    </row>
    <row r="418" spans="1:11" x14ac:dyDescent="0.3">
      <c r="A418" t="s">
        <v>463</v>
      </c>
      <c r="B418" t="s">
        <v>42</v>
      </c>
      <c r="C418" t="s">
        <v>43</v>
      </c>
      <c r="D418" s="10">
        <v>45658</v>
      </c>
      <c r="E418" s="11">
        <v>15.6</v>
      </c>
      <c r="F418" s="12">
        <v>1294800</v>
      </c>
      <c r="G418">
        <v>5</v>
      </c>
      <c r="H418" s="10">
        <v>45809</v>
      </c>
      <c r="I418" s="10">
        <v>45809</v>
      </c>
      <c r="J418" t="b">
        <v>0</v>
      </c>
      <c r="K418" s="11">
        <v>0.11</v>
      </c>
    </row>
    <row r="419" spans="1:11" x14ac:dyDescent="0.3">
      <c r="A419" t="s">
        <v>464</v>
      </c>
      <c r="B419" t="s">
        <v>42</v>
      </c>
      <c r="C419" t="s">
        <v>43</v>
      </c>
      <c r="D419" s="10">
        <v>45658</v>
      </c>
      <c r="E419" s="11">
        <v>28.4</v>
      </c>
      <c r="F419" s="12">
        <v>2357200</v>
      </c>
      <c r="G419">
        <v>5</v>
      </c>
      <c r="H419" s="10">
        <v>45809</v>
      </c>
      <c r="I419" s="10">
        <v>45809</v>
      </c>
      <c r="J419" t="b">
        <v>0</v>
      </c>
      <c r="K419" s="11">
        <v>0</v>
      </c>
    </row>
    <row r="420" spans="1:11" x14ac:dyDescent="0.3">
      <c r="A420" t="s">
        <v>465</v>
      </c>
      <c r="B420" t="s">
        <v>42</v>
      </c>
      <c r="C420" t="s">
        <v>43</v>
      </c>
      <c r="D420" s="10">
        <v>45658</v>
      </c>
      <c r="E420" s="11">
        <v>12.8</v>
      </c>
      <c r="F420" s="12">
        <v>1062400</v>
      </c>
      <c r="G420">
        <v>9</v>
      </c>
      <c r="H420" s="10">
        <v>45931</v>
      </c>
      <c r="I420" s="10">
        <v>45931</v>
      </c>
      <c r="J420" t="b">
        <v>0</v>
      </c>
      <c r="K420" s="11">
        <v>0.01</v>
      </c>
    </row>
    <row r="421" spans="1:11" x14ac:dyDescent="0.3">
      <c r="A421" t="s">
        <v>466</v>
      </c>
      <c r="B421" t="s">
        <v>42</v>
      </c>
      <c r="C421" t="s">
        <v>43</v>
      </c>
      <c r="D421" s="10">
        <v>45658</v>
      </c>
      <c r="E421" s="11">
        <v>6.8</v>
      </c>
      <c r="F421" s="12">
        <v>564400</v>
      </c>
      <c r="G421">
        <v>10</v>
      </c>
      <c r="H421" s="10">
        <v>45962</v>
      </c>
      <c r="I421" s="10">
        <v>45962</v>
      </c>
      <c r="J421" t="b">
        <v>0</v>
      </c>
      <c r="K421" s="11">
        <v>0</v>
      </c>
    </row>
    <row r="422" spans="1:11" x14ac:dyDescent="0.3">
      <c r="A422" t="s">
        <v>467</v>
      </c>
      <c r="B422" t="s">
        <v>42</v>
      </c>
      <c r="C422" t="s">
        <v>43</v>
      </c>
      <c r="D422" s="10">
        <v>45658</v>
      </c>
      <c r="E422" s="11">
        <v>4.5999999999999996</v>
      </c>
      <c r="F422" s="12">
        <v>381800</v>
      </c>
      <c r="G422">
        <v>6</v>
      </c>
      <c r="H422" s="10">
        <v>45839</v>
      </c>
      <c r="I422" s="10">
        <v>45870</v>
      </c>
      <c r="J422" t="b">
        <v>0</v>
      </c>
      <c r="K422" s="11">
        <v>0.59</v>
      </c>
    </row>
    <row r="423" spans="1:11" x14ac:dyDescent="0.3">
      <c r="A423" t="s">
        <v>468</v>
      </c>
      <c r="B423" t="s">
        <v>42</v>
      </c>
      <c r="C423" t="s">
        <v>43</v>
      </c>
      <c r="D423" s="10">
        <v>45658</v>
      </c>
      <c r="E423" s="11">
        <v>6.6</v>
      </c>
      <c r="F423" s="12">
        <v>547800</v>
      </c>
      <c r="G423">
        <v>10</v>
      </c>
      <c r="H423" s="10">
        <v>45962</v>
      </c>
      <c r="I423" s="10">
        <v>45962</v>
      </c>
      <c r="J423" t="b">
        <v>0</v>
      </c>
      <c r="K423" s="11">
        <v>0.48</v>
      </c>
    </row>
    <row r="424" spans="1:11" x14ac:dyDescent="0.3">
      <c r="A424" t="s">
        <v>469</v>
      </c>
      <c r="B424" t="s">
        <v>42</v>
      </c>
      <c r="C424" t="s">
        <v>43</v>
      </c>
      <c r="D424" s="10">
        <v>45658</v>
      </c>
      <c r="E424" s="11">
        <v>7.7</v>
      </c>
      <c r="F424" s="12">
        <v>639100</v>
      </c>
      <c r="G424">
        <v>5</v>
      </c>
      <c r="H424" s="10">
        <v>45809</v>
      </c>
      <c r="I424" s="10">
        <v>45901</v>
      </c>
      <c r="J424" t="b">
        <v>0</v>
      </c>
      <c r="K424" s="11">
        <v>2.64</v>
      </c>
    </row>
    <row r="425" spans="1:11" x14ac:dyDescent="0.3">
      <c r="A425" t="s">
        <v>470</v>
      </c>
      <c r="B425" t="s">
        <v>42</v>
      </c>
      <c r="C425" t="s">
        <v>43</v>
      </c>
      <c r="D425" s="10">
        <v>45658</v>
      </c>
      <c r="E425" s="11">
        <v>13</v>
      </c>
      <c r="F425" s="12">
        <v>1079000</v>
      </c>
      <c r="G425">
        <v>6</v>
      </c>
      <c r="H425" s="10">
        <v>45839</v>
      </c>
      <c r="I425" s="10">
        <v>45870</v>
      </c>
      <c r="J425" t="b">
        <v>0</v>
      </c>
      <c r="K425" s="11">
        <v>1.41</v>
      </c>
    </row>
    <row r="426" spans="1:11" x14ac:dyDescent="0.3">
      <c r="A426" t="s">
        <v>471</v>
      </c>
      <c r="B426" t="s">
        <v>42</v>
      </c>
      <c r="C426" t="s">
        <v>43</v>
      </c>
      <c r="D426" s="10">
        <v>45658</v>
      </c>
      <c r="E426" s="11">
        <v>8.6</v>
      </c>
      <c r="F426" s="12">
        <v>713800</v>
      </c>
      <c r="G426">
        <v>7</v>
      </c>
      <c r="H426" s="10">
        <v>45870</v>
      </c>
      <c r="I426" s="10">
        <v>45870</v>
      </c>
      <c r="J426" t="b">
        <v>0</v>
      </c>
      <c r="K426" s="11">
        <v>0.06</v>
      </c>
    </row>
    <row r="427" spans="1:11" x14ac:dyDescent="0.3">
      <c r="A427" t="s">
        <v>472</v>
      </c>
      <c r="B427" t="s">
        <v>42</v>
      </c>
      <c r="C427" t="s">
        <v>43</v>
      </c>
      <c r="D427" s="10">
        <v>45658</v>
      </c>
      <c r="E427" s="11">
        <v>14.7</v>
      </c>
      <c r="F427" s="12">
        <v>1220100</v>
      </c>
      <c r="G427">
        <v>7</v>
      </c>
      <c r="H427" s="10">
        <v>45870</v>
      </c>
      <c r="I427" s="10">
        <v>45870</v>
      </c>
      <c r="J427" t="b">
        <v>0</v>
      </c>
      <c r="K427" s="11">
        <v>0.04</v>
      </c>
    </row>
    <row r="428" spans="1:11" x14ac:dyDescent="0.3">
      <c r="A428" t="s">
        <v>473</v>
      </c>
      <c r="B428" t="s">
        <v>42</v>
      </c>
      <c r="C428" t="s">
        <v>43</v>
      </c>
      <c r="D428" s="10">
        <v>45658</v>
      </c>
      <c r="E428" s="11">
        <v>11.2</v>
      </c>
      <c r="F428" s="12">
        <v>929600</v>
      </c>
      <c r="G428">
        <v>7</v>
      </c>
      <c r="H428" s="10">
        <v>45870</v>
      </c>
      <c r="I428" s="10">
        <v>45870</v>
      </c>
      <c r="J428" t="b">
        <v>0</v>
      </c>
      <c r="K428" s="11">
        <v>0.32</v>
      </c>
    </row>
    <row r="429" spans="1:11" x14ac:dyDescent="0.3">
      <c r="A429" t="s">
        <v>474</v>
      </c>
      <c r="B429" t="s">
        <v>42</v>
      </c>
      <c r="C429" t="s">
        <v>43</v>
      </c>
      <c r="D429" s="10">
        <v>45658</v>
      </c>
      <c r="E429" s="11">
        <v>7.9</v>
      </c>
      <c r="F429" s="12">
        <v>655700</v>
      </c>
      <c r="G429">
        <v>7</v>
      </c>
      <c r="H429" s="10">
        <v>45870</v>
      </c>
      <c r="I429" s="10">
        <v>45931</v>
      </c>
      <c r="J429" t="b">
        <v>0</v>
      </c>
      <c r="K429" s="11">
        <v>1.97</v>
      </c>
    </row>
    <row r="430" spans="1:11" x14ac:dyDescent="0.3">
      <c r="A430" t="s">
        <v>475</v>
      </c>
      <c r="B430" t="s">
        <v>56</v>
      </c>
      <c r="C430" t="s">
        <v>62</v>
      </c>
      <c r="D430" s="10">
        <v>45658</v>
      </c>
      <c r="E430" s="11">
        <v>7.3</v>
      </c>
      <c r="F430" s="12">
        <v>591300</v>
      </c>
      <c r="G430">
        <v>6</v>
      </c>
      <c r="H430" s="10">
        <v>45839</v>
      </c>
      <c r="I430" s="10">
        <v>45839</v>
      </c>
      <c r="J430" t="b">
        <v>0</v>
      </c>
      <c r="K430" s="11">
        <v>0.16</v>
      </c>
    </row>
    <row r="431" spans="1:11" x14ac:dyDescent="0.3">
      <c r="A431" t="s">
        <v>476</v>
      </c>
      <c r="B431" t="s">
        <v>56</v>
      </c>
      <c r="C431" t="s">
        <v>62</v>
      </c>
      <c r="D431" s="10">
        <v>45658</v>
      </c>
      <c r="E431" s="11">
        <v>28.8</v>
      </c>
      <c r="F431" s="12">
        <v>2332800</v>
      </c>
      <c r="G431">
        <v>10</v>
      </c>
      <c r="H431" s="10">
        <v>45962</v>
      </c>
      <c r="I431" s="10"/>
      <c r="J431" t="b">
        <v>1</v>
      </c>
      <c r="K431" s="11">
        <v>2.5099999999999998</v>
      </c>
    </row>
    <row r="432" spans="1:11" x14ac:dyDescent="0.3">
      <c r="A432" t="s">
        <v>477</v>
      </c>
      <c r="B432" t="s">
        <v>65</v>
      </c>
      <c r="C432" t="s">
        <v>66</v>
      </c>
      <c r="D432" s="10">
        <v>45658</v>
      </c>
      <c r="E432" s="11">
        <v>3.4</v>
      </c>
      <c r="F432" s="12">
        <v>241400</v>
      </c>
      <c r="G432">
        <v>9</v>
      </c>
      <c r="H432" s="10">
        <v>45931</v>
      </c>
      <c r="I432" s="10">
        <v>46082</v>
      </c>
      <c r="J432" t="b">
        <v>0</v>
      </c>
      <c r="K432" s="11">
        <v>4.84</v>
      </c>
    </row>
    <row r="433" spans="1:11" x14ac:dyDescent="0.3">
      <c r="A433" t="s">
        <v>478</v>
      </c>
      <c r="B433" t="s">
        <v>65</v>
      </c>
      <c r="C433" t="s">
        <v>66</v>
      </c>
      <c r="D433" s="10">
        <v>45658</v>
      </c>
      <c r="E433" s="11">
        <v>15</v>
      </c>
      <c r="F433" s="12">
        <v>1065000</v>
      </c>
      <c r="G433">
        <v>8</v>
      </c>
      <c r="H433" s="10">
        <v>45901</v>
      </c>
      <c r="I433" s="10">
        <v>45901</v>
      </c>
      <c r="J433" t="b">
        <v>0</v>
      </c>
      <c r="K433" s="11">
        <v>0.49</v>
      </c>
    </row>
    <row r="434" spans="1:11" x14ac:dyDescent="0.3">
      <c r="A434" t="s">
        <v>479</v>
      </c>
      <c r="B434" t="s">
        <v>65</v>
      </c>
      <c r="C434" t="s">
        <v>70</v>
      </c>
      <c r="D434" s="10">
        <v>45658</v>
      </c>
      <c r="E434" s="11">
        <v>4.7</v>
      </c>
      <c r="F434" s="12">
        <v>394800</v>
      </c>
      <c r="G434">
        <v>7</v>
      </c>
      <c r="H434" s="10">
        <v>45870</v>
      </c>
      <c r="I434" s="10">
        <v>45870</v>
      </c>
      <c r="J434" t="b">
        <v>0</v>
      </c>
      <c r="K434" s="11">
        <v>0.04</v>
      </c>
    </row>
    <row r="435" spans="1:11" x14ac:dyDescent="0.3">
      <c r="A435" t="s">
        <v>480</v>
      </c>
      <c r="B435" t="s">
        <v>65</v>
      </c>
      <c r="C435" t="s">
        <v>70</v>
      </c>
      <c r="D435" s="10">
        <v>45658</v>
      </c>
      <c r="E435" s="11">
        <v>29.8</v>
      </c>
      <c r="F435" s="12">
        <v>2503200</v>
      </c>
      <c r="G435">
        <v>8</v>
      </c>
      <c r="H435" s="10">
        <v>45901</v>
      </c>
      <c r="I435" s="10">
        <v>45901</v>
      </c>
      <c r="J435" t="b">
        <v>0</v>
      </c>
      <c r="K435" s="11">
        <v>0</v>
      </c>
    </row>
    <row r="436" spans="1:11" x14ac:dyDescent="0.3">
      <c r="A436" t="s">
        <v>481</v>
      </c>
      <c r="B436" t="s">
        <v>72</v>
      </c>
      <c r="C436" t="s">
        <v>72</v>
      </c>
      <c r="D436" s="10">
        <v>45658</v>
      </c>
      <c r="E436" s="11">
        <v>13.8</v>
      </c>
      <c r="F436" s="12">
        <v>1090200</v>
      </c>
      <c r="G436">
        <v>6</v>
      </c>
      <c r="H436" s="10">
        <v>45839</v>
      </c>
      <c r="I436" s="10">
        <v>45839</v>
      </c>
      <c r="J436" t="b">
        <v>0</v>
      </c>
      <c r="K436" s="11">
        <v>0.19</v>
      </c>
    </row>
    <row r="437" spans="1:11" x14ac:dyDescent="0.3">
      <c r="A437" t="s">
        <v>482</v>
      </c>
      <c r="B437" t="s">
        <v>72</v>
      </c>
      <c r="C437" t="s">
        <v>72</v>
      </c>
      <c r="D437" s="10">
        <v>45658</v>
      </c>
      <c r="E437" s="11">
        <v>10.3</v>
      </c>
      <c r="F437" s="12">
        <v>813700</v>
      </c>
      <c r="G437">
        <v>8</v>
      </c>
      <c r="H437" s="10">
        <v>45901</v>
      </c>
      <c r="I437" s="10">
        <v>45901</v>
      </c>
      <c r="J437" t="b">
        <v>0</v>
      </c>
      <c r="K437" s="11">
        <v>0.2</v>
      </c>
    </row>
    <row r="438" spans="1:11" x14ac:dyDescent="0.3">
      <c r="A438" t="s">
        <v>483</v>
      </c>
      <c r="B438" t="s">
        <v>72</v>
      </c>
      <c r="C438" t="s">
        <v>72</v>
      </c>
      <c r="D438" s="10">
        <v>45658</v>
      </c>
      <c r="E438" s="11">
        <v>7.6</v>
      </c>
      <c r="F438" s="12">
        <v>600400</v>
      </c>
      <c r="G438">
        <v>8</v>
      </c>
      <c r="H438" s="10">
        <v>45901</v>
      </c>
      <c r="I438" s="10">
        <v>45901</v>
      </c>
      <c r="J438" t="b">
        <v>0</v>
      </c>
      <c r="K438" s="11">
        <v>0</v>
      </c>
    </row>
    <row r="439" spans="1:11" x14ac:dyDescent="0.3">
      <c r="A439" t="s">
        <v>484</v>
      </c>
      <c r="B439" t="s">
        <v>42</v>
      </c>
      <c r="C439" t="s">
        <v>43</v>
      </c>
      <c r="D439" s="10">
        <v>45689</v>
      </c>
      <c r="E439" s="11">
        <v>14.3</v>
      </c>
      <c r="F439" s="12">
        <v>1186900</v>
      </c>
      <c r="G439">
        <v>8</v>
      </c>
      <c r="H439" s="10">
        <v>45931</v>
      </c>
      <c r="I439" s="10">
        <v>45931</v>
      </c>
      <c r="J439" t="b">
        <v>0</v>
      </c>
      <c r="K439" s="11">
        <v>0.31</v>
      </c>
    </row>
    <row r="440" spans="1:11" x14ac:dyDescent="0.3">
      <c r="A440" t="s">
        <v>485</v>
      </c>
      <c r="B440" t="s">
        <v>42</v>
      </c>
      <c r="C440" t="s">
        <v>43</v>
      </c>
      <c r="D440" s="10">
        <v>45689</v>
      </c>
      <c r="E440" s="11">
        <v>6</v>
      </c>
      <c r="F440" s="12">
        <v>498000</v>
      </c>
      <c r="G440">
        <v>11</v>
      </c>
      <c r="H440" s="10">
        <v>46023</v>
      </c>
      <c r="I440" s="10">
        <v>46023</v>
      </c>
      <c r="J440" t="b">
        <v>0</v>
      </c>
      <c r="K440" s="11">
        <v>0</v>
      </c>
    </row>
    <row r="441" spans="1:11" x14ac:dyDescent="0.3">
      <c r="A441" t="s">
        <v>486</v>
      </c>
      <c r="B441" t="s">
        <v>42</v>
      </c>
      <c r="C441" t="s">
        <v>43</v>
      </c>
      <c r="D441" s="10">
        <v>45689</v>
      </c>
      <c r="E441" s="11">
        <v>26.7</v>
      </c>
      <c r="F441" s="12">
        <v>2216100</v>
      </c>
      <c r="G441">
        <v>5</v>
      </c>
      <c r="H441" s="10">
        <v>45839</v>
      </c>
      <c r="I441" s="10">
        <v>45870</v>
      </c>
      <c r="J441" t="b">
        <v>0</v>
      </c>
      <c r="K441" s="11">
        <v>0.65</v>
      </c>
    </row>
    <row r="442" spans="1:11" x14ac:dyDescent="0.3">
      <c r="A442" t="s">
        <v>487</v>
      </c>
      <c r="B442" t="s">
        <v>42</v>
      </c>
      <c r="C442" t="s">
        <v>43</v>
      </c>
      <c r="D442" s="10">
        <v>45689</v>
      </c>
      <c r="E442" s="11">
        <v>12.7</v>
      </c>
      <c r="F442" s="12">
        <v>1054100</v>
      </c>
      <c r="G442">
        <v>9</v>
      </c>
      <c r="H442" s="10">
        <v>45962</v>
      </c>
      <c r="I442" s="10">
        <v>45962</v>
      </c>
      <c r="J442" t="b">
        <v>0</v>
      </c>
      <c r="K442" s="11">
        <v>0.02</v>
      </c>
    </row>
    <row r="443" spans="1:11" x14ac:dyDescent="0.3">
      <c r="A443" t="s">
        <v>488</v>
      </c>
      <c r="B443" t="s">
        <v>42</v>
      </c>
      <c r="C443" t="s">
        <v>43</v>
      </c>
      <c r="D443" s="10">
        <v>45689</v>
      </c>
      <c r="E443" s="11">
        <v>19.8</v>
      </c>
      <c r="F443" s="12">
        <v>1643400</v>
      </c>
      <c r="G443">
        <v>9</v>
      </c>
      <c r="H443" s="10">
        <v>45962</v>
      </c>
      <c r="I443" s="10">
        <v>45992</v>
      </c>
      <c r="J443" t="b">
        <v>0</v>
      </c>
      <c r="K443" s="11">
        <v>0.9</v>
      </c>
    </row>
    <row r="444" spans="1:11" x14ac:dyDescent="0.3">
      <c r="A444" t="s">
        <v>489</v>
      </c>
      <c r="B444" t="s">
        <v>42</v>
      </c>
      <c r="C444" t="s">
        <v>43</v>
      </c>
      <c r="D444" s="10">
        <v>45689</v>
      </c>
      <c r="E444" s="11">
        <v>8.9</v>
      </c>
      <c r="F444" s="12">
        <v>738700</v>
      </c>
      <c r="G444">
        <v>9</v>
      </c>
      <c r="H444" s="10">
        <v>45962</v>
      </c>
      <c r="I444" s="10">
        <v>45992</v>
      </c>
      <c r="J444" t="b">
        <v>0</v>
      </c>
      <c r="K444" s="11">
        <v>0.65</v>
      </c>
    </row>
    <row r="445" spans="1:11" x14ac:dyDescent="0.3">
      <c r="A445" t="s">
        <v>490</v>
      </c>
      <c r="B445" t="s">
        <v>42</v>
      </c>
      <c r="C445" t="s">
        <v>43</v>
      </c>
      <c r="D445" s="10">
        <v>45689</v>
      </c>
      <c r="E445" s="11">
        <v>11.6</v>
      </c>
      <c r="F445" s="12">
        <v>962800</v>
      </c>
      <c r="G445">
        <v>9</v>
      </c>
      <c r="H445" s="10">
        <v>45962</v>
      </c>
      <c r="I445" s="10">
        <v>45992</v>
      </c>
      <c r="J445" t="b">
        <v>0</v>
      </c>
      <c r="K445" s="11">
        <v>0.98</v>
      </c>
    </row>
    <row r="446" spans="1:11" x14ac:dyDescent="0.3">
      <c r="A446" t="s">
        <v>491</v>
      </c>
      <c r="B446" t="s">
        <v>42</v>
      </c>
      <c r="C446" t="s">
        <v>43</v>
      </c>
      <c r="D446" s="10">
        <v>45689</v>
      </c>
      <c r="E446" s="11">
        <v>10.9</v>
      </c>
      <c r="F446" s="12">
        <v>904700</v>
      </c>
      <c r="G446">
        <v>9</v>
      </c>
      <c r="H446" s="10">
        <v>45962</v>
      </c>
      <c r="I446" s="10">
        <v>46174</v>
      </c>
      <c r="J446" t="b">
        <v>0</v>
      </c>
      <c r="K446" s="11">
        <v>6.94</v>
      </c>
    </row>
    <row r="447" spans="1:11" x14ac:dyDescent="0.3">
      <c r="A447" t="s">
        <v>492</v>
      </c>
      <c r="B447" t="s">
        <v>42</v>
      </c>
      <c r="C447" t="s">
        <v>43</v>
      </c>
      <c r="D447" s="10">
        <v>45689</v>
      </c>
      <c r="E447" s="11">
        <v>7.6</v>
      </c>
      <c r="F447" s="12">
        <v>630800</v>
      </c>
      <c r="G447">
        <v>10</v>
      </c>
      <c r="H447" s="10">
        <v>45992</v>
      </c>
      <c r="I447" s="10">
        <v>46023</v>
      </c>
      <c r="J447" t="b">
        <v>0</v>
      </c>
      <c r="K447" s="11">
        <v>0.68</v>
      </c>
    </row>
    <row r="448" spans="1:11" x14ac:dyDescent="0.3">
      <c r="A448" t="s">
        <v>493</v>
      </c>
      <c r="B448" t="s">
        <v>42</v>
      </c>
      <c r="C448" t="s">
        <v>43</v>
      </c>
      <c r="D448" s="10">
        <v>45689</v>
      </c>
      <c r="E448" s="11">
        <v>15.5</v>
      </c>
      <c r="F448" s="12">
        <v>1286500</v>
      </c>
      <c r="G448">
        <v>11</v>
      </c>
      <c r="H448" s="10">
        <v>46023</v>
      </c>
      <c r="I448" s="10">
        <v>46023</v>
      </c>
      <c r="J448" t="b">
        <v>0</v>
      </c>
      <c r="K448" s="11">
        <v>0</v>
      </c>
    </row>
    <row r="449" spans="1:11" x14ac:dyDescent="0.3">
      <c r="A449" t="s">
        <v>494</v>
      </c>
      <c r="B449" t="s">
        <v>42</v>
      </c>
      <c r="C449" t="s">
        <v>43</v>
      </c>
      <c r="D449" s="10">
        <v>45689</v>
      </c>
      <c r="E449" s="11">
        <v>9.6999999999999993</v>
      </c>
      <c r="F449" s="12">
        <v>805099.99999999988</v>
      </c>
      <c r="G449">
        <v>9</v>
      </c>
      <c r="H449" s="10">
        <v>45962</v>
      </c>
      <c r="I449" s="10">
        <v>45962</v>
      </c>
      <c r="J449" t="b">
        <v>0</v>
      </c>
      <c r="K449" s="11">
        <v>0.03</v>
      </c>
    </row>
    <row r="450" spans="1:11" x14ac:dyDescent="0.3">
      <c r="A450" t="s">
        <v>495</v>
      </c>
      <c r="B450" t="s">
        <v>42</v>
      </c>
      <c r="C450" t="s">
        <v>43</v>
      </c>
      <c r="D450" s="10">
        <v>45689</v>
      </c>
      <c r="E450" s="11">
        <v>26.6</v>
      </c>
      <c r="F450" s="12">
        <v>2207800</v>
      </c>
      <c r="G450">
        <v>10</v>
      </c>
      <c r="H450" s="10">
        <v>45992</v>
      </c>
      <c r="I450" s="10">
        <v>45992</v>
      </c>
      <c r="J450" t="b">
        <v>0</v>
      </c>
      <c r="K450" s="11">
        <v>0</v>
      </c>
    </row>
    <row r="451" spans="1:11" x14ac:dyDescent="0.3">
      <c r="A451" t="s">
        <v>496</v>
      </c>
      <c r="B451" t="s">
        <v>42</v>
      </c>
      <c r="C451" t="s">
        <v>43</v>
      </c>
      <c r="D451" s="10">
        <v>45689</v>
      </c>
      <c r="E451" s="11">
        <v>12.7</v>
      </c>
      <c r="F451" s="12">
        <v>1054100</v>
      </c>
      <c r="G451">
        <v>7</v>
      </c>
      <c r="H451" s="10">
        <v>45901</v>
      </c>
      <c r="I451" s="10">
        <v>45901</v>
      </c>
      <c r="J451" t="b">
        <v>0</v>
      </c>
      <c r="K451" s="11">
        <v>0</v>
      </c>
    </row>
    <row r="452" spans="1:11" x14ac:dyDescent="0.3">
      <c r="A452" t="s">
        <v>497</v>
      </c>
      <c r="B452" t="s">
        <v>42</v>
      </c>
      <c r="C452" t="s">
        <v>43</v>
      </c>
      <c r="D452" s="10">
        <v>45689</v>
      </c>
      <c r="E452" s="11">
        <v>21.8</v>
      </c>
      <c r="F452" s="12">
        <v>1809400</v>
      </c>
      <c r="G452">
        <v>8</v>
      </c>
      <c r="H452" s="10">
        <v>45931</v>
      </c>
      <c r="I452" s="10">
        <v>45962</v>
      </c>
      <c r="J452" t="b">
        <v>0</v>
      </c>
      <c r="K452" s="11">
        <v>0.97</v>
      </c>
    </row>
    <row r="453" spans="1:11" x14ac:dyDescent="0.3">
      <c r="A453" t="s">
        <v>498</v>
      </c>
      <c r="B453" t="s">
        <v>42</v>
      </c>
      <c r="C453" t="s">
        <v>43</v>
      </c>
      <c r="D453" s="10">
        <v>45689</v>
      </c>
      <c r="E453" s="11">
        <v>7.2</v>
      </c>
      <c r="F453" s="12">
        <v>597600</v>
      </c>
      <c r="G453">
        <v>8</v>
      </c>
      <c r="H453" s="10">
        <v>45931</v>
      </c>
      <c r="I453" s="10">
        <v>45931</v>
      </c>
      <c r="J453" t="b">
        <v>0</v>
      </c>
      <c r="K453" s="11">
        <v>0</v>
      </c>
    </row>
    <row r="454" spans="1:11" x14ac:dyDescent="0.3">
      <c r="A454" t="s">
        <v>499</v>
      </c>
      <c r="B454" t="s">
        <v>42</v>
      </c>
      <c r="C454" t="s">
        <v>43</v>
      </c>
      <c r="D454" s="10">
        <v>45689</v>
      </c>
      <c r="E454" s="11">
        <v>4.3</v>
      </c>
      <c r="F454" s="12">
        <v>356900</v>
      </c>
      <c r="G454">
        <v>5</v>
      </c>
      <c r="H454" s="10">
        <v>45839</v>
      </c>
      <c r="I454" s="10">
        <v>45839</v>
      </c>
      <c r="J454" t="b">
        <v>0</v>
      </c>
      <c r="K454" s="11">
        <v>0.02</v>
      </c>
    </row>
    <row r="455" spans="1:11" x14ac:dyDescent="0.3">
      <c r="A455" t="s">
        <v>500</v>
      </c>
      <c r="B455" t="s">
        <v>42</v>
      </c>
      <c r="C455" t="s">
        <v>43</v>
      </c>
      <c r="D455" s="10">
        <v>45689</v>
      </c>
      <c r="E455" s="11">
        <v>6.7</v>
      </c>
      <c r="F455" s="12">
        <v>556100</v>
      </c>
      <c r="G455">
        <v>7</v>
      </c>
      <c r="H455" s="10">
        <v>45901</v>
      </c>
      <c r="I455" s="10">
        <v>45901</v>
      </c>
      <c r="J455" t="b">
        <v>0</v>
      </c>
      <c r="K455" s="11">
        <v>0.06</v>
      </c>
    </row>
    <row r="456" spans="1:11" x14ac:dyDescent="0.3">
      <c r="A456" t="s">
        <v>501</v>
      </c>
      <c r="B456" t="s">
        <v>42</v>
      </c>
      <c r="C456" t="s">
        <v>43</v>
      </c>
      <c r="D456" s="10">
        <v>45689</v>
      </c>
      <c r="E456" s="11">
        <v>13.2</v>
      </c>
      <c r="F456" s="12">
        <v>1095600</v>
      </c>
      <c r="G456">
        <v>10</v>
      </c>
      <c r="H456" s="10">
        <v>45992</v>
      </c>
      <c r="I456" s="10">
        <v>45992</v>
      </c>
      <c r="J456" t="b">
        <v>0</v>
      </c>
      <c r="K456" s="11">
        <v>0.02</v>
      </c>
    </row>
    <row r="457" spans="1:11" x14ac:dyDescent="0.3">
      <c r="A457" t="s">
        <v>502</v>
      </c>
      <c r="B457" t="s">
        <v>42</v>
      </c>
      <c r="C457" t="s">
        <v>43</v>
      </c>
      <c r="D457" s="10">
        <v>45689</v>
      </c>
      <c r="E457" s="11">
        <v>6.8</v>
      </c>
      <c r="F457" s="12">
        <v>564400</v>
      </c>
      <c r="G457">
        <v>10</v>
      </c>
      <c r="H457" s="10">
        <v>45992</v>
      </c>
      <c r="I457" s="10">
        <v>45992</v>
      </c>
      <c r="J457" t="b">
        <v>0</v>
      </c>
      <c r="K457" s="11">
        <v>0.03</v>
      </c>
    </row>
    <row r="458" spans="1:11" x14ac:dyDescent="0.3">
      <c r="A458" t="s">
        <v>503</v>
      </c>
      <c r="B458" t="s">
        <v>42</v>
      </c>
      <c r="C458" t="s">
        <v>43</v>
      </c>
      <c r="D458" s="10">
        <v>45689</v>
      </c>
      <c r="E458" s="11">
        <v>12.5</v>
      </c>
      <c r="F458" s="12">
        <v>1037500</v>
      </c>
      <c r="G458">
        <v>10</v>
      </c>
      <c r="H458" s="10">
        <v>45992</v>
      </c>
      <c r="I458" s="10">
        <v>45992</v>
      </c>
      <c r="J458" t="b">
        <v>0</v>
      </c>
      <c r="K458" s="11">
        <v>0</v>
      </c>
    </row>
    <row r="459" spans="1:11" x14ac:dyDescent="0.3">
      <c r="A459" t="s">
        <v>504</v>
      </c>
      <c r="B459" t="s">
        <v>42</v>
      </c>
      <c r="C459" t="s">
        <v>43</v>
      </c>
      <c r="D459" s="10">
        <v>45689</v>
      </c>
      <c r="E459" s="11">
        <v>54.6</v>
      </c>
      <c r="F459" s="12">
        <v>4531800</v>
      </c>
      <c r="G459">
        <v>5</v>
      </c>
      <c r="H459" s="10">
        <v>45839</v>
      </c>
      <c r="I459" s="10">
        <v>45870</v>
      </c>
      <c r="J459" t="b">
        <v>0</v>
      </c>
      <c r="K459" s="11">
        <v>0.7</v>
      </c>
    </row>
    <row r="460" spans="1:11" x14ac:dyDescent="0.3">
      <c r="A460" t="s">
        <v>505</v>
      </c>
      <c r="B460" t="s">
        <v>42</v>
      </c>
      <c r="C460" t="s">
        <v>43</v>
      </c>
      <c r="D460" s="10">
        <v>45689</v>
      </c>
      <c r="E460" s="11">
        <v>22.3</v>
      </c>
      <c r="F460" s="12">
        <v>1850900</v>
      </c>
      <c r="G460">
        <v>11</v>
      </c>
      <c r="H460" s="10">
        <v>46023</v>
      </c>
      <c r="I460" s="10">
        <v>46143</v>
      </c>
      <c r="J460" t="b">
        <v>0</v>
      </c>
      <c r="K460" s="11">
        <v>4.1500000000000004</v>
      </c>
    </row>
    <row r="461" spans="1:11" x14ac:dyDescent="0.3">
      <c r="A461" t="s">
        <v>506</v>
      </c>
      <c r="B461" t="s">
        <v>42</v>
      </c>
      <c r="C461" t="s">
        <v>43</v>
      </c>
      <c r="D461" s="10">
        <v>45689</v>
      </c>
      <c r="E461" s="11">
        <v>11.7</v>
      </c>
      <c r="F461" s="12">
        <v>971100</v>
      </c>
      <c r="G461">
        <v>11</v>
      </c>
      <c r="H461" s="10">
        <v>46023</v>
      </c>
      <c r="I461" s="10">
        <v>46023</v>
      </c>
      <c r="J461" t="b">
        <v>0</v>
      </c>
      <c r="K461" s="11">
        <v>0.01</v>
      </c>
    </row>
    <row r="462" spans="1:11" x14ac:dyDescent="0.3">
      <c r="A462" t="s">
        <v>507</v>
      </c>
      <c r="B462" t="s">
        <v>42</v>
      </c>
      <c r="C462" t="s">
        <v>43</v>
      </c>
      <c r="D462" s="10">
        <v>45689</v>
      </c>
      <c r="E462" s="11">
        <v>23</v>
      </c>
      <c r="F462" s="12">
        <v>1909000</v>
      </c>
      <c r="G462">
        <v>5</v>
      </c>
      <c r="H462" s="10">
        <v>45839</v>
      </c>
      <c r="I462" s="10">
        <v>45839</v>
      </c>
      <c r="J462" t="b">
        <v>0</v>
      </c>
      <c r="K462" s="11">
        <v>0.17</v>
      </c>
    </row>
    <row r="463" spans="1:11" x14ac:dyDescent="0.3">
      <c r="A463" t="s">
        <v>508</v>
      </c>
      <c r="B463" t="s">
        <v>42</v>
      </c>
      <c r="C463" t="s">
        <v>43</v>
      </c>
      <c r="D463" s="10">
        <v>45689</v>
      </c>
      <c r="E463" s="11">
        <v>25.1</v>
      </c>
      <c r="F463" s="12">
        <v>2083300</v>
      </c>
      <c r="G463">
        <v>9</v>
      </c>
      <c r="H463" s="10">
        <v>45962</v>
      </c>
      <c r="I463" s="10">
        <v>45962</v>
      </c>
      <c r="J463" t="b">
        <v>0</v>
      </c>
      <c r="K463" s="11">
        <v>0</v>
      </c>
    </row>
    <row r="464" spans="1:11" x14ac:dyDescent="0.3">
      <c r="A464" t="s">
        <v>509</v>
      </c>
      <c r="B464" t="s">
        <v>42</v>
      </c>
      <c r="C464" t="s">
        <v>43</v>
      </c>
      <c r="D464" s="10">
        <v>45689</v>
      </c>
      <c r="E464" s="11">
        <v>10.199999999999999</v>
      </c>
      <c r="F464" s="12">
        <v>846599.99999999988</v>
      </c>
      <c r="G464">
        <v>8</v>
      </c>
      <c r="H464" s="10">
        <v>45931</v>
      </c>
      <c r="I464" s="10">
        <v>45931</v>
      </c>
      <c r="J464" t="b">
        <v>0</v>
      </c>
      <c r="K464" s="11">
        <v>0</v>
      </c>
    </row>
    <row r="465" spans="1:11" x14ac:dyDescent="0.3">
      <c r="A465" t="s">
        <v>510</v>
      </c>
      <c r="B465" t="s">
        <v>42</v>
      </c>
      <c r="C465" t="s">
        <v>43</v>
      </c>
      <c r="D465" s="10">
        <v>45689</v>
      </c>
      <c r="E465" s="11">
        <v>4.9000000000000004</v>
      </c>
      <c r="F465" s="12">
        <v>406700.00000000012</v>
      </c>
      <c r="G465">
        <v>10</v>
      </c>
      <c r="H465" s="10">
        <v>45992</v>
      </c>
      <c r="I465" s="10">
        <v>45992</v>
      </c>
      <c r="J465" t="b">
        <v>0</v>
      </c>
      <c r="K465" s="11">
        <v>0</v>
      </c>
    </row>
    <row r="466" spans="1:11" x14ac:dyDescent="0.3">
      <c r="A466" t="s">
        <v>511</v>
      </c>
      <c r="B466" t="s">
        <v>42</v>
      </c>
      <c r="C466" t="s">
        <v>43</v>
      </c>
      <c r="D466" s="10">
        <v>45689</v>
      </c>
      <c r="E466" s="11">
        <v>8.4</v>
      </c>
      <c r="F466" s="12">
        <v>697200</v>
      </c>
      <c r="G466">
        <v>11</v>
      </c>
      <c r="H466" s="10">
        <v>46023</v>
      </c>
      <c r="I466" s="10">
        <v>46054</v>
      </c>
      <c r="J466" t="b">
        <v>0</v>
      </c>
      <c r="K466" s="11">
        <v>0.62</v>
      </c>
    </row>
    <row r="467" spans="1:11" x14ac:dyDescent="0.3">
      <c r="A467" t="s">
        <v>512</v>
      </c>
      <c r="B467" t="s">
        <v>56</v>
      </c>
      <c r="C467" t="s">
        <v>57</v>
      </c>
      <c r="D467" s="10">
        <v>45689</v>
      </c>
      <c r="E467" s="11">
        <v>29.2</v>
      </c>
      <c r="F467" s="12">
        <v>2569600</v>
      </c>
      <c r="G467">
        <v>8</v>
      </c>
      <c r="H467" s="10">
        <v>45931</v>
      </c>
      <c r="I467" s="10">
        <v>45931</v>
      </c>
      <c r="J467" t="b">
        <v>0</v>
      </c>
      <c r="K467" s="11">
        <v>0.32</v>
      </c>
    </row>
    <row r="468" spans="1:11" x14ac:dyDescent="0.3">
      <c r="A468" t="s">
        <v>513</v>
      </c>
      <c r="B468" t="s">
        <v>56</v>
      </c>
      <c r="C468" t="s">
        <v>57</v>
      </c>
      <c r="D468" s="10">
        <v>45689</v>
      </c>
      <c r="E468" s="11">
        <v>11</v>
      </c>
      <c r="F468" s="12">
        <v>968000</v>
      </c>
      <c r="G468">
        <v>8</v>
      </c>
      <c r="H468" s="10">
        <v>45931</v>
      </c>
      <c r="I468" s="10">
        <v>45931</v>
      </c>
      <c r="J468" t="b">
        <v>0</v>
      </c>
      <c r="K468" s="11">
        <v>0</v>
      </c>
    </row>
    <row r="469" spans="1:11" x14ac:dyDescent="0.3">
      <c r="A469" t="s">
        <v>514</v>
      </c>
      <c r="B469" t="s">
        <v>56</v>
      </c>
      <c r="C469" t="s">
        <v>57</v>
      </c>
      <c r="D469" s="10">
        <v>45689</v>
      </c>
      <c r="E469" s="11">
        <v>10.4</v>
      </c>
      <c r="F469" s="12">
        <v>915200</v>
      </c>
      <c r="G469">
        <v>11</v>
      </c>
      <c r="H469" s="10">
        <v>46023</v>
      </c>
      <c r="I469" s="10">
        <v>46054</v>
      </c>
      <c r="J469" t="b">
        <v>0</v>
      </c>
      <c r="K469" s="11">
        <v>0.66</v>
      </c>
    </row>
    <row r="470" spans="1:11" x14ac:dyDescent="0.3">
      <c r="A470" t="s">
        <v>515</v>
      </c>
      <c r="B470" t="s">
        <v>56</v>
      </c>
      <c r="C470" t="s">
        <v>57</v>
      </c>
      <c r="D470" s="10">
        <v>45689</v>
      </c>
      <c r="E470" s="11">
        <v>9</v>
      </c>
      <c r="F470" s="12">
        <v>792000</v>
      </c>
      <c r="G470">
        <v>11</v>
      </c>
      <c r="H470" s="10">
        <v>46023</v>
      </c>
      <c r="I470" s="10">
        <v>46023</v>
      </c>
      <c r="J470" t="b">
        <v>0</v>
      </c>
      <c r="K470" s="11">
        <v>0</v>
      </c>
    </row>
    <row r="471" spans="1:11" x14ac:dyDescent="0.3">
      <c r="A471" t="s">
        <v>516</v>
      </c>
      <c r="B471" t="s">
        <v>56</v>
      </c>
      <c r="C471" t="s">
        <v>57</v>
      </c>
      <c r="D471" s="10">
        <v>45689</v>
      </c>
      <c r="E471" s="11">
        <v>7.7</v>
      </c>
      <c r="F471" s="12">
        <v>677600</v>
      </c>
      <c r="G471">
        <v>10</v>
      </c>
      <c r="H471" s="10">
        <v>45992</v>
      </c>
      <c r="I471" s="10">
        <v>46023</v>
      </c>
      <c r="J471" t="b">
        <v>0</v>
      </c>
      <c r="K471" s="11">
        <v>0.93</v>
      </c>
    </row>
    <row r="472" spans="1:11" x14ac:dyDescent="0.3">
      <c r="A472" t="s">
        <v>517</v>
      </c>
      <c r="B472" t="s">
        <v>65</v>
      </c>
      <c r="C472" t="s">
        <v>70</v>
      </c>
      <c r="D472" s="10">
        <v>45689</v>
      </c>
      <c r="E472" s="11">
        <v>13.6</v>
      </c>
      <c r="F472" s="12">
        <v>1142400</v>
      </c>
      <c r="G472">
        <v>7</v>
      </c>
      <c r="H472" s="10">
        <v>45901</v>
      </c>
      <c r="I472" s="10">
        <v>45962</v>
      </c>
      <c r="J472" t="b">
        <v>0</v>
      </c>
      <c r="K472" s="11">
        <v>1.98</v>
      </c>
    </row>
    <row r="473" spans="1:11" x14ac:dyDescent="0.3">
      <c r="A473" t="s">
        <v>518</v>
      </c>
      <c r="B473" t="s">
        <v>65</v>
      </c>
      <c r="C473" t="s">
        <v>70</v>
      </c>
      <c r="D473" s="10">
        <v>45689</v>
      </c>
      <c r="E473" s="11">
        <v>40.9</v>
      </c>
      <c r="F473" s="12">
        <v>3435600</v>
      </c>
      <c r="G473">
        <v>9</v>
      </c>
      <c r="H473" s="10">
        <v>45962</v>
      </c>
      <c r="I473" s="10">
        <v>45962</v>
      </c>
      <c r="J473" t="b">
        <v>0</v>
      </c>
      <c r="K473" s="11">
        <v>0.23</v>
      </c>
    </row>
    <row r="474" spans="1:11" x14ac:dyDescent="0.3">
      <c r="A474" t="s">
        <v>519</v>
      </c>
      <c r="B474" t="s">
        <v>65</v>
      </c>
      <c r="C474" t="s">
        <v>70</v>
      </c>
      <c r="D474" s="10">
        <v>45689</v>
      </c>
      <c r="E474" s="11">
        <v>7.9</v>
      </c>
      <c r="F474" s="12">
        <v>663600</v>
      </c>
      <c r="G474">
        <v>10</v>
      </c>
      <c r="H474" s="10">
        <v>45992</v>
      </c>
      <c r="I474" s="10"/>
      <c r="J474" t="b">
        <v>1</v>
      </c>
      <c r="K474" s="11">
        <v>1.18</v>
      </c>
    </row>
    <row r="475" spans="1:11" x14ac:dyDescent="0.3">
      <c r="A475" t="s">
        <v>520</v>
      </c>
      <c r="B475" t="s">
        <v>72</v>
      </c>
      <c r="C475" t="s">
        <v>72</v>
      </c>
      <c r="D475" s="10">
        <v>45689</v>
      </c>
      <c r="E475" s="11">
        <v>14.5</v>
      </c>
      <c r="F475" s="12">
        <v>1145500</v>
      </c>
      <c r="G475">
        <v>8</v>
      </c>
      <c r="H475" s="10">
        <v>45931</v>
      </c>
      <c r="I475" s="10">
        <v>45962</v>
      </c>
      <c r="J475" t="b">
        <v>0</v>
      </c>
      <c r="K475" s="11">
        <v>0.57999999999999996</v>
      </c>
    </row>
    <row r="476" spans="1:11" x14ac:dyDescent="0.3">
      <c r="A476" t="s">
        <v>521</v>
      </c>
      <c r="B476" t="s">
        <v>72</v>
      </c>
      <c r="C476" t="s">
        <v>72</v>
      </c>
      <c r="D476" s="10">
        <v>45689</v>
      </c>
      <c r="E476" s="11">
        <v>9</v>
      </c>
      <c r="F476" s="12">
        <v>711000</v>
      </c>
      <c r="G476">
        <v>6</v>
      </c>
      <c r="H476" s="10">
        <v>45870</v>
      </c>
      <c r="I476" s="10">
        <v>45901</v>
      </c>
      <c r="J476" t="b">
        <v>0</v>
      </c>
      <c r="K476" s="11">
        <v>1.1399999999999999</v>
      </c>
    </row>
    <row r="477" spans="1:11" x14ac:dyDescent="0.3">
      <c r="A477" t="s">
        <v>522</v>
      </c>
      <c r="B477" t="s">
        <v>42</v>
      </c>
      <c r="C477" t="s">
        <v>43</v>
      </c>
      <c r="D477" s="10">
        <v>45717</v>
      </c>
      <c r="E477" s="11">
        <v>8</v>
      </c>
      <c r="F477" s="12">
        <v>664000</v>
      </c>
      <c r="G477">
        <v>7</v>
      </c>
      <c r="H477" s="10">
        <v>45931</v>
      </c>
      <c r="I477" s="10">
        <v>46023</v>
      </c>
      <c r="J477" t="b">
        <v>0</v>
      </c>
      <c r="K477" s="11">
        <v>2.61</v>
      </c>
    </row>
    <row r="478" spans="1:11" x14ac:dyDescent="0.3">
      <c r="A478" t="s">
        <v>523</v>
      </c>
      <c r="B478" t="s">
        <v>42</v>
      </c>
      <c r="C478" t="s">
        <v>43</v>
      </c>
      <c r="D478" s="10">
        <v>45717</v>
      </c>
      <c r="E478" s="11">
        <v>8.8000000000000007</v>
      </c>
      <c r="F478" s="12">
        <v>730400.00000000012</v>
      </c>
      <c r="G478">
        <v>5</v>
      </c>
      <c r="H478" s="10">
        <v>45870</v>
      </c>
      <c r="I478" s="10">
        <v>45870</v>
      </c>
      <c r="J478" t="b">
        <v>0</v>
      </c>
      <c r="K478" s="11">
        <v>0</v>
      </c>
    </row>
    <row r="479" spans="1:11" x14ac:dyDescent="0.3">
      <c r="A479" t="s">
        <v>524</v>
      </c>
      <c r="B479" t="s">
        <v>42</v>
      </c>
      <c r="C479" t="s">
        <v>43</v>
      </c>
      <c r="D479" s="10">
        <v>45717</v>
      </c>
      <c r="E479" s="11">
        <v>28.3</v>
      </c>
      <c r="F479" s="12">
        <v>2348900</v>
      </c>
      <c r="G479">
        <v>7</v>
      </c>
      <c r="H479" s="10">
        <v>45931</v>
      </c>
      <c r="I479" s="10">
        <v>45931</v>
      </c>
      <c r="J479" t="b">
        <v>0</v>
      </c>
      <c r="K479" s="11">
        <v>0.19</v>
      </c>
    </row>
    <row r="480" spans="1:11" x14ac:dyDescent="0.3">
      <c r="A480" t="s">
        <v>525</v>
      </c>
      <c r="B480" t="s">
        <v>42</v>
      </c>
      <c r="C480" t="s">
        <v>43</v>
      </c>
      <c r="D480" s="10">
        <v>45717</v>
      </c>
      <c r="E480" s="11">
        <v>17.600000000000001</v>
      </c>
      <c r="F480" s="12">
        <v>1460800</v>
      </c>
      <c r="G480">
        <v>10</v>
      </c>
      <c r="H480" s="10">
        <v>46023</v>
      </c>
      <c r="I480" s="10">
        <v>46023</v>
      </c>
      <c r="J480" t="b">
        <v>0</v>
      </c>
      <c r="K480" s="11">
        <v>0</v>
      </c>
    </row>
    <row r="481" spans="1:11" x14ac:dyDescent="0.3">
      <c r="A481" t="s">
        <v>526</v>
      </c>
      <c r="B481" t="s">
        <v>42</v>
      </c>
      <c r="C481" t="s">
        <v>43</v>
      </c>
      <c r="D481" s="10">
        <v>45717</v>
      </c>
      <c r="E481" s="11">
        <v>3.9</v>
      </c>
      <c r="F481" s="12">
        <v>323700</v>
      </c>
      <c r="G481">
        <v>7</v>
      </c>
      <c r="H481" s="10">
        <v>45931</v>
      </c>
      <c r="I481" s="10">
        <v>46054</v>
      </c>
      <c r="J481" t="b">
        <v>0</v>
      </c>
      <c r="K481" s="11">
        <v>3.6</v>
      </c>
    </row>
    <row r="482" spans="1:11" x14ac:dyDescent="0.3">
      <c r="A482" t="s">
        <v>527</v>
      </c>
      <c r="B482" t="s">
        <v>42</v>
      </c>
      <c r="C482" t="s">
        <v>43</v>
      </c>
      <c r="D482" s="10">
        <v>45717</v>
      </c>
      <c r="E482" s="11">
        <v>27.7</v>
      </c>
      <c r="F482" s="12">
        <v>2299100</v>
      </c>
      <c r="G482">
        <v>11</v>
      </c>
      <c r="H482" s="10">
        <v>46054</v>
      </c>
      <c r="I482" s="10">
        <v>46054</v>
      </c>
      <c r="J482" t="b">
        <v>0</v>
      </c>
      <c r="K482" s="11">
        <v>0.24</v>
      </c>
    </row>
    <row r="483" spans="1:11" x14ac:dyDescent="0.3">
      <c r="A483" t="s">
        <v>528</v>
      </c>
      <c r="B483" t="s">
        <v>42</v>
      </c>
      <c r="C483" t="s">
        <v>43</v>
      </c>
      <c r="D483" s="10">
        <v>45717</v>
      </c>
      <c r="E483" s="11">
        <v>6.2</v>
      </c>
      <c r="F483" s="12">
        <v>514600</v>
      </c>
      <c r="G483">
        <v>11</v>
      </c>
      <c r="H483" s="10">
        <v>46054</v>
      </c>
      <c r="I483" s="10">
        <v>46054</v>
      </c>
      <c r="J483" t="b">
        <v>0</v>
      </c>
      <c r="K483" s="11">
        <v>0</v>
      </c>
    </row>
    <row r="484" spans="1:11" x14ac:dyDescent="0.3">
      <c r="A484" t="s">
        <v>529</v>
      </c>
      <c r="B484" t="s">
        <v>42</v>
      </c>
      <c r="C484" t="s">
        <v>43</v>
      </c>
      <c r="D484" s="10">
        <v>45717</v>
      </c>
      <c r="E484" s="11">
        <v>8.3000000000000007</v>
      </c>
      <c r="F484" s="12">
        <v>688900.00000000012</v>
      </c>
      <c r="G484">
        <v>6</v>
      </c>
      <c r="H484" s="10">
        <v>45901</v>
      </c>
      <c r="I484" s="10">
        <v>45931</v>
      </c>
      <c r="J484" t="b">
        <v>0</v>
      </c>
      <c r="K484" s="11">
        <v>0.66</v>
      </c>
    </row>
    <row r="485" spans="1:11" x14ac:dyDescent="0.3">
      <c r="A485" t="s">
        <v>530</v>
      </c>
      <c r="B485" t="s">
        <v>42</v>
      </c>
      <c r="C485" t="s">
        <v>43</v>
      </c>
      <c r="D485" s="10">
        <v>45717</v>
      </c>
      <c r="E485" s="11">
        <v>18.100000000000001</v>
      </c>
      <c r="F485" s="12">
        <v>1502300</v>
      </c>
      <c r="G485">
        <v>10</v>
      </c>
      <c r="H485" s="10">
        <v>46023</v>
      </c>
      <c r="I485" s="10">
        <v>46054</v>
      </c>
      <c r="J485" t="b">
        <v>0</v>
      </c>
      <c r="K485" s="11">
        <v>0.69</v>
      </c>
    </row>
    <row r="486" spans="1:11" x14ac:dyDescent="0.3">
      <c r="A486" t="s">
        <v>531</v>
      </c>
      <c r="B486" t="s">
        <v>42</v>
      </c>
      <c r="C486" t="s">
        <v>43</v>
      </c>
      <c r="D486" s="10">
        <v>45717</v>
      </c>
      <c r="E486" s="11">
        <v>2.9</v>
      </c>
      <c r="F486" s="12">
        <v>240700</v>
      </c>
      <c r="G486">
        <v>7</v>
      </c>
      <c r="H486" s="10">
        <v>45931</v>
      </c>
      <c r="I486" s="10">
        <v>45962</v>
      </c>
      <c r="J486" t="b">
        <v>0</v>
      </c>
      <c r="K486" s="11">
        <v>0.83</v>
      </c>
    </row>
    <row r="487" spans="1:11" x14ac:dyDescent="0.3">
      <c r="A487" t="s">
        <v>532</v>
      </c>
      <c r="B487" t="s">
        <v>42</v>
      </c>
      <c r="C487" t="s">
        <v>43</v>
      </c>
      <c r="D487" s="10">
        <v>45717</v>
      </c>
      <c r="E487" s="11">
        <v>22.1</v>
      </c>
      <c r="F487" s="12">
        <v>1834300</v>
      </c>
      <c r="G487">
        <v>5</v>
      </c>
      <c r="H487" s="10">
        <v>45870</v>
      </c>
      <c r="I487" s="10">
        <v>45870</v>
      </c>
      <c r="J487" t="b">
        <v>0</v>
      </c>
      <c r="K487" s="11">
        <v>0</v>
      </c>
    </row>
    <row r="488" spans="1:11" x14ac:dyDescent="0.3">
      <c r="A488" t="s">
        <v>533</v>
      </c>
      <c r="B488" t="s">
        <v>42</v>
      </c>
      <c r="C488" t="s">
        <v>43</v>
      </c>
      <c r="D488" s="10">
        <v>45717</v>
      </c>
      <c r="E488" s="11">
        <v>25.2</v>
      </c>
      <c r="F488" s="12">
        <v>2091600</v>
      </c>
      <c r="G488">
        <v>9</v>
      </c>
      <c r="H488" s="10">
        <v>45992</v>
      </c>
      <c r="I488" s="10">
        <v>45992</v>
      </c>
      <c r="J488" t="b">
        <v>0</v>
      </c>
      <c r="K488" s="11">
        <v>0.33</v>
      </c>
    </row>
    <row r="489" spans="1:11" x14ac:dyDescent="0.3">
      <c r="A489" t="s">
        <v>534</v>
      </c>
      <c r="B489" t="s">
        <v>42</v>
      </c>
      <c r="C489" t="s">
        <v>43</v>
      </c>
      <c r="D489" s="10">
        <v>45717</v>
      </c>
      <c r="E489" s="11">
        <v>32.200000000000003</v>
      </c>
      <c r="F489" s="12">
        <v>2672600</v>
      </c>
      <c r="G489">
        <v>11</v>
      </c>
      <c r="H489" s="10">
        <v>46054</v>
      </c>
      <c r="I489" s="10">
        <v>46054</v>
      </c>
      <c r="J489" t="b">
        <v>0</v>
      </c>
      <c r="K489" s="11">
        <v>0.02</v>
      </c>
    </row>
    <row r="490" spans="1:11" x14ac:dyDescent="0.3">
      <c r="A490" t="s">
        <v>535</v>
      </c>
      <c r="B490" t="s">
        <v>42</v>
      </c>
      <c r="C490" t="s">
        <v>43</v>
      </c>
      <c r="D490" s="10">
        <v>45717</v>
      </c>
      <c r="E490" s="11">
        <v>10</v>
      </c>
      <c r="F490" s="12">
        <v>830000</v>
      </c>
      <c r="G490">
        <v>8</v>
      </c>
      <c r="H490" s="10">
        <v>45962</v>
      </c>
      <c r="I490" s="10">
        <v>46054</v>
      </c>
      <c r="J490" t="b">
        <v>0</v>
      </c>
      <c r="K490" s="11">
        <v>2.88</v>
      </c>
    </row>
    <row r="491" spans="1:11" x14ac:dyDescent="0.3">
      <c r="A491" t="s">
        <v>536</v>
      </c>
      <c r="B491" t="s">
        <v>42</v>
      </c>
      <c r="C491" t="s">
        <v>43</v>
      </c>
      <c r="D491" s="10">
        <v>45717</v>
      </c>
      <c r="E491" s="11">
        <v>34.1</v>
      </c>
      <c r="F491" s="12">
        <v>2830300</v>
      </c>
      <c r="G491">
        <v>10</v>
      </c>
      <c r="H491" s="10">
        <v>46023</v>
      </c>
      <c r="I491" s="10">
        <v>46054</v>
      </c>
      <c r="J491" t="b">
        <v>0</v>
      </c>
      <c r="K491" s="11">
        <v>0.57999999999999996</v>
      </c>
    </row>
    <row r="492" spans="1:11" x14ac:dyDescent="0.3">
      <c r="A492" t="s">
        <v>537</v>
      </c>
      <c r="B492" t="s">
        <v>42</v>
      </c>
      <c r="C492" t="s">
        <v>43</v>
      </c>
      <c r="D492" s="10">
        <v>45717</v>
      </c>
      <c r="E492" s="11">
        <v>17.3</v>
      </c>
      <c r="F492" s="12">
        <v>1435900</v>
      </c>
      <c r="G492">
        <v>9</v>
      </c>
      <c r="H492" s="10">
        <v>45992</v>
      </c>
      <c r="I492" s="10">
        <v>45992</v>
      </c>
      <c r="J492" t="b">
        <v>0</v>
      </c>
      <c r="K492" s="11">
        <v>0</v>
      </c>
    </row>
    <row r="493" spans="1:11" x14ac:dyDescent="0.3">
      <c r="A493" t="s">
        <v>538</v>
      </c>
      <c r="B493" t="s">
        <v>42</v>
      </c>
      <c r="C493" t="s">
        <v>43</v>
      </c>
      <c r="D493" s="10">
        <v>45717</v>
      </c>
      <c r="E493" s="11">
        <v>9.8000000000000007</v>
      </c>
      <c r="F493" s="12">
        <v>813400.00000000012</v>
      </c>
      <c r="G493">
        <v>11</v>
      </c>
      <c r="H493" s="10">
        <v>46054</v>
      </c>
      <c r="I493" s="10">
        <v>46143</v>
      </c>
      <c r="J493" t="b">
        <v>0</v>
      </c>
      <c r="K493" s="11">
        <v>3.45</v>
      </c>
    </row>
    <row r="494" spans="1:11" x14ac:dyDescent="0.3">
      <c r="A494" t="s">
        <v>539</v>
      </c>
      <c r="B494" t="s">
        <v>42</v>
      </c>
      <c r="C494" t="s">
        <v>43</v>
      </c>
      <c r="D494" s="10">
        <v>45717</v>
      </c>
      <c r="E494" s="11">
        <v>69.599999999999994</v>
      </c>
      <c r="F494" s="12">
        <v>5776799.9999999991</v>
      </c>
      <c r="G494">
        <v>9</v>
      </c>
      <c r="H494" s="10">
        <v>45992</v>
      </c>
      <c r="I494" s="10">
        <v>45992</v>
      </c>
      <c r="J494" t="b">
        <v>0</v>
      </c>
      <c r="K494" s="11">
        <v>7.0000000000000007E-2</v>
      </c>
    </row>
    <row r="495" spans="1:11" x14ac:dyDescent="0.3">
      <c r="A495" t="s">
        <v>540</v>
      </c>
      <c r="B495" t="s">
        <v>42</v>
      </c>
      <c r="C495" t="s">
        <v>43</v>
      </c>
      <c r="D495" s="10">
        <v>45717</v>
      </c>
      <c r="E495" s="11">
        <v>8.3000000000000007</v>
      </c>
      <c r="F495" s="12">
        <v>688900.00000000012</v>
      </c>
      <c r="G495">
        <v>8</v>
      </c>
      <c r="H495" s="10">
        <v>45962</v>
      </c>
      <c r="I495" s="10">
        <v>45992</v>
      </c>
      <c r="J495" t="b">
        <v>0</v>
      </c>
      <c r="K495" s="11">
        <v>0.64</v>
      </c>
    </row>
    <row r="496" spans="1:11" x14ac:dyDescent="0.3">
      <c r="A496" t="s">
        <v>541</v>
      </c>
      <c r="B496" t="s">
        <v>42</v>
      </c>
      <c r="C496" t="s">
        <v>43</v>
      </c>
      <c r="D496" s="10">
        <v>45717</v>
      </c>
      <c r="E496" s="11">
        <v>4.2</v>
      </c>
      <c r="F496" s="12">
        <v>348600</v>
      </c>
      <c r="G496">
        <v>6</v>
      </c>
      <c r="H496" s="10">
        <v>45901</v>
      </c>
      <c r="I496" s="10">
        <v>45901</v>
      </c>
      <c r="J496" t="b">
        <v>0</v>
      </c>
      <c r="K496" s="11">
        <v>0.48</v>
      </c>
    </row>
    <row r="497" spans="1:11" x14ac:dyDescent="0.3">
      <c r="A497" t="s">
        <v>542</v>
      </c>
      <c r="B497" t="s">
        <v>42</v>
      </c>
      <c r="C497" t="s">
        <v>43</v>
      </c>
      <c r="D497" s="10">
        <v>45717</v>
      </c>
      <c r="E497" s="11">
        <v>31</v>
      </c>
      <c r="F497" s="12">
        <v>2573000</v>
      </c>
      <c r="G497">
        <v>6</v>
      </c>
      <c r="H497" s="10">
        <v>45901</v>
      </c>
      <c r="I497" s="10">
        <v>45901</v>
      </c>
      <c r="J497" t="b">
        <v>0</v>
      </c>
      <c r="K497" s="11">
        <v>0.13</v>
      </c>
    </row>
    <row r="498" spans="1:11" x14ac:dyDescent="0.3">
      <c r="A498" t="s">
        <v>543</v>
      </c>
      <c r="B498" t="s">
        <v>42</v>
      </c>
      <c r="C498" t="s">
        <v>43</v>
      </c>
      <c r="D498" s="10">
        <v>45717</v>
      </c>
      <c r="E498" s="11">
        <v>15.2</v>
      </c>
      <c r="F498" s="12">
        <v>1261600</v>
      </c>
      <c r="G498">
        <v>8</v>
      </c>
      <c r="H498" s="10">
        <v>45962</v>
      </c>
      <c r="I498" s="10">
        <v>45962</v>
      </c>
      <c r="J498" t="b">
        <v>0</v>
      </c>
      <c r="K498" s="11">
        <v>0</v>
      </c>
    </row>
    <row r="499" spans="1:11" x14ac:dyDescent="0.3">
      <c r="A499" t="s">
        <v>544</v>
      </c>
      <c r="B499" t="s">
        <v>42</v>
      </c>
      <c r="C499" t="s">
        <v>43</v>
      </c>
      <c r="D499" s="10">
        <v>45717</v>
      </c>
      <c r="E499" s="11">
        <v>32.4</v>
      </c>
      <c r="F499" s="12">
        <v>2689200</v>
      </c>
      <c r="G499">
        <v>9</v>
      </c>
      <c r="H499" s="10">
        <v>45992</v>
      </c>
      <c r="I499" s="10">
        <v>46082</v>
      </c>
      <c r="J499" t="b">
        <v>0</v>
      </c>
      <c r="K499" s="11">
        <v>3.33</v>
      </c>
    </row>
    <row r="500" spans="1:11" x14ac:dyDescent="0.3">
      <c r="A500" t="s">
        <v>545</v>
      </c>
      <c r="B500" t="s">
        <v>42</v>
      </c>
      <c r="C500" t="s">
        <v>43</v>
      </c>
      <c r="D500" s="10">
        <v>45717</v>
      </c>
      <c r="E500" s="11">
        <v>15.6</v>
      </c>
      <c r="F500" s="12">
        <v>1294800</v>
      </c>
      <c r="G500">
        <v>6</v>
      </c>
      <c r="H500" s="10">
        <v>45901</v>
      </c>
      <c r="I500" s="10">
        <v>45901</v>
      </c>
      <c r="J500" t="b">
        <v>0</v>
      </c>
      <c r="K500" s="11">
        <v>0.15</v>
      </c>
    </row>
    <row r="501" spans="1:11" x14ac:dyDescent="0.3">
      <c r="A501" t="s">
        <v>546</v>
      </c>
      <c r="B501" t="s">
        <v>42</v>
      </c>
      <c r="C501" t="s">
        <v>43</v>
      </c>
      <c r="D501" s="10">
        <v>45717</v>
      </c>
      <c r="E501" s="11">
        <v>14.6</v>
      </c>
      <c r="F501" s="12">
        <v>1211800</v>
      </c>
      <c r="G501">
        <v>5</v>
      </c>
      <c r="H501" s="10">
        <v>45870</v>
      </c>
      <c r="I501" s="10">
        <v>45870</v>
      </c>
      <c r="J501" t="b">
        <v>0</v>
      </c>
      <c r="K501" s="11">
        <v>0.45</v>
      </c>
    </row>
    <row r="502" spans="1:11" x14ac:dyDescent="0.3">
      <c r="A502" t="s">
        <v>547</v>
      </c>
      <c r="B502" t="s">
        <v>42</v>
      </c>
      <c r="C502" t="s">
        <v>43</v>
      </c>
      <c r="D502" s="10">
        <v>45717</v>
      </c>
      <c r="E502" s="11">
        <v>45.6</v>
      </c>
      <c r="F502" s="12">
        <v>3784800</v>
      </c>
      <c r="G502">
        <v>8</v>
      </c>
      <c r="H502" s="10">
        <v>45962</v>
      </c>
      <c r="I502" s="10">
        <v>45962</v>
      </c>
      <c r="J502" t="b">
        <v>0</v>
      </c>
      <c r="K502" s="11">
        <v>0.02</v>
      </c>
    </row>
    <row r="503" spans="1:11" x14ac:dyDescent="0.3">
      <c r="A503" t="s">
        <v>548</v>
      </c>
      <c r="B503" t="s">
        <v>42</v>
      </c>
      <c r="C503" t="s">
        <v>43</v>
      </c>
      <c r="D503" s="10">
        <v>45717</v>
      </c>
      <c r="E503" s="11">
        <v>22.8</v>
      </c>
      <c r="F503" s="12">
        <v>1892400</v>
      </c>
      <c r="G503">
        <v>7</v>
      </c>
      <c r="H503" s="10">
        <v>45931</v>
      </c>
      <c r="I503" s="10">
        <v>45962</v>
      </c>
      <c r="J503" t="b">
        <v>0</v>
      </c>
      <c r="K503" s="11">
        <v>1</v>
      </c>
    </row>
    <row r="504" spans="1:11" x14ac:dyDescent="0.3">
      <c r="A504" t="s">
        <v>549</v>
      </c>
      <c r="B504" t="s">
        <v>42</v>
      </c>
      <c r="C504" t="s">
        <v>43</v>
      </c>
      <c r="D504" s="10">
        <v>45717</v>
      </c>
      <c r="E504" s="11">
        <v>25.7</v>
      </c>
      <c r="F504" s="12">
        <v>2133100</v>
      </c>
      <c r="G504">
        <v>5</v>
      </c>
      <c r="H504" s="10">
        <v>45870</v>
      </c>
      <c r="I504" s="10">
        <v>45870</v>
      </c>
      <c r="J504" t="b">
        <v>0</v>
      </c>
      <c r="K504" s="11">
        <v>0.48</v>
      </c>
    </row>
    <row r="505" spans="1:11" x14ac:dyDescent="0.3">
      <c r="A505" t="s">
        <v>550</v>
      </c>
      <c r="B505" t="s">
        <v>42</v>
      </c>
      <c r="C505" t="s">
        <v>43</v>
      </c>
      <c r="D505" s="10">
        <v>45717</v>
      </c>
      <c r="E505" s="11">
        <v>7.5</v>
      </c>
      <c r="F505" s="12">
        <v>622500</v>
      </c>
      <c r="G505">
        <v>11</v>
      </c>
      <c r="H505" s="10">
        <v>46054</v>
      </c>
      <c r="I505" s="10">
        <v>46054</v>
      </c>
      <c r="J505" t="b">
        <v>0</v>
      </c>
      <c r="K505" s="11">
        <v>0.4</v>
      </c>
    </row>
    <row r="506" spans="1:11" x14ac:dyDescent="0.3">
      <c r="A506" t="s">
        <v>551</v>
      </c>
      <c r="B506" t="s">
        <v>42</v>
      </c>
      <c r="C506" t="s">
        <v>43</v>
      </c>
      <c r="D506" s="10">
        <v>45717</v>
      </c>
      <c r="E506" s="11">
        <v>21.3</v>
      </c>
      <c r="F506" s="12">
        <v>1767900</v>
      </c>
      <c r="G506">
        <v>10</v>
      </c>
      <c r="H506" s="10">
        <v>46023</v>
      </c>
      <c r="I506" s="10">
        <v>46023</v>
      </c>
      <c r="J506" t="b">
        <v>0</v>
      </c>
      <c r="K506" s="11">
        <v>0.01</v>
      </c>
    </row>
    <row r="507" spans="1:11" x14ac:dyDescent="0.3">
      <c r="A507" t="s">
        <v>552</v>
      </c>
      <c r="B507" t="s">
        <v>42</v>
      </c>
      <c r="C507" t="s">
        <v>43</v>
      </c>
      <c r="D507" s="10">
        <v>45717</v>
      </c>
      <c r="E507" s="11">
        <v>3.4</v>
      </c>
      <c r="F507" s="12">
        <v>282200</v>
      </c>
      <c r="G507">
        <v>6</v>
      </c>
      <c r="H507" s="10">
        <v>45901</v>
      </c>
      <c r="I507" s="10">
        <v>45931</v>
      </c>
      <c r="J507" t="b">
        <v>0</v>
      </c>
      <c r="K507" s="11">
        <v>0.55000000000000004</v>
      </c>
    </row>
    <row r="508" spans="1:11" x14ac:dyDescent="0.3">
      <c r="A508" t="s">
        <v>553</v>
      </c>
      <c r="B508" t="s">
        <v>56</v>
      </c>
      <c r="C508" t="s">
        <v>57</v>
      </c>
      <c r="D508" s="10">
        <v>45717</v>
      </c>
      <c r="E508" s="11">
        <v>8.1999999999999993</v>
      </c>
      <c r="F508" s="12">
        <v>721599.99999999988</v>
      </c>
      <c r="G508">
        <v>6</v>
      </c>
      <c r="H508" s="10">
        <v>45901</v>
      </c>
      <c r="I508" s="10">
        <v>45962</v>
      </c>
      <c r="J508" t="b">
        <v>0</v>
      </c>
      <c r="K508" s="11">
        <v>2.13</v>
      </c>
    </row>
    <row r="509" spans="1:11" x14ac:dyDescent="0.3">
      <c r="A509" t="s">
        <v>554</v>
      </c>
      <c r="B509" t="s">
        <v>56</v>
      </c>
      <c r="C509" t="s">
        <v>57</v>
      </c>
      <c r="D509" s="10">
        <v>45717</v>
      </c>
      <c r="E509" s="11">
        <v>9.6999999999999993</v>
      </c>
      <c r="F509" s="12">
        <v>853599.99999999988</v>
      </c>
      <c r="G509">
        <v>11</v>
      </c>
      <c r="H509" s="10">
        <v>46054</v>
      </c>
      <c r="I509" s="10">
        <v>46054</v>
      </c>
      <c r="J509" t="b">
        <v>0</v>
      </c>
      <c r="K509" s="11">
        <v>0.01</v>
      </c>
    </row>
    <row r="510" spans="1:11" x14ac:dyDescent="0.3">
      <c r="A510" t="s">
        <v>555</v>
      </c>
      <c r="B510" t="s">
        <v>56</v>
      </c>
      <c r="C510" t="s">
        <v>57</v>
      </c>
      <c r="D510" s="10">
        <v>45717</v>
      </c>
      <c r="E510" s="11">
        <v>12.6</v>
      </c>
      <c r="F510" s="12">
        <v>1108800</v>
      </c>
      <c r="G510">
        <v>11</v>
      </c>
      <c r="H510" s="10">
        <v>46054</v>
      </c>
      <c r="I510" s="10">
        <v>46054</v>
      </c>
      <c r="J510" t="b">
        <v>0</v>
      </c>
      <c r="K510" s="11">
        <v>0.16</v>
      </c>
    </row>
    <row r="511" spans="1:11" x14ac:dyDescent="0.3">
      <c r="A511" t="s">
        <v>556</v>
      </c>
      <c r="B511" t="s">
        <v>56</v>
      </c>
      <c r="C511" t="s">
        <v>57</v>
      </c>
      <c r="D511" s="10">
        <v>45717</v>
      </c>
      <c r="E511" s="11">
        <v>8.3000000000000007</v>
      </c>
      <c r="F511" s="12">
        <v>730400.00000000012</v>
      </c>
      <c r="G511">
        <v>7</v>
      </c>
      <c r="H511" s="10">
        <v>45931</v>
      </c>
      <c r="I511" s="10">
        <v>45931</v>
      </c>
      <c r="J511" t="b">
        <v>0</v>
      </c>
      <c r="K511" s="11">
        <v>0.15</v>
      </c>
    </row>
    <row r="512" spans="1:11" x14ac:dyDescent="0.3">
      <c r="A512" t="s">
        <v>557</v>
      </c>
      <c r="B512" t="s">
        <v>56</v>
      </c>
      <c r="C512" t="s">
        <v>62</v>
      </c>
      <c r="D512" s="10">
        <v>45717</v>
      </c>
      <c r="E512" s="11">
        <v>45.8</v>
      </c>
      <c r="F512" s="12">
        <v>3709800</v>
      </c>
      <c r="G512">
        <v>6</v>
      </c>
      <c r="H512" s="10">
        <v>45901</v>
      </c>
      <c r="I512" s="10">
        <v>45901</v>
      </c>
      <c r="J512" t="b">
        <v>0</v>
      </c>
      <c r="K512" s="11">
        <v>0.25</v>
      </c>
    </row>
    <row r="513" spans="1:11" x14ac:dyDescent="0.3">
      <c r="A513" t="s">
        <v>558</v>
      </c>
      <c r="B513" t="s">
        <v>56</v>
      </c>
      <c r="C513" t="s">
        <v>62</v>
      </c>
      <c r="D513" s="10">
        <v>45717</v>
      </c>
      <c r="E513" s="11">
        <v>9.6</v>
      </c>
      <c r="F513" s="12">
        <v>777600</v>
      </c>
      <c r="G513">
        <v>5</v>
      </c>
      <c r="H513" s="10">
        <v>45870</v>
      </c>
      <c r="I513" s="10">
        <v>45901</v>
      </c>
      <c r="J513" t="b">
        <v>0</v>
      </c>
      <c r="K513" s="11">
        <v>0.6</v>
      </c>
    </row>
    <row r="514" spans="1:11" x14ac:dyDescent="0.3">
      <c r="A514" t="s">
        <v>559</v>
      </c>
      <c r="B514" t="s">
        <v>65</v>
      </c>
      <c r="C514" t="s">
        <v>66</v>
      </c>
      <c r="D514" s="10">
        <v>45717</v>
      </c>
      <c r="E514" s="11">
        <v>17.2</v>
      </c>
      <c r="F514" s="12">
        <v>1221200</v>
      </c>
      <c r="G514">
        <v>6</v>
      </c>
      <c r="H514" s="10">
        <v>45901</v>
      </c>
      <c r="I514" s="10">
        <v>45992</v>
      </c>
      <c r="J514" t="b">
        <v>0</v>
      </c>
      <c r="K514" s="11">
        <v>2.82</v>
      </c>
    </row>
    <row r="515" spans="1:11" x14ac:dyDescent="0.3">
      <c r="A515" t="s">
        <v>560</v>
      </c>
      <c r="B515" t="s">
        <v>65</v>
      </c>
      <c r="C515" t="s">
        <v>66</v>
      </c>
      <c r="D515" s="10">
        <v>45717</v>
      </c>
      <c r="E515" s="11">
        <v>6.8</v>
      </c>
      <c r="F515" s="12">
        <v>482800</v>
      </c>
      <c r="G515">
        <v>10</v>
      </c>
      <c r="H515" s="10">
        <v>46023</v>
      </c>
      <c r="I515" s="10">
        <v>46204</v>
      </c>
      <c r="J515" t="b">
        <v>0</v>
      </c>
      <c r="K515" s="11">
        <v>6.14</v>
      </c>
    </row>
    <row r="516" spans="1:11" x14ac:dyDescent="0.3">
      <c r="A516" t="s">
        <v>561</v>
      </c>
      <c r="B516" t="s">
        <v>65</v>
      </c>
      <c r="C516" t="s">
        <v>70</v>
      </c>
      <c r="D516" s="10">
        <v>45717</v>
      </c>
      <c r="E516" s="11">
        <v>13</v>
      </c>
      <c r="F516" s="12">
        <v>1092000</v>
      </c>
      <c r="G516">
        <v>11</v>
      </c>
      <c r="H516" s="10">
        <v>46054</v>
      </c>
      <c r="I516" s="10">
        <v>46113</v>
      </c>
      <c r="J516" t="b">
        <v>0</v>
      </c>
      <c r="K516" s="11">
        <v>2.3199999999999998</v>
      </c>
    </row>
    <row r="517" spans="1:11" x14ac:dyDescent="0.3">
      <c r="A517" t="s">
        <v>562</v>
      </c>
      <c r="B517" t="s">
        <v>65</v>
      </c>
      <c r="C517" t="s">
        <v>70</v>
      </c>
      <c r="D517" s="10">
        <v>45717</v>
      </c>
      <c r="E517" s="11">
        <v>7.3</v>
      </c>
      <c r="F517" s="12">
        <v>613200</v>
      </c>
      <c r="G517">
        <v>10</v>
      </c>
      <c r="H517" s="10">
        <v>46023</v>
      </c>
      <c r="I517" s="10">
        <v>46023</v>
      </c>
      <c r="J517" t="b">
        <v>0</v>
      </c>
      <c r="K517" s="11">
        <v>0.01</v>
      </c>
    </row>
    <row r="518" spans="1:11" x14ac:dyDescent="0.3">
      <c r="A518" t="s">
        <v>563</v>
      </c>
      <c r="B518" t="s">
        <v>65</v>
      </c>
      <c r="C518" t="s">
        <v>70</v>
      </c>
      <c r="D518" s="10">
        <v>45717</v>
      </c>
      <c r="E518" s="11">
        <v>15.1</v>
      </c>
      <c r="F518" s="12">
        <v>1268400</v>
      </c>
      <c r="G518">
        <v>9</v>
      </c>
      <c r="H518" s="10">
        <v>45992</v>
      </c>
      <c r="I518" s="10">
        <v>45992</v>
      </c>
      <c r="J518" t="b">
        <v>0</v>
      </c>
      <c r="K518" s="11">
        <v>0.3</v>
      </c>
    </row>
    <row r="519" spans="1:11" x14ac:dyDescent="0.3">
      <c r="A519" t="s">
        <v>564</v>
      </c>
      <c r="B519" t="s">
        <v>72</v>
      </c>
      <c r="C519" t="s">
        <v>72</v>
      </c>
      <c r="D519" s="10">
        <v>45717</v>
      </c>
      <c r="E519" s="11">
        <v>8.1999999999999993</v>
      </c>
      <c r="F519" s="12">
        <v>647800</v>
      </c>
      <c r="G519">
        <v>9</v>
      </c>
      <c r="H519" s="10">
        <v>45992</v>
      </c>
      <c r="I519" s="10">
        <v>46023</v>
      </c>
      <c r="J519" t="b">
        <v>0</v>
      </c>
      <c r="K519" s="11">
        <v>0.53</v>
      </c>
    </row>
    <row r="520" spans="1:11" x14ac:dyDescent="0.3">
      <c r="A520" t="s">
        <v>565</v>
      </c>
      <c r="B520" t="s">
        <v>72</v>
      </c>
      <c r="C520" t="s">
        <v>72</v>
      </c>
      <c r="D520" s="10">
        <v>45717</v>
      </c>
      <c r="E520" s="11">
        <v>18.7</v>
      </c>
      <c r="F520" s="12">
        <v>1477300</v>
      </c>
      <c r="G520">
        <v>5</v>
      </c>
      <c r="H520" s="10">
        <v>45870</v>
      </c>
      <c r="I520" s="10">
        <v>45870</v>
      </c>
      <c r="J520" t="b">
        <v>0</v>
      </c>
      <c r="K520" s="11">
        <v>7.0000000000000007E-2</v>
      </c>
    </row>
    <row r="521" spans="1:11" x14ac:dyDescent="0.3">
      <c r="A521" t="s">
        <v>566</v>
      </c>
      <c r="B521" t="s">
        <v>72</v>
      </c>
      <c r="C521" t="s">
        <v>72</v>
      </c>
      <c r="D521" s="10">
        <v>45717</v>
      </c>
      <c r="E521" s="11">
        <v>7.6</v>
      </c>
      <c r="F521" s="12">
        <v>600400</v>
      </c>
      <c r="G521">
        <v>11</v>
      </c>
      <c r="H521" s="10">
        <v>46054</v>
      </c>
      <c r="I521" s="10">
        <v>46143</v>
      </c>
      <c r="J521" t="b">
        <v>0</v>
      </c>
      <c r="K521" s="11">
        <v>3.38</v>
      </c>
    </row>
    <row r="522" spans="1:11" x14ac:dyDescent="0.3">
      <c r="A522" t="s">
        <v>567</v>
      </c>
      <c r="B522" t="s">
        <v>42</v>
      </c>
      <c r="C522" t="s">
        <v>43</v>
      </c>
      <c r="D522" s="10">
        <v>45748</v>
      </c>
      <c r="E522" s="11">
        <v>13.6</v>
      </c>
      <c r="F522" s="12">
        <v>1128800</v>
      </c>
      <c r="G522">
        <v>10</v>
      </c>
      <c r="H522" s="10">
        <v>46054</v>
      </c>
      <c r="I522" s="10">
        <v>46054</v>
      </c>
      <c r="J522" t="b">
        <v>0</v>
      </c>
      <c r="K522" s="11">
        <v>0.01</v>
      </c>
    </row>
    <row r="523" spans="1:11" x14ac:dyDescent="0.3">
      <c r="A523" t="s">
        <v>568</v>
      </c>
      <c r="B523" t="s">
        <v>42</v>
      </c>
      <c r="C523" t="s">
        <v>43</v>
      </c>
      <c r="D523" s="10">
        <v>45748</v>
      </c>
      <c r="E523" s="11">
        <v>19</v>
      </c>
      <c r="F523" s="12">
        <v>1577000</v>
      </c>
      <c r="G523">
        <v>9</v>
      </c>
      <c r="H523" s="10">
        <v>46023</v>
      </c>
      <c r="I523" s="10">
        <v>46113</v>
      </c>
      <c r="J523" t="b">
        <v>0</v>
      </c>
      <c r="K523" s="11">
        <v>3.13</v>
      </c>
    </row>
    <row r="524" spans="1:11" x14ac:dyDescent="0.3">
      <c r="A524" t="s">
        <v>569</v>
      </c>
      <c r="B524" t="s">
        <v>42</v>
      </c>
      <c r="C524" t="s">
        <v>43</v>
      </c>
      <c r="D524" s="10">
        <v>45748</v>
      </c>
      <c r="E524" s="11">
        <v>49.3</v>
      </c>
      <c r="F524" s="12">
        <v>4091900</v>
      </c>
      <c r="G524">
        <v>9</v>
      </c>
      <c r="H524" s="10">
        <v>46023</v>
      </c>
      <c r="I524" s="10">
        <v>46023</v>
      </c>
      <c r="J524" t="b">
        <v>0</v>
      </c>
      <c r="K524" s="11">
        <v>0.32</v>
      </c>
    </row>
    <row r="525" spans="1:11" x14ac:dyDescent="0.3">
      <c r="A525" t="s">
        <v>570</v>
      </c>
      <c r="B525" t="s">
        <v>42</v>
      </c>
      <c r="C525" t="s">
        <v>43</v>
      </c>
      <c r="D525" s="10">
        <v>45748</v>
      </c>
      <c r="E525" s="11">
        <v>37</v>
      </c>
      <c r="F525" s="12">
        <v>3071000</v>
      </c>
      <c r="G525">
        <v>10</v>
      </c>
      <c r="H525" s="10">
        <v>46054</v>
      </c>
      <c r="I525" s="10">
        <v>46054</v>
      </c>
      <c r="J525" t="b">
        <v>0</v>
      </c>
      <c r="K525" s="11">
        <v>0.01</v>
      </c>
    </row>
    <row r="526" spans="1:11" x14ac:dyDescent="0.3">
      <c r="A526" t="s">
        <v>571</v>
      </c>
      <c r="B526" t="s">
        <v>42</v>
      </c>
      <c r="C526" t="s">
        <v>43</v>
      </c>
      <c r="D526" s="10">
        <v>45748</v>
      </c>
      <c r="E526" s="11">
        <v>31.5</v>
      </c>
      <c r="F526" s="12">
        <v>2614500</v>
      </c>
      <c r="G526">
        <v>7</v>
      </c>
      <c r="H526" s="10">
        <v>45962</v>
      </c>
      <c r="I526" s="10">
        <v>45992</v>
      </c>
      <c r="J526" t="b">
        <v>0</v>
      </c>
      <c r="K526" s="11">
        <v>0.63</v>
      </c>
    </row>
    <row r="527" spans="1:11" x14ac:dyDescent="0.3">
      <c r="A527" t="s">
        <v>572</v>
      </c>
      <c r="B527" t="s">
        <v>42</v>
      </c>
      <c r="C527" t="s">
        <v>43</v>
      </c>
      <c r="D527" s="10">
        <v>45748</v>
      </c>
      <c r="E527" s="11">
        <v>6.7</v>
      </c>
      <c r="F527" s="12">
        <v>556100</v>
      </c>
      <c r="G527">
        <v>11</v>
      </c>
      <c r="H527" s="10">
        <v>46082</v>
      </c>
      <c r="I527" s="10">
        <v>46082</v>
      </c>
      <c r="J527" t="b">
        <v>0</v>
      </c>
      <c r="K527" s="11">
        <v>0.17</v>
      </c>
    </row>
    <row r="528" spans="1:11" x14ac:dyDescent="0.3">
      <c r="A528" t="s">
        <v>573</v>
      </c>
      <c r="B528" t="s">
        <v>42</v>
      </c>
      <c r="C528" t="s">
        <v>43</v>
      </c>
      <c r="D528" s="10">
        <v>45748</v>
      </c>
      <c r="E528" s="11">
        <v>6.8</v>
      </c>
      <c r="F528" s="12">
        <v>564400</v>
      </c>
      <c r="G528">
        <v>9</v>
      </c>
      <c r="H528" s="10">
        <v>46023</v>
      </c>
      <c r="I528" s="10">
        <v>46023</v>
      </c>
      <c r="J528" t="b">
        <v>0</v>
      </c>
      <c r="K528" s="11">
        <v>0.03</v>
      </c>
    </row>
    <row r="529" spans="1:11" x14ac:dyDescent="0.3">
      <c r="A529" t="s">
        <v>574</v>
      </c>
      <c r="B529" t="s">
        <v>42</v>
      </c>
      <c r="C529" t="s">
        <v>43</v>
      </c>
      <c r="D529" s="10">
        <v>45748</v>
      </c>
      <c r="E529" s="11">
        <v>22.9</v>
      </c>
      <c r="F529" s="12">
        <v>1900700</v>
      </c>
      <c r="G529">
        <v>8</v>
      </c>
      <c r="H529" s="10">
        <v>45992</v>
      </c>
      <c r="I529" s="10">
        <v>45992</v>
      </c>
      <c r="J529" t="b">
        <v>0</v>
      </c>
      <c r="K529" s="11">
        <v>0.01</v>
      </c>
    </row>
    <row r="530" spans="1:11" x14ac:dyDescent="0.3">
      <c r="A530" t="s">
        <v>575</v>
      </c>
      <c r="B530" t="s">
        <v>42</v>
      </c>
      <c r="C530" t="s">
        <v>43</v>
      </c>
      <c r="D530" s="10">
        <v>45748</v>
      </c>
      <c r="E530" s="11">
        <v>25.9</v>
      </c>
      <c r="F530" s="12">
        <v>2149700</v>
      </c>
      <c r="G530">
        <v>9</v>
      </c>
      <c r="H530" s="10">
        <v>46023</v>
      </c>
      <c r="I530" s="10">
        <v>46023</v>
      </c>
      <c r="J530" t="b">
        <v>0</v>
      </c>
      <c r="K530" s="11">
        <v>0.39</v>
      </c>
    </row>
    <row r="531" spans="1:11" x14ac:dyDescent="0.3">
      <c r="A531" t="s">
        <v>576</v>
      </c>
      <c r="B531" t="s">
        <v>42</v>
      </c>
      <c r="C531" t="s">
        <v>43</v>
      </c>
      <c r="D531" s="10">
        <v>45748</v>
      </c>
      <c r="E531" s="11">
        <v>11.7</v>
      </c>
      <c r="F531" s="12">
        <v>971100</v>
      </c>
      <c r="G531">
        <v>5</v>
      </c>
      <c r="H531" s="10">
        <v>45901</v>
      </c>
      <c r="I531" s="10">
        <v>45901</v>
      </c>
      <c r="J531" t="b">
        <v>0</v>
      </c>
      <c r="K531" s="11">
        <v>0.32</v>
      </c>
    </row>
    <row r="532" spans="1:11" x14ac:dyDescent="0.3">
      <c r="A532" t="s">
        <v>577</v>
      </c>
      <c r="B532" t="s">
        <v>42</v>
      </c>
      <c r="C532" t="s">
        <v>43</v>
      </c>
      <c r="D532" s="10">
        <v>45748</v>
      </c>
      <c r="E532" s="11">
        <v>4.5999999999999996</v>
      </c>
      <c r="F532" s="12">
        <v>381800</v>
      </c>
      <c r="G532">
        <v>7</v>
      </c>
      <c r="H532" s="10">
        <v>45962</v>
      </c>
      <c r="I532" s="10">
        <v>45962</v>
      </c>
      <c r="J532" t="b">
        <v>0</v>
      </c>
      <c r="K532" s="11">
        <v>0</v>
      </c>
    </row>
    <row r="533" spans="1:11" x14ac:dyDescent="0.3">
      <c r="A533" t="s">
        <v>578</v>
      </c>
      <c r="B533" t="s">
        <v>42</v>
      </c>
      <c r="C533" t="s">
        <v>43</v>
      </c>
      <c r="D533" s="10">
        <v>45748</v>
      </c>
      <c r="E533" s="11">
        <v>43</v>
      </c>
      <c r="F533" s="12">
        <v>3569000</v>
      </c>
      <c r="G533">
        <v>9</v>
      </c>
      <c r="H533" s="10">
        <v>46023</v>
      </c>
      <c r="I533" s="10">
        <v>46023</v>
      </c>
      <c r="J533" t="b">
        <v>0</v>
      </c>
      <c r="K533" s="11">
        <v>0.01</v>
      </c>
    </row>
    <row r="534" spans="1:11" x14ac:dyDescent="0.3">
      <c r="A534" t="s">
        <v>579</v>
      </c>
      <c r="B534" t="s">
        <v>42</v>
      </c>
      <c r="C534" t="s">
        <v>43</v>
      </c>
      <c r="D534" s="10">
        <v>45748</v>
      </c>
      <c r="E534" s="11">
        <v>52.6</v>
      </c>
      <c r="F534" s="12">
        <v>4365800</v>
      </c>
      <c r="G534">
        <v>10</v>
      </c>
      <c r="H534" s="10">
        <v>46054</v>
      </c>
      <c r="I534" s="10">
        <v>46054</v>
      </c>
      <c r="J534" t="b">
        <v>0</v>
      </c>
      <c r="K534" s="11">
        <v>0.19</v>
      </c>
    </row>
    <row r="535" spans="1:11" x14ac:dyDescent="0.3">
      <c r="A535" t="s">
        <v>580</v>
      </c>
      <c r="B535" t="s">
        <v>42</v>
      </c>
      <c r="C535" t="s">
        <v>43</v>
      </c>
      <c r="D535" s="10">
        <v>45748</v>
      </c>
      <c r="E535" s="11">
        <v>40.799999999999997</v>
      </c>
      <c r="F535" s="12">
        <v>3386400</v>
      </c>
      <c r="G535">
        <v>8</v>
      </c>
      <c r="H535" s="10">
        <v>45992</v>
      </c>
      <c r="I535" s="10">
        <v>45992</v>
      </c>
      <c r="J535" t="b">
        <v>0</v>
      </c>
      <c r="K535" s="11">
        <v>0</v>
      </c>
    </row>
    <row r="536" spans="1:11" x14ac:dyDescent="0.3">
      <c r="A536" t="s">
        <v>581</v>
      </c>
      <c r="B536" t="s">
        <v>42</v>
      </c>
      <c r="C536" t="s">
        <v>43</v>
      </c>
      <c r="D536" s="10">
        <v>45748</v>
      </c>
      <c r="E536" s="11">
        <v>17.899999999999999</v>
      </c>
      <c r="F536" s="12">
        <v>1485700</v>
      </c>
      <c r="G536">
        <v>6</v>
      </c>
      <c r="H536" s="10">
        <v>45931</v>
      </c>
      <c r="I536" s="10">
        <v>45931</v>
      </c>
      <c r="J536" t="b">
        <v>0</v>
      </c>
      <c r="K536" s="11">
        <v>0</v>
      </c>
    </row>
    <row r="537" spans="1:11" x14ac:dyDescent="0.3">
      <c r="A537" t="s">
        <v>582</v>
      </c>
      <c r="B537" t="s">
        <v>42</v>
      </c>
      <c r="C537" t="s">
        <v>43</v>
      </c>
      <c r="D537" s="10">
        <v>45748</v>
      </c>
      <c r="E537" s="11">
        <v>20</v>
      </c>
      <c r="F537" s="12">
        <v>1660000</v>
      </c>
      <c r="G537">
        <v>11</v>
      </c>
      <c r="H537" s="10">
        <v>46082</v>
      </c>
      <c r="I537" s="10">
        <v>46082</v>
      </c>
      <c r="J537" t="b">
        <v>0</v>
      </c>
      <c r="K537" s="11">
        <v>0</v>
      </c>
    </row>
    <row r="538" spans="1:11" x14ac:dyDescent="0.3">
      <c r="A538" t="s">
        <v>583</v>
      </c>
      <c r="B538" t="s">
        <v>42</v>
      </c>
      <c r="C538" t="s">
        <v>43</v>
      </c>
      <c r="D538" s="10">
        <v>45748</v>
      </c>
      <c r="E538" s="11">
        <v>26.1</v>
      </c>
      <c r="F538" s="12">
        <v>2166300</v>
      </c>
      <c r="G538">
        <v>9</v>
      </c>
      <c r="H538" s="10">
        <v>46023</v>
      </c>
      <c r="I538" s="10">
        <v>46023</v>
      </c>
      <c r="J538" t="b">
        <v>0</v>
      </c>
      <c r="K538" s="11">
        <v>0.23</v>
      </c>
    </row>
    <row r="539" spans="1:11" x14ac:dyDescent="0.3">
      <c r="A539" t="s">
        <v>584</v>
      </c>
      <c r="B539" t="s">
        <v>42</v>
      </c>
      <c r="C539" t="s">
        <v>43</v>
      </c>
      <c r="D539" s="10">
        <v>45748</v>
      </c>
      <c r="E539" s="11">
        <v>6.7</v>
      </c>
      <c r="F539" s="12">
        <v>556100</v>
      </c>
      <c r="G539">
        <v>7</v>
      </c>
      <c r="H539" s="10">
        <v>45962</v>
      </c>
      <c r="I539" s="10">
        <v>46054</v>
      </c>
      <c r="J539" t="b">
        <v>0</v>
      </c>
      <c r="K539" s="11">
        <v>3.32</v>
      </c>
    </row>
    <row r="540" spans="1:11" x14ac:dyDescent="0.3">
      <c r="A540" t="s">
        <v>585</v>
      </c>
      <c r="B540" t="s">
        <v>42</v>
      </c>
      <c r="C540" t="s">
        <v>43</v>
      </c>
      <c r="D540" s="10">
        <v>45748</v>
      </c>
      <c r="E540" s="11">
        <v>2.7</v>
      </c>
      <c r="F540" s="12">
        <v>224100</v>
      </c>
      <c r="G540">
        <v>9</v>
      </c>
      <c r="H540" s="10">
        <v>46023</v>
      </c>
      <c r="I540" s="10">
        <v>46023</v>
      </c>
      <c r="J540" t="b">
        <v>0</v>
      </c>
      <c r="K540" s="11">
        <v>0.02</v>
      </c>
    </row>
    <row r="541" spans="1:11" x14ac:dyDescent="0.3">
      <c r="A541" t="s">
        <v>586</v>
      </c>
      <c r="B541" t="s">
        <v>42</v>
      </c>
      <c r="C541" t="s">
        <v>43</v>
      </c>
      <c r="D541" s="10">
        <v>45748</v>
      </c>
      <c r="E541" s="11">
        <v>7.7</v>
      </c>
      <c r="F541" s="12">
        <v>639100</v>
      </c>
      <c r="G541">
        <v>10</v>
      </c>
      <c r="H541" s="10">
        <v>46054</v>
      </c>
      <c r="I541" s="10">
        <v>46054</v>
      </c>
      <c r="J541" t="b">
        <v>0</v>
      </c>
      <c r="K541" s="11">
        <v>0.11</v>
      </c>
    </row>
    <row r="542" spans="1:11" x14ac:dyDescent="0.3">
      <c r="A542" t="s">
        <v>587</v>
      </c>
      <c r="B542" t="s">
        <v>42</v>
      </c>
      <c r="C542" t="s">
        <v>43</v>
      </c>
      <c r="D542" s="10">
        <v>45748</v>
      </c>
      <c r="E542" s="11">
        <v>12</v>
      </c>
      <c r="F542" s="12">
        <v>996000</v>
      </c>
      <c r="G542">
        <v>7</v>
      </c>
      <c r="H542" s="10">
        <v>45962</v>
      </c>
      <c r="I542" s="10">
        <v>45962</v>
      </c>
      <c r="J542" t="b">
        <v>0</v>
      </c>
      <c r="K542" s="11">
        <v>0.01</v>
      </c>
    </row>
    <row r="543" spans="1:11" x14ac:dyDescent="0.3">
      <c r="A543" t="s">
        <v>588</v>
      </c>
      <c r="B543" t="s">
        <v>42</v>
      </c>
      <c r="C543" t="s">
        <v>43</v>
      </c>
      <c r="D543" s="10">
        <v>45748</v>
      </c>
      <c r="E543" s="11">
        <v>3.9</v>
      </c>
      <c r="F543" s="12">
        <v>323700</v>
      </c>
      <c r="G543">
        <v>8</v>
      </c>
      <c r="H543" s="10">
        <v>45992</v>
      </c>
      <c r="I543" s="10">
        <v>45992</v>
      </c>
      <c r="J543" t="b">
        <v>0</v>
      </c>
      <c r="K543" s="11">
        <v>0.12</v>
      </c>
    </row>
    <row r="544" spans="1:11" x14ac:dyDescent="0.3">
      <c r="A544" t="s">
        <v>589</v>
      </c>
      <c r="B544" t="s">
        <v>42</v>
      </c>
      <c r="C544" t="s">
        <v>43</v>
      </c>
      <c r="D544" s="10">
        <v>45748</v>
      </c>
      <c r="E544" s="11">
        <v>80.8</v>
      </c>
      <c r="F544" s="12">
        <v>6706400</v>
      </c>
      <c r="G544">
        <v>10</v>
      </c>
      <c r="H544" s="10">
        <v>46054</v>
      </c>
      <c r="I544" s="10">
        <v>46054</v>
      </c>
      <c r="J544" t="b">
        <v>0</v>
      </c>
      <c r="K544" s="11">
        <v>0.16</v>
      </c>
    </row>
    <row r="545" spans="1:11" x14ac:dyDescent="0.3">
      <c r="A545" t="s">
        <v>590</v>
      </c>
      <c r="B545" t="s">
        <v>42</v>
      </c>
      <c r="C545" t="s">
        <v>43</v>
      </c>
      <c r="D545" s="10">
        <v>45748</v>
      </c>
      <c r="E545" s="11">
        <v>4.0999999999999996</v>
      </c>
      <c r="F545" s="12">
        <v>340299.99999999988</v>
      </c>
      <c r="G545">
        <v>5</v>
      </c>
      <c r="H545" s="10">
        <v>45901</v>
      </c>
      <c r="I545" s="10">
        <v>45962</v>
      </c>
      <c r="J545" t="b">
        <v>0</v>
      </c>
      <c r="K545" s="11">
        <v>2.41</v>
      </c>
    </row>
    <row r="546" spans="1:11" x14ac:dyDescent="0.3">
      <c r="A546" t="s">
        <v>591</v>
      </c>
      <c r="B546" t="s">
        <v>42</v>
      </c>
      <c r="C546" t="s">
        <v>43</v>
      </c>
      <c r="D546" s="10">
        <v>45748</v>
      </c>
      <c r="E546" s="11">
        <v>1.5</v>
      </c>
      <c r="F546" s="12">
        <v>124500</v>
      </c>
      <c r="G546">
        <v>7</v>
      </c>
      <c r="H546" s="10">
        <v>45962</v>
      </c>
      <c r="I546" s="10">
        <v>45962</v>
      </c>
      <c r="J546" t="b">
        <v>0</v>
      </c>
      <c r="K546" s="11">
        <v>0.5</v>
      </c>
    </row>
    <row r="547" spans="1:11" x14ac:dyDescent="0.3">
      <c r="A547" t="s">
        <v>592</v>
      </c>
      <c r="B547" t="s">
        <v>56</v>
      </c>
      <c r="C547" t="s">
        <v>57</v>
      </c>
      <c r="D547" s="10">
        <v>45748</v>
      </c>
      <c r="E547" s="11">
        <v>8</v>
      </c>
      <c r="F547" s="12">
        <v>704000</v>
      </c>
      <c r="G547">
        <v>8</v>
      </c>
      <c r="H547" s="10">
        <v>45992</v>
      </c>
      <c r="I547" s="10">
        <v>45992</v>
      </c>
      <c r="J547" t="b">
        <v>0</v>
      </c>
      <c r="K547" s="11">
        <v>0.12</v>
      </c>
    </row>
    <row r="548" spans="1:11" x14ac:dyDescent="0.3">
      <c r="A548" t="s">
        <v>593</v>
      </c>
      <c r="B548" t="s">
        <v>56</v>
      </c>
      <c r="C548" t="s">
        <v>57</v>
      </c>
      <c r="D548" s="10">
        <v>45748</v>
      </c>
      <c r="E548" s="11">
        <v>31.8</v>
      </c>
      <c r="F548" s="12">
        <v>2798400</v>
      </c>
      <c r="G548">
        <v>5</v>
      </c>
      <c r="H548" s="10">
        <v>45901</v>
      </c>
      <c r="I548" s="10">
        <v>45901</v>
      </c>
      <c r="J548" t="b">
        <v>0</v>
      </c>
      <c r="K548" s="11">
        <v>0.22</v>
      </c>
    </row>
    <row r="549" spans="1:11" x14ac:dyDescent="0.3">
      <c r="A549" t="s">
        <v>594</v>
      </c>
      <c r="B549" t="s">
        <v>56</v>
      </c>
      <c r="C549" t="s">
        <v>57</v>
      </c>
      <c r="D549" s="10">
        <v>45748</v>
      </c>
      <c r="E549" s="11">
        <v>22</v>
      </c>
      <c r="F549" s="12">
        <v>1936000</v>
      </c>
      <c r="G549">
        <v>10</v>
      </c>
      <c r="H549" s="10">
        <v>46054</v>
      </c>
      <c r="I549" s="10">
        <v>46113</v>
      </c>
      <c r="J549" t="b">
        <v>0</v>
      </c>
      <c r="K549" s="11">
        <v>2.14</v>
      </c>
    </row>
    <row r="550" spans="1:11" x14ac:dyDescent="0.3">
      <c r="A550" t="s">
        <v>595</v>
      </c>
      <c r="B550" t="s">
        <v>56</v>
      </c>
      <c r="C550" t="s">
        <v>57</v>
      </c>
      <c r="D550" s="10">
        <v>45748</v>
      </c>
      <c r="E550" s="11">
        <v>14</v>
      </c>
      <c r="F550" s="12">
        <v>1232000</v>
      </c>
      <c r="G550">
        <v>9</v>
      </c>
      <c r="H550" s="10">
        <v>46023</v>
      </c>
      <c r="I550" s="10">
        <v>46082</v>
      </c>
      <c r="J550" t="b">
        <v>0</v>
      </c>
      <c r="K550" s="11">
        <v>2.2400000000000002</v>
      </c>
    </row>
    <row r="551" spans="1:11" x14ac:dyDescent="0.3">
      <c r="A551" t="s">
        <v>596</v>
      </c>
      <c r="B551" t="s">
        <v>56</v>
      </c>
      <c r="C551" t="s">
        <v>57</v>
      </c>
      <c r="D551" s="10">
        <v>45748</v>
      </c>
      <c r="E551" s="11">
        <v>15.9</v>
      </c>
      <c r="F551" s="12">
        <v>1399200</v>
      </c>
      <c r="G551">
        <v>5</v>
      </c>
      <c r="H551" s="10">
        <v>45901</v>
      </c>
      <c r="I551" s="10">
        <v>45931</v>
      </c>
      <c r="J551" t="b">
        <v>0</v>
      </c>
      <c r="K551" s="11">
        <v>1.18</v>
      </c>
    </row>
    <row r="552" spans="1:11" x14ac:dyDescent="0.3">
      <c r="A552" t="s">
        <v>597</v>
      </c>
      <c r="B552" t="s">
        <v>56</v>
      </c>
      <c r="C552" t="s">
        <v>57</v>
      </c>
      <c r="D552" s="10">
        <v>45748</v>
      </c>
      <c r="E552" s="11">
        <v>10.5</v>
      </c>
      <c r="F552" s="12">
        <v>924000</v>
      </c>
      <c r="G552">
        <v>11</v>
      </c>
      <c r="H552" s="10">
        <v>46082</v>
      </c>
      <c r="I552" s="10">
        <v>46082</v>
      </c>
      <c r="J552" t="b">
        <v>0</v>
      </c>
      <c r="K552" s="11">
        <v>0</v>
      </c>
    </row>
    <row r="553" spans="1:11" x14ac:dyDescent="0.3">
      <c r="A553" t="s">
        <v>598</v>
      </c>
      <c r="B553" t="s">
        <v>56</v>
      </c>
      <c r="C553" t="s">
        <v>62</v>
      </c>
      <c r="D553" s="10">
        <v>45748</v>
      </c>
      <c r="E553" s="11">
        <v>32.299999999999997</v>
      </c>
      <c r="F553" s="12">
        <v>2616300</v>
      </c>
      <c r="G553">
        <v>6</v>
      </c>
      <c r="H553" s="10">
        <v>45931</v>
      </c>
      <c r="I553" s="10">
        <v>45931</v>
      </c>
      <c r="J553" t="b">
        <v>0</v>
      </c>
      <c r="K553" s="11">
        <v>0</v>
      </c>
    </row>
    <row r="554" spans="1:11" x14ac:dyDescent="0.3">
      <c r="A554" t="s">
        <v>599</v>
      </c>
      <c r="B554" t="s">
        <v>56</v>
      </c>
      <c r="C554" t="s">
        <v>62</v>
      </c>
      <c r="D554" s="10">
        <v>45748</v>
      </c>
      <c r="E554" s="11">
        <v>8.6</v>
      </c>
      <c r="F554" s="12">
        <v>696600</v>
      </c>
      <c r="G554">
        <v>5</v>
      </c>
      <c r="H554" s="10">
        <v>45901</v>
      </c>
      <c r="I554" s="10">
        <v>45901</v>
      </c>
      <c r="J554" t="b">
        <v>0</v>
      </c>
      <c r="K554" s="11">
        <v>0.06</v>
      </c>
    </row>
    <row r="555" spans="1:11" x14ac:dyDescent="0.3">
      <c r="A555" t="s">
        <v>600</v>
      </c>
      <c r="B555" t="s">
        <v>56</v>
      </c>
      <c r="C555" t="s">
        <v>62</v>
      </c>
      <c r="D555" s="10">
        <v>45748</v>
      </c>
      <c r="E555" s="11">
        <v>13</v>
      </c>
      <c r="F555" s="12">
        <v>1053000</v>
      </c>
      <c r="G555">
        <v>9</v>
      </c>
      <c r="H555" s="10">
        <v>46023</v>
      </c>
      <c r="I555" s="10">
        <v>46023</v>
      </c>
      <c r="J555" t="b">
        <v>0</v>
      </c>
      <c r="K555" s="11">
        <v>0.23</v>
      </c>
    </row>
    <row r="556" spans="1:11" x14ac:dyDescent="0.3">
      <c r="A556" t="s">
        <v>601</v>
      </c>
      <c r="B556" t="s">
        <v>65</v>
      </c>
      <c r="C556" t="s">
        <v>66</v>
      </c>
      <c r="D556" s="10">
        <v>45748</v>
      </c>
      <c r="E556" s="11">
        <v>22.6</v>
      </c>
      <c r="F556" s="12">
        <v>1604600</v>
      </c>
      <c r="G556">
        <v>5</v>
      </c>
      <c r="H556" s="10">
        <v>45901</v>
      </c>
      <c r="I556" s="10">
        <v>45992</v>
      </c>
      <c r="J556" t="b">
        <v>0</v>
      </c>
      <c r="K556" s="11">
        <v>3.28</v>
      </c>
    </row>
    <row r="557" spans="1:11" x14ac:dyDescent="0.3">
      <c r="A557" t="s">
        <v>602</v>
      </c>
      <c r="B557" t="s">
        <v>65</v>
      </c>
      <c r="C557" t="s">
        <v>66</v>
      </c>
      <c r="D557" s="10">
        <v>45748</v>
      </c>
      <c r="E557" s="11">
        <v>13.4</v>
      </c>
      <c r="F557" s="12">
        <v>951400</v>
      </c>
      <c r="G557">
        <v>10</v>
      </c>
      <c r="H557" s="10">
        <v>46054</v>
      </c>
      <c r="I557" s="10">
        <v>46174</v>
      </c>
      <c r="J557" t="b">
        <v>0</v>
      </c>
      <c r="K557" s="11">
        <v>3.75</v>
      </c>
    </row>
    <row r="558" spans="1:11" x14ac:dyDescent="0.3">
      <c r="A558" t="s">
        <v>603</v>
      </c>
      <c r="B558" t="s">
        <v>65</v>
      </c>
      <c r="C558" t="s">
        <v>66</v>
      </c>
      <c r="D558" s="10">
        <v>45748</v>
      </c>
      <c r="E558" s="11">
        <v>29.5</v>
      </c>
      <c r="F558" s="12">
        <v>2094500</v>
      </c>
      <c r="G558">
        <v>6</v>
      </c>
      <c r="H558" s="10">
        <v>45931</v>
      </c>
      <c r="I558" s="10">
        <v>46054</v>
      </c>
      <c r="J558" t="b">
        <v>0</v>
      </c>
      <c r="K558" s="11">
        <v>4.28</v>
      </c>
    </row>
    <row r="559" spans="1:11" x14ac:dyDescent="0.3">
      <c r="A559" t="s">
        <v>604</v>
      </c>
      <c r="B559" t="s">
        <v>65</v>
      </c>
      <c r="C559" t="s">
        <v>70</v>
      </c>
      <c r="D559" s="10">
        <v>45748</v>
      </c>
      <c r="E559" s="11">
        <v>10.5</v>
      </c>
      <c r="F559" s="12">
        <v>882000</v>
      </c>
      <c r="G559">
        <v>5</v>
      </c>
      <c r="H559" s="10">
        <v>45901</v>
      </c>
      <c r="I559" s="10">
        <v>46023</v>
      </c>
      <c r="J559" t="b">
        <v>0</v>
      </c>
      <c r="K559" s="11">
        <v>4.24</v>
      </c>
    </row>
    <row r="560" spans="1:11" x14ac:dyDescent="0.3">
      <c r="A560" t="s">
        <v>605</v>
      </c>
      <c r="B560" t="s">
        <v>72</v>
      </c>
      <c r="C560" t="s">
        <v>72</v>
      </c>
      <c r="D560" s="10">
        <v>45748</v>
      </c>
      <c r="E560" s="11">
        <v>7.2</v>
      </c>
      <c r="F560" s="12">
        <v>568800</v>
      </c>
      <c r="G560">
        <v>7</v>
      </c>
      <c r="H560" s="10">
        <v>45962</v>
      </c>
      <c r="I560" s="10">
        <v>46023</v>
      </c>
      <c r="J560" t="b">
        <v>0</v>
      </c>
      <c r="K560" s="11">
        <v>2.15</v>
      </c>
    </row>
    <row r="561" spans="1:11" x14ac:dyDescent="0.3">
      <c r="A561" t="s">
        <v>606</v>
      </c>
      <c r="B561" t="s">
        <v>72</v>
      </c>
      <c r="C561" t="s">
        <v>72</v>
      </c>
      <c r="D561" s="10">
        <v>45748</v>
      </c>
      <c r="E561" s="11">
        <v>19.8</v>
      </c>
      <c r="F561" s="12">
        <v>1564200</v>
      </c>
      <c r="G561">
        <v>8</v>
      </c>
      <c r="H561" s="10">
        <v>45992</v>
      </c>
      <c r="I561" s="10">
        <v>45992</v>
      </c>
      <c r="J561" t="b">
        <v>0</v>
      </c>
      <c r="K561" s="11">
        <v>0.16</v>
      </c>
    </row>
    <row r="562" spans="1:11" x14ac:dyDescent="0.3">
      <c r="A562" t="s">
        <v>607</v>
      </c>
      <c r="B562" t="s">
        <v>72</v>
      </c>
      <c r="C562" t="s">
        <v>72</v>
      </c>
      <c r="D562" s="10">
        <v>45748</v>
      </c>
      <c r="E562" s="11">
        <v>7.8</v>
      </c>
      <c r="F562" s="12">
        <v>616200</v>
      </c>
      <c r="G562">
        <v>8</v>
      </c>
      <c r="H562" s="10">
        <v>45992</v>
      </c>
      <c r="I562" s="10">
        <v>45992</v>
      </c>
      <c r="J562" t="b">
        <v>0</v>
      </c>
      <c r="K562" s="11">
        <v>0.02</v>
      </c>
    </row>
    <row r="563" spans="1:11" x14ac:dyDescent="0.3">
      <c r="A563" t="s">
        <v>608</v>
      </c>
      <c r="B563" t="s">
        <v>42</v>
      </c>
      <c r="C563" t="s">
        <v>43</v>
      </c>
      <c r="D563" s="10">
        <v>45778</v>
      </c>
      <c r="E563" s="11">
        <v>52.7</v>
      </c>
      <c r="F563" s="12">
        <v>4374100</v>
      </c>
      <c r="G563">
        <v>5</v>
      </c>
      <c r="H563" s="10">
        <v>45931</v>
      </c>
      <c r="I563" s="10">
        <v>45931</v>
      </c>
      <c r="J563" t="b">
        <v>0</v>
      </c>
      <c r="K563" s="11">
        <v>0.06</v>
      </c>
    </row>
    <row r="564" spans="1:11" x14ac:dyDescent="0.3">
      <c r="A564" t="s">
        <v>609</v>
      </c>
      <c r="B564" t="s">
        <v>42</v>
      </c>
      <c r="C564" t="s">
        <v>43</v>
      </c>
      <c r="D564" s="10">
        <v>45778</v>
      </c>
      <c r="E564" s="11">
        <v>6</v>
      </c>
      <c r="F564" s="12">
        <v>498000</v>
      </c>
      <c r="G564">
        <v>7</v>
      </c>
      <c r="H564" s="10">
        <v>45992</v>
      </c>
      <c r="I564" s="10">
        <v>45992</v>
      </c>
      <c r="J564" t="b">
        <v>0</v>
      </c>
      <c r="K564" s="11">
        <v>0.21</v>
      </c>
    </row>
    <row r="565" spans="1:11" x14ac:dyDescent="0.3">
      <c r="A565" t="s">
        <v>610</v>
      </c>
      <c r="B565" t="s">
        <v>42</v>
      </c>
      <c r="C565" t="s">
        <v>43</v>
      </c>
      <c r="D565" s="10">
        <v>45778</v>
      </c>
      <c r="E565" s="11">
        <v>3.6</v>
      </c>
      <c r="F565" s="12">
        <v>298800</v>
      </c>
      <c r="G565">
        <v>8</v>
      </c>
      <c r="H565" s="10">
        <v>46023</v>
      </c>
      <c r="I565" s="10">
        <v>46023</v>
      </c>
      <c r="J565" t="b">
        <v>0</v>
      </c>
      <c r="K565" s="11">
        <v>0</v>
      </c>
    </row>
    <row r="566" spans="1:11" x14ac:dyDescent="0.3">
      <c r="A566" t="s">
        <v>611</v>
      </c>
      <c r="B566" t="s">
        <v>42</v>
      </c>
      <c r="C566" t="s">
        <v>43</v>
      </c>
      <c r="D566" s="10">
        <v>45778</v>
      </c>
      <c r="E566" s="11">
        <v>13.2</v>
      </c>
      <c r="F566" s="12">
        <v>1095600</v>
      </c>
      <c r="G566">
        <v>9</v>
      </c>
      <c r="H566" s="10">
        <v>46054</v>
      </c>
      <c r="I566" s="10">
        <v>46113</v>
      </c>
      <c r="J566" t="b">
        <v>0</v>
      </c>
      <c r="K566" s="11">
        <v>1.74</v>
      </c>
    </row>
    <row r="567" spans="1:11" x14ac:dyDescent="0.3">
      <c r="A567" t="s">
        <v>612</v>
      </c>
      <c r="B567" t="s">
        <v>42</v>
      </c>
      <c r="C567" t="s">
        <v>43</v>
      </c>
      <c r="D567" s="10">
        <v>45778</v>
      </c>
      <c r="E567" s="11">
        <v>11.6</v>
      </c>
      <c r="F567" s="12">
        <v>962800</v>
      </c>
      <c r="G567">
        <v>9</v>
      </c>
      <c r="H567" s="10">
        <v>46054</v>
      </c>
      <c r="I567" s="10">
        <v>46143</v>
      </c>
      <c r="J567" t="b">
        <v>0</v>
      </c>
      <c r="K567" s="11">
        <v>3.36</v>
      </c>
    </row>
    <row r="568" spans="1:11" x14ac:dyDescent="0.3">
      <c r="A568" t="s">
        <v>613</v>
      </c>
      <c r="B568" t="s">
        <v>42</v>
      </c>
      <c r="C568" t="s">
        <v>43</v>
      </c>
      <c r="D568" s="10">
        <v>45778</v>
      </c>
      <c r="E568" s="11">
        <v>14.3</v>
      </c>
      <c r="F568" s="12">
        <v>1186900</v>
      </c>
      <c r="G568">
        <v>11</v>
      </c>
      <c r="H568" s="10">
        <v>46113</v>
      </c>
      <c r="I568" s="10">
        <v>46113</v>
      </c>
      <c r="J568" t="b">
        <v>0</v>
      </c>
      <c r="K568" s="11">
        <v>0.02</v>
      </c>
    </row>
    <row r="569" spans="1:11" x14ac:dyDescent="0.3">
      <c r="A569" t="s">
        <v>614</v>
      </c>
      <c r="B569" t="s">
        <v>42</v>
      </c>
      <c r="C569" t="s">
        <v>43</v>
      </c>
      <c r="D569" s="10">
        <v>45778</v>
      </c>
      <c r="E569" s="11">
        <v>11.5</v>
      </c>
      <c r="F569" s="12">
        <v>954500</v>
      </c>
      <c r="G569">
        <v>8</v>
      </c>
      <c r="H569" s="10">
        <v>46023</v>
      </c>
      <c r="I569" s="10">
        <v>46023</v>
      </c>
      <c r="J569" t="b">
        <v>0</v>
      </c>
      <c r="K569" s="11">
        <v>0.04</v>
      </c>
    </row>
    <row r="570" spans="1:11" x14ac:dyDescent="0.3">
      <c r="A570" t="s">
        <v>615</v>
      </c>
      <c r="B570" t="s">
        <v>42</v>
      </c>
      <c r="C570" t="s">
        <v>43</v>
      </c>
      <c r="D570" s="10">
        <v>45778</v>
      </c>
      <c r="E570" s="11">
        <v>3.1</v>
      </c>
      <c r="F570" s="12">
        <v>257300</v>
      </c>
      <c r="G570">
        <v>8</v>
      </c>
      <c r="H570" s="10">
        <v>46023</v>
      </c>
      <c r="I570" s="10">
        <v>46054</v>
      </c>
      <c r="J570" t="b">
        <v>0</v>
      </c>
      <c r="K570" s="11">
        <v>0.52</v>
      </c>
    </row>
    <row r="571" spans="1:11" x14ac:dyDescent="0.3">
      <c r="A571" t="s">
        <v>616</v>
      </c>
      <c r="B571" t="s">
        <v>42</v>
      </c>
      <c r="C571" t="s">
        <v>43</v>
      </c>
      <c r="D571" s="10">
        <v>45778</v>
      </c>
      <c r="E571" s="11">
        <v>3.8</v>
      </c>
      <c r="F571" s="12">
        <v>315400</v>
      </c>
      <c r="G571">
        <v>6</v>
      </c>
      <c r="H571" s="10">
        <v>45962</v>
      </c>
      <c r="I571" s="10">
        <v>45962</v>
      </c>
      <c r="J571" t="b">
        <v>0</v>
      </c>
      <c r="K571" s="11">
        <v>0.1</v>
      </c>
    </row>
    <row r="572" spans="1:11" x14ac:dyDescent="0.3">
      <c r="A572" t="s">
        <v>617</v>
      </c>
      <c r="B572" t="s">
        <v>42</v>
      </c>
      <c r="C572" t="s">
        <v>43</v>
      </c>
      <c r="D572" s="10">
        <v>45778</v>
      </c>
      <c r="E572" s="11">
        <v>11</v>
      </c>
      <c r="F572" s="12">
        <v>913000</v>
      </c>
      <c r="G572">
        <v>9</v>
      </c>
      <c r="H572" s="10">
        <v>46054</v>
      </c>
      <c r="I572" s="10">
        <v>46204</v>
      </c>
      <c r="J572" t="b">
        <v>0</v>
      </c>
      <c r="K572" s="11">
        <v>4.92</v>
      </c>
    </row>
    <row r="573" spans="1:11" x14ac:dyDescent="0.3">
      <c r="A573" t="s">
        <v>618</v>
      </c>
      <c r="B573" t="s">
        <v>42</v>
      </c>
      <c r="C573" t="s">
        <v>43</v>
      </c>
      <c r="D573" s="10">
        <v>45778</v>
      </c>
      <c r="E573" s="11">
        <v>23.6</v>
      </c>
      <c r="F573" s="12">
        <v>1958800</v>
      </c>
      <c r="G573">
        <v>8</v>
      </c>
      <c r="H573" s="10">
        <v>46023</v>
      </c>
      <c r="I573" s="10">
        <v>46023</v>
      </c>
      <c r="J573" t="b">
        <v>0</v>
      </c>
      <c r="K573" s="11">
        <v>0</v>
      </c>
    </row>
    <row r="574" spans="1:11" x14ac:dyDescent="0.3">
      <c r="A574" t="s">
        <v>619</v>
      </c>
      <c r="B574" t="s">
        <v>42</v>
      </c>
      <c r="C574" t="s">
        <v>43</v>
      </c>
      <c r="D574" s="10">
        <v>45778</v>
      </c>
      <c r="E574" s="11">
        <v>2.5</v>
      </c>
      <c r="F574" s="12">
        <v>207500</v>
      </c>
      <c r="G574">
        <v>8</v>
      </c>
      <c r="H574" s="10">
        <v>46023</v>
      </c>
      <c r="I574" s="10">
        <v>46054</v>
      </c>
      <c r="J574" t="b">
        <v>0</v>
      </c>
      <c r="K574" s="11">
        <v>1.36</v>
      </c>
    </row>
    <row r="575" spans="1:11" x14ac:dyDescent="0.3">
      <c r="A575" t="s">
        <v>620</v>
      </c>
      <c r="B575" t="s">
        <v>42</v>
      </c>
      <c r="C575" t="s">
        <v>43</v>
      </c>
      <c r="D575" s="10">
        <v>45778</v>
      </c>
      <c r="E575" s="11">
        <v>40.299999999999997</v>
      </c>
      <c r="F575" s="12">
        <v>3344900</v>
      </c>
      <c r="G575">
        <v>9</v>
      </c>
      <c r="H575" s="10">
        <v>46054</v>
      </c>
      <c r="I575" s="10">
        <v>46113</v>
      </c>
      <c r="J575" t="b">
        <v>0</v>
      </c>
      <c r="K575" s="11">
        <v>2.21</v>
      </c>
    </row>
    <row r="576" spans="1:11" x14ac:dyDescent="0.3">
      <c r="A576" t="s">
        <v>621</v>
      </c>
      <c r="B576" t="s">
        <v>42</v>
      </c>
      <c r="C576" t="s">
        <v>43</v>
      </c>
      <c r="D576" s="10">
        <v>45778</v>
      </c>
      <c r="E576" s="11">
        <v>20.2</v>
      </c>
      <c r="F576" s="12">
        <v>1676600</v>
      </c>
      <c r="G576">
        <v>11</v>
      </c>
      <c r="H576" s="10">
        <v>46113</v>
      </c>
      <c r="I576" s="10">
        <v>46143</v>
      </c>
      <c r="J576" t="b">
        <v>0</v>
      </c>
      <c r="K576" s="11">
        <v>0.72</v>
      </c>
    </row>
    <row r="577" spans="1:11" x14ac:dyDescent="0.3">
      <c r="A577" t="s">
        <v>622</v>
      </c>
      <c r="B577" t="s">
        <v>42</v>
      </c>
      <c r="C577" t="s">
        <v>43</v>
      </c>
      <c r="D577" s="10">
        <v>45778</v>
      </c>
      <c r="E577" s="11">
        <v>11.4</v>
      </c>
      <c r="F577" s="12">
        <v>946200</v>
      </c>
      <c r="G577">
        <v>9</v>
      </c>
      <c r="H577" s="10">
        <v>46054</v>
      </c>
      <c r="I577" s="10">
        <v>46054</v>
      </c>
      <c r="J577" t="b">
        <v>0</v>
      </c>
      <c r="K577" s="11">
        <v>0</v>
      </c>
    </row>
    <row r="578" spans="1:11" x14ac:dyDescent="0.3">
      <c r="A578" t="s">
        <v>623</v>
      </c>
      <c r="B578" t="s">
        <v>42</v>
      </c>
      <c r="C578" t="s">
        <v>43</v>
      </c>
      <c r="D578" s="10">
        <v>45778</v>
      </c>
      <c r="E578" s="11">
        <v>27.4</v>
      </c>
      <c r="F578" s="12">
        <v>2274200</v>
      </c>
      <c r="G578">
        <v>8</v>
      </c>
      <c r="H578" s="10">
        <v>46023</v>
      </c>
      <c r="I578" s="10">
        <v>46023</v>
      </c>
      <c r="J578" t="b">
        <v>0</v>
      </c>
      <c r="K578" s="11">
        <v>0.1</v>
      </c>
    </row>
    <row r="579" spans="1:11" x14ac:dyDescent="0.3">
      <c r="A579" t="s">
        <v>624</v>
      </c>
      <c r="B579" t="s">
        <v>42</v>
      </c>
      <c r="C579" t="s">
        <v>43</v>
      </c>
      <c r="D579" s="10">
        <v>45778</v>
      </c>
      <c r="E579" s="11">
        <v>32.799999999999997</v>
      </c>
      <c r="F579" s="12">
        <v>2722400</v>
      </c>
      <c r="G579">
        <v>9</v>
      </c>
      <c r="H579" s="10">
        <v>46054</v>
      </c>
      <c r="I579" s="10"/>
      <c r="J579" t="b">
        <v>1</v>
      </c>
      <c r="K579" s="11">
        <v>0.16</v>
      </c>
    </row>
    <row r="580" spans="1:11" x14ac:dyDescent="0.3">
      <c r="A580" t="s">
        <v>625</v>
      </c>
      <c r="B580" t="s">
        <v>42</v>
      </c>
      <c r="C580" t="s">
        <v>43</v>
      </c>
      <c r="D580" s="10">
        <v>45778</v>
      </c>
      <c r="E580" s="11">
        <v>20.399999999999999</v>
      </c>
      <c r="F580" s="12">
        <v>1693200</v>
      </c>
      <c r="G580">
        <v>10</v>
      </c>
      <c r="H580" s="10">
        <v>46082</v>
      </c>
      <c r="I580" s="10">
        <v>46082</v>
      </c>
      <c r="J580" t="b">
        <v>0</v>
      </c>
      <c r="K580" s="11">
        <v>0</v>
      </c>
    </row>
    <row r="581" spans="1:11" x14ac:dyDescent="0.3">
      <c r="A581" t="s">
        <v>626</v>
      </c>
      <c r="B581" t="s">
        <v>56</v>
      </c>
      <c r="C581" t="s">
        <v>57</v>
      </c>
      <c r="D581" s="10">
        <v>45778</v>
      </c>
      <c r="E581" s="11">
        <v>8.6</v>
      </c>
      <c r="F581" s="12">
        <v>756800</v>
      </c>
      <c r="G581">
        <v>7</v>
      </c>
      <c r="H581" s="10">
        <v>45992</v>
      </c>
      <c r="I581" s="10">
        <v>45992</v>
      </c>
      <c r="J581" t="b">
        <v>0</v>
      </c>
      <c r="K581" s="11">
        <v>0.28000000000000003</v>
      </c>
    </row>
    <row r="582" spans="1:11" x14ac:dyDescent="0.3">
      <c r="A582" t="s">
        <v>627</v>
      </c>
      <c r="B582" t="s">
        <v>56</v>
      </c>
      <c r="C582" t="s">
        <v>57</v>
      </c>
      <c r="D582" s="10">
        <v>45778</v>
      </c>
      <c r="E582" s="11">
        <v>11.8</v>
      </c>
      <c r="F582" s="12">
        <v>1038400</v>
      </c>
      <c r="G582">
        <v>8</v>
      </c>
      <c r="H582" s="10">
        <v>46023</v>
      </c>
      <c r="I582" s="10">
        <v>46082</v>
      </c>
      <c r="J582" t="b">
        <v>0</v>
      </c>
      <c r="K582" s="11">
        <v>1.79</v>
      </c>
    </row>
    <row r="583" spans="1:11" x14ac:dyDescent="0.3">
      <c r="A583" t="s">
        <v>628</v>
      </c>
      <c r="B583" t="s">
        <v>56</v>
      </c>
      <c r="C583" t="s">
        <v>57</v>
      </c>
      <c r="D583" s="10">
        <v>45778</v>
      </c>
      <c r="E583" s="11">
        <v>13.9</v>
      </c>
      <c r="F583" s="12">
        <v>1223200</v>
      </c>
      <c r="G583">
        <v>11</v>
      </c>
      <c r="H583" s="10">
        <v>46113</v>
      </c>
      <c r="I583" s="10">
        <v>46113</v>
      </c>
      <c r="J583" t="b">
        <v>0</v>
      </c>
      <c r="K583" s="11">
        <v>0.41</v>
      </c>
    </row>
    <row r="584" spans="1:11" x14ac:dyDescent="0.3">
      <c r="A584" t="s">
        <v>629</v>
      </c>
      <c r="B584" t="s">
        <v>56</v>
      </c>
      <c r="C584" t="s">
        <v>62</v>
      </c>
      <c r="D584" s="10">
        <v>45778</v>
      </c>
      <c r="E584" s="11">
        <v>29.8</v>
      </c>
      <c r="F584" s="12">
        <v>2413800</v>
      </c>
      <c r="G584">
        <v>6</v>
      </c>
      <c r="H584" s="10">
        <v>45962</v>
      </c>
      <c r="I584" s="10">
        <v>45992</v>
      </c>
      <c r="J584" t="b">
        <v>0</v>
      </c>
      <c r="K584" s="11">
        <v>1.39</v>
      </c>
    </row>
    <row r="585" spans="1:11" x14ac:dyDescent="0.3">
      <c r="A585" t="s">
        <v>630</v>
      </c>
      <c r="B585" t="s">
        <v>56</v>
      </c>
      <c r="C585" t="s">
        <v>62</v>
      </c>
      <c r="D585" s="10">
        <v>45778</v>
      </c>
      <c r="E585" s="11">
        <v>7.1</v>
      </c>
      <c r="F585" s="12">
        <v>575100</v>
      </c>
      <c r="G585">
        <v>7</v>
      </c>
      <c r="H585" s="10">
        <v>45992</v>
      </c>
      <c r="I585" s="10">
        <v>45992</v>
      </c>
      <c r="J585" t="b">
        <v>0</v>
      </c>
      <c r="K585" s="11">
        <v>0.26</v>
      </c>
    </row>
    <row r="586" spans="1:11" x14ac:dyDescent="0.3">
      <c r="A586" t="s">
        <v>631</v>
      </c>
      <c r="B586" t="s">
        <v>56</v>
      </c>
      <c r="C586" t="s">
        <v>62</v>
      </c>
      <c r="D586" s="10">
        <v>45778</v>
      </c>
      <c r="E586" s="11">
        <v>14.3</v>
      </c>
      <c r="F586" s="12">
        <v>1158300</v>
      </c>
      <c r="G586">
        <v>7</v>
      </c>
      <c r="H586" s="10">
        <v>45992</v>
      </c>
      <c r="I586" s="10">
        <v>46023</v>
      </c>
      <c r="J586" t="b">
        <v>0</v>
      </c>
      <c r="K586" s="11">
        <v>0.79</v>
      </c>
    </row>
    <row r="587" spans="1:11" x14ac:dyDescent="0.3">
      <c r="A587" t="s">
        <v>632</v>
      </c>
      <c r="B587" t="s">
        <v>56</v>
      </c>
      <c r="C587" t="s">
        <v>62</v>
      </c>
      <c r="D587" s="10">
        <v>45778</v>
      </c>
      <c r="E587" s="11">
        <v>9.1999999999999993</v>
      </c>
      <c r="F587" s="12">
        <v>745200</v>
      </c>
      <c r="G587">
        <v>9</v>
      </c>
      <c r="H587" s="10">
        <v>46054</v>
      </c>
      <c r="I587" s="10">
        <v>46143</v>
      </c>
      <c r="J587" t="b">
        <v>0</v>
      </c>
      <c r="K587" s="11">
        <v>2.89</v>
      </c>
    </row>
    <row r="588" spans="1:11" x14ac:dyDescent="0.3">
      <c r="A588" t="s">
        <v>633</v>
      </c>
      <c r="B588" t="s">
        <v>56</v>
      </c>
      <c r="C588" t="s">
        <v>62</v>
      </c>
      <c r="D588" s="10">
        <v>45778</v>
      </c>
      <c r="E588" s="11">
        <v>34.799999999999997</v>
      </c>
      <c r="F588" s="12">
        <v>2818800</v>
      </c>
      <c r="G588">
        <v>7</v>
      </c>
      <c r="H588" s="10">
        <v>45992</v>
      </c>
      <c r="I588" s="10">
        <v>45992</v>
      </c>
      <c r="J588" t="b">
        <v>0</v>
      </c>
      <c r="K588" s="11">
        <v>0.28000000000000003</v>
      </c>
    </row>
    <row r="589" spans="1:11" x14ac:dyDescent="0.3">
      <c r="A589" t="s">
        <v>634</v>
      </c>
      <c r="B589" t="s">
        <v>65</v>
      </c>
      <c r="C589" t="s">
        <v>66</v>
      </c>
      <c r="D589" s="10">
        <v>45778</v>
      </c>
      <c r="E589" s="11">
        <v>8.6</v>
      </c>
      <c r="F589" s="12">
        <v>610600</v>
      </c>
      <c r="G589">
        <v>10</v>
      </c>
      <c r="H589" s="10">
        <v>46082</v>
      </c>
      <c r="I589" s="10">
        <v>46143</v>
      </c>
      <c r="J589" t="b">
        <v>0</v>
      </c>
      <c r="K589" s="11">
        <v>1.62</v>
      </c>
    </row>
    <row r="590" spans="1:11" x14ac:dyDescent="0.3">
      <c r="A590" t="s">
        <v>635</v>
      </c>
      <c r="B590" t="s">
        <v>65</v>
      </c>
      <c r="C590" t="s">
        <v>66</v>
      </c>
      <c r="D590" s="10">
        <v>45778</v>
      </c>
      <c r="E590" s="11">
        <v>35.9</v>
      </c>
      <c r="F590" s="12">
        <v>2548900</v>
      </c>
      <c r="G590">
        <v>7</v>
      </c>
      <c r="H590" s="10">
        <v>45992</v>
      </c>
      <c r="I590" s="10">
        <v>46143</v>
      </c>
      <c r="J590" t="b">
        <v>0</v>
      </c>
      <c r="K590" s="11">
        <v>5.44</v>
      </c>
    </row>
    <row r="591" spans="1:11" x14ac:dyDescent="0.3">
      <c r="A591" t="s">
        <v>636</v>
      </c>
      <c r="B591" t="s">
        <v>65</v>
      </c>
      <c r="C591" t="s">
        <v>66</v>
      </c>
      <c r="D591" s="10">
        <v>45778</v>
      </c>
      <c r="E591" s="11">
        <v>20.5</v>
      </c>
      <c r="F591" s="12">
        <v>1455500</v>
      </c>
      <c r="G591">
        <v>8</v>
      </c>
      <c r="H591" s="10">
        <v>46023</v>
      </c>
      <c r="I591" s="10">
        <v>46143</v>
      </c>
      <c r="J591" t="b">
        <v>0</v>
      </c>
      <c r="K591" s="11">
        <v>3.88</v>
      </c>
    </row>
    <row r="592" spans="1:11" x14ac:dyDescent="0.3">
      <c r="A592" t="s">
        <v>637</v>
      </c>
      <c r="B592" t="s">
        <v>65</v>
      </c>
      <c r="C592" t="s">
        <v>70</v>
      </c>
      <c r="D592" s="10">
        <v>45778</v>
      </c>
      <c r="E592" s="11">
        <v>11.3</v>
      </c>
      <c r="F592" s="12">
        <v>949200</v>
      </c>
      <c r="G592">
        <v>8</v>
      </c>
      <c r="H592" s="10">
        <v>46023</v>
      </c>
      <c r="I592" s="10">
        <v>46023</v>
      </c>
      <c r="J592" t="b">
        <v>0</v>
      </c>
      <c r="K592" s="11">
        <v>0.28000000000000003</v>
      </c>
    </row>
    <row r="593" spans="1:11" x14ac:dyDescent="0.3">
      <c r="A593" t="s">
        <v>638</v>
      </c>
      <c r="B593" t="s">
        <v>72</v>
      </c>
      <c r="C593" t="s">
        <v>72</v>
      </c>
      <c r="D593" s="10">
        <v>45778</v>
      </c>
      <c r="E593" s="11">
        <v>23.8</v>
      </c>
      <c r="F593" s="12">
        <v>1880200</v>
      </c>
      <c r="G593">
        <v>8</v>
      </c>
      <c r="H593" s="10">
        <v>46023</v>
      </c>
      <c r="I593" s="10">
        <v>46054</v>
      </c>
      <c r="J593" t="b">
        <v>0</v>
      </c>
      <c r="K593" s="11">
        <v>1.36</v>
      </c>
    </row>
    <row r="594" spans="1:11" x14ac:dyDescent="0.3">
      <c r="A594" t="s">
        <v>639</v>
      </c>
      <c r="B594" t="s">
        <v>72</v>
      </c>
      <c r="C594" t="s">
        <v>72</v>
      </c>
      <c r="D594" s="10">
        <v>45778</v>
      </c>
      <c r="E594" s="11">
        <v>4.4000000000000004</v>
      </c>
      <c r="F594" s="12">
        <v>347600</v>
      </c>
      <c r="G594">
        <v>10</v>
      </c>
      <c r="H594" s="10">
        <v>46082</v>
      </c>
      <c r="I594" s="10">
        <v>46082</v>
      </c>
      <c r="J594" t="b">
        <v>0</v>
      </c>
      <c r="K594" s="11">
        <v>0.01</v>
      </c>
    </row>
    <row r="595" spans="1:11" x14ac:dyDescent="0.3">
      <c r="A595" t="s">
        <v>640</v>
      </c>
      <c r="B595" t="s">
        <v>72</v>
      </c>
      <c r="C595" t="s">
        <v>72</v>
      </c>
      <c r="D595" s="10">
        <v>45778</v>
      </c>
      <c r="E595" s="11">
        <v>12.8</v>
      </c>
      <c r="F595" s="12">
        <v>1011200</v>
      </c>
      <c r="G595">
        <v>8</v>
      </c>
      <c r="H595" s="10">
        <v>46023</v>
      </c>
      <c r="I595" s="10">
        <v>46023</v>
      </c>
      <c r="J595" t="b">
        <v>0</v>
      </c>
      <c r="K595" s="11">
        <v>0.41</v>
      </c>
    </row>
    <row r="596" spans="1:11" x14ac:dyDescent="0.3">
      <c r="A596" t="s">
        <v>641</v>
      </c>
      <c r="B596" t="s">
        <v>72</v>
      </c>
      <c r="C596" t="s">
        <v>72</v>
      </c>
      <c r="D596" s="10">
        <v>45778</v>
      </c>
      <c r="E596" s="11">
        <v>15.8</v>
      </c>
      <c r="F596" s="12">
        <v>1248200</v>
      </c>
      <c r="G596">
        <v>11</v>
      </c>
      <c r="H596" s="10">
        <v>46113</v>
      </c>
      <c r="I596" s="10">
        <v>46204</v>
      </c>
      <c r="J596" t="b">
        <v>0</v>
      </c>
      <c r="K596" s="11">
        <v>2.61</v>
      </c>
    </row>
    <row r="597" spans="1:11" x14ac:dyDescent="0.3">
      <c r="A597" t="s">
        <v>642</v>
      </c>
      <c r="B597" t="s">
        <v>72</v>
      </c>
      <c r="C597" t="s">
        <v>72</v>
      </c>
      <c r="D597" s="10">
        <v>45778</v>
      </c>
      <c r="E597" s="11">
        <v>6.7</v>
      </c>
      <c r="F597" s="12">
        <v>529300</v>
      </c>
      <c r="G597">
        <v>5</v>
      </c>
      <c r="H597" s="10">
        <v>45931</v>
      </c>
      <c r="I597" s="10">
        <v>45992</v>
      </c>
      <c r="J597" t="b">
        <v>0</v>
      </c>
      <c r="K597" s="11">
        <v>1.84</v>
      </c>
    </row>
    <row r="598" spans="1:11" x14ac:dyDescent="0.3">
      <c r="A598" t="s">
        <v>643</v>
      </c>
      <c r="B598" t="s">
        <v>72</v>
      </c>
      <c r="C598" t="s">
        <v>72</v>
      </c>
      <c r="D598" s="10">
        <v>45778</v>
      </c>
      <c r="E598" s="11">
        <v>38.700000000000003</v>
      </c>
      <c r="F598" s="12">
        <v>3057300</v>
      </c>
      <c r="G598">
        <v>7</v>
      </c>
      <c r="H598" s="10">
        <v>45992</v>
      </c>
      <c r="I598" s="10">
        <v>46113</v>
      </c>
      <c r="J598" t="b">
        <v>0</v>
      </c>
      <c r="K598" s="11">
        <v>3.84</v>
      </c>
    </row>
    <row r="599" spans="1:11" x14ac:dyDescent="0.3">
      <c r="A599" t="s">
        <v>644</v>
      </c>
      <c r="B599" t="s">
        <v>72</v>
      </c>
      <c r="C599" t="s">
        <v>72</v>
      </c>
      <c r="D599" s="10">
        <v>45778</v>
      </c>
      <c r="E599" s="11">
        <v>14.3</v>
      </c>
      <c r="F599" s="12">
        <v>1129700</v>
      </c>
      <c r="G599">
        <v>11</v>
      </c>
      <c r="H599" s="10">
        <v>46113</v>
      </c>
      <c r="I599" s="10">
        <v>46143</v>
      </c>
      <c r="J599" t="b">
        <v>0</v>
      </c>
      <c r="K599" s="11">
        <v>0.59</v>
      </c>
    </row>
    <row r="600" spans="1:11" x14ac:dyDescent="0.3">
      <c r="A600" t="s">
        <v>645</v>
      </c>
      <c r="B600" t="s">
        <v>72</v>
      </c>
      <c r="C600" t="s">
        <v>72</v>
      </c>
      <c r="D600" s="10">
        <v>45778</v>
      </c>
      <c r="E600" s="11">
        <v>5.2</v>
      </c>
      <c r="F600" s="12">
        <v>410800</v>
      </c>
      <c r="G600">
        <v>9</v>
      </c>
      <c r="H600" s="10">
        <v>46054</v>
      </c>
      <c r="I600" s="10">
        <v>46054</v>
      </c>
      <c r="J600" t="b">
        <v>0</v>
      </c>
      <c r="K600" s="11">
        <v>0.08</v>
      </c>
    </row>
    <row r="601" spans="1:11" x14ac:dyDescent="0.3">
      <c r="A601" t="s">
        <v>646</v>
      </c>
      <c r="B601" t="s">
        <v>42</v>
      </c>
      <c r="C601" t="s">
        <v>43</v>
      </c>
      <c r="D601" s="10">
        <v>45809</v>
      </c>
      <c r="E601" s="11">
        <v>26.8</v>
      </c>
      <c r="F601" s="12">
        <v>2224400</v>
      </c>
      <c r="G601">
        <v>7</v>
      </c>
      <c r="H601" s="10">
        <v>46023</v>
      </c>
      <c r="I601" s="10">
        <v>46023</v>
      </c>
      <c r="J601" t="b">
        <v>0</v>
      </c>
      <c r="K601" s="11">
        <v>0.32</v>
      </c>
    </row>
    <row r="602" spans="1:11" x14ac:dyDescent="0.3">
      <c r="A602" t="s">
        <v>647</v>
      </c>
      <c r="B602" t="s">
        <v>42</v>
      </c>
      <c r="C602" t="s">
        <v>43</v>
      </c>
      <c r="D602" s="10">
        <v>45809</v>
      </c>
      <c r="E602" s="11">
        <v>19.5</v>
      </c>
      <c r="F602" s="12">
        <v>1618500</v>
      </c>
      <c r="G602">
        <v>6</v>
      </c>
      <c r="H602" s="10">
        <v>45992</v>
      </c>
      <c r="I602" s="10">
        <v>45992</v>
      </c>
      <c r="J602" t="b">
        <v>0</v>
      </c>
      <c r="K602" s="11">
        <v>0.11</v>
      </c>
    </row>
    <row r="603" spans="1:11" x14ac:dyDescent="0.3">
      <c r="A603" t="s">
        <v>648</v>
      </c>
      <c r="B603" t="s">
        <v>42</v>
      </c>
      <c r="C603" t="s">
        <v>43</v>
      </c>
      <c r="D603" s="10">
        <v>45809</v>
      </c>
      <c r="E603" s="11">
        <v>5.4</v>
      </c>
      <c r="F603" s="12">
        <v>448200.00000000012</v>
      </c>
      <c r="G603">
        <v>8</v>
      </c>
      <c r="H603" s="10">
        <v>46054</v>
      </c>
      <c r="I603" s="10">
        <v>46054</v>
      </c>
      <c r="J603" t="b">
        <v>0</v>
      </c>
      <c r="K603" s="11">
        <v>0.01</v>
      </c>
    </row>
    <row r="604" spans="1:11" x14ac:dyDescent="0.3">
      <c r="A604" t="s">
        <v>649</v>
      </c>
      <c r="B604" t="s">
        <v>42</v>
      </c>
      <c r="C604" t="s">
        <v>43</v>
      </c>
      <c r="D604" s="10">
        <v>45809</v>
      </c>
      <c r="E604" s="11">
        <v>33.700000000000003</v>
      </c>
      <c r="F604" s="12">
        <v>2797100</v>
      </c>
      <c r="G604">
        <v>6</v>
      </c>
      <c r="H604" s="10">
        <v>45992</v>
      </c>
      <c r="I604" s="10">
        <v>45992</v>
      </c>
      <c r="J604" t="b">
        <v>0</v>
      </c>
      <c r="K604" s="11">
        <v>0.26</v>
      </c>
    </row>
    <row r="605" spans="1:11" x14ac:dyDescent="0.3">
      <c r="A605" t="s">
        <v>650</v>
      </c>
      <c r="B605" t="s">
        <v>42</v>
      </c>
      <c r="C605" t="s">
        <v>43</v>
      </c>
      <c r="D605" s="10">
        <v>45809</v>
      </c>
      <c r="E605" s="11">
        <v>23.4</v>
      </c>
      <c r="F605" s="12">
        <v>1942200</v>
      </c>
      <c r="G605">
        <v>8</v>
      </c>
      <c r="H605" s="10">
        <v>46054</v>
      </c>
      <c r="I605" s="10">
        <v>46054</v>
      </c>
      <c r="J605" t="b">
        <v>0</v>
      </c>
      <c r="K605" s="11">
        <v>0.19</v>
      </c>
    </row>
    <row r="606" spans="1:11" x14ac:dyDescent="0.3">
      <c r="A606" t="s">
        <v>651</v>
      </c>
      <c r="B606" t="s">
        <v>42</v>
      </c>
      <c r="C606" t="s">
        <v>43</v>
      </c>
      <c r="D606" s="10">
        <v>45809</v>
      </c>
      <c r="E606" s="11">
        <v>23.9</v>
      </c>
      <c r="F606" s="12">
        <v>1983700</v>
      </c>
      <c r="G606">
        <v>10</v>
      </c>
      <c r="H606" s="10">
        <v>46113</v>
      </c>
      <c r="I606" s="10">
        <v>46113</v>
      </c>
      <c r="J606" t="b">
        <v>0</v>
      </c>
      <c r="K606" s="11">
        <v>0.03</v>
      </c>
    </row>
    <row r="607" spans="1:11" x14ac:dyDescent="0.3">
      <c r="A607" t="s">
        <v>652</v>
      </c>
      <c r="B607" t="s">
        <v>42</v>
      </c>
      <c r="C607" t="s">
        <v>43</v>
      </c>
      <c r="D607" s="10">
        <v>45809</v>
      </c>
      <c r="E607" s="11">
        <v>13.3</v>
      </c>
      <c r="F607" s="12">
        <v>1103900</v>
      </c>
      <c r="G607">
        <v>11</v>
      </c>
      <c r="H607" s="10">
        <v>46143</v>
      </c>
      <c r="I607" s="10">
        <v>46143</v>
      </c>
      <c r="J607" t="b">
        <v>0</v>
      </c>
      <c r="K607" s="11">
        <v>0</v>
      </c>
    </row>
    <row r="608" spans="1:11" x14ac:dyDescent="0.3">
      <c r="A608" t="s">
        <v>653</v>
      </c>
      <c r="B608" t="s">
        <v>42</v>
      </c>
      <c r="C608" t="s">
        <v>43</v>
      </c>
      <c r="D608" s="10">
        <v>45809</v>
      </c>
      <c r="E608" s="11">
        <v>9.4</v>
      </c>
      <c r="F608" s="12">
        <v>780200</v>
      </c>
      <c r="G608">
        <v>11</v>
      </c>
      <c r="H608" s="10">
        <v>46143</v>
      </c>
      <c r="I608" s="10">
        <v>46174</v>
      </c>
      <c r="J608" t="b">
        <v>0</v>
      </c>
      <c r="K608" s="11">
        <v>0.51</v>
      </c>
    </row>
    <row r="609" spans="1:11" x14ac:dyDescent="0.3">
      <c r="A609" t="s">
        <v>654</v>
      </c>
      <c r="B609" t="s">
        <v>42</v>
      </c>
      <c r="C609" t="s">
        <v>43</v>
      </c>
      <c r="D609" s="10">
        <v>45809</v>
      </c>
      <c r="E609" s="11">
        <v>13.9</v>
      </c>
      <c r="F609" s="12">
        <v>1153700</v>
      </c>
      <c r="G609">
        <v>10</v>
      </c>
      <c r="H609" s="10">
        <v>46113</v>
      </c>
      <c r="I609" s="10">
        <v>46113</v>
      </c>
      <c r="J609" t="b">
        <v>0</v>
      </c>
      <c r="K609" s="11">
        <v>0.02</v>
      </c>
    </row>
    <row r="610" spans="1:11" x14ac:dyDescent="0.3">
      <c r="A610" t="s">
        <v>655</v>
      </c>
      <c r="B610" t="s">
        <v>42</v>
      </c>
      <c r="C610" t="s">
        <v>43</v>
      </c>
      <c r="D610" s="10">
        <v>45809</v>
      </c>
      <c r="E610" s="11">
        <v>14.8</v>
      </c>
      <c r="F610" s="12">
        <v>1228400</v>
      </c>
      <c r="G610">
        <v>11</v>
      </c>
      <c r="H610" s="10">
        <v>46143</v>
      </c>
      <c r="I610" s="10">
        <v>46143</v>
      </c>
      <c r="J610" t="b">
        <v>0</v>
      </c>
      <c r="K610" s="11">
        <v>0.02</v>
      </c>
    </row>
    <row r="611" spans="1:11" x14ac:dyDescent="0.3">
      <c r="A611" t="s">
        <v>656</v>
      </c>
      <c r="B611" t="s">
        <v>42</v>
      </c>
      <c r="C611" t="s">
        <v>43</v>
      </c>
      <c r="D611" s="10">
        <v>45809</v>
      </c>
      <c r="E611" s="11">
        <v>26.1</v>
      </c>
      <c r="F611" s="12">
        <v>2166300</v>
      </c>
      <c r="G611">
        <v>5</v>
      </c>
      <c r="H611" s="10">
        <v>45962</v>
      </c>
      <c r="I611" s="10">
        <v>45962</v>
      </c>
      <c r="J611" t="b">
        <v>0</v>
      </c>
      <c r="K611" s="11">
        <v>0.03</v>
      </c>
    </row>
    <row r="612" spans="1:11" x14ac:dyDescent="0.3">
      <c r="A612" t="s">
        <v>657</v>
      </c>
      <c r="B612" t="s">
        <v>42</v>
      </c>
      <c r="C612" t="s">
        <v>43</v>
      </c>
      <c r="D612" s="10">
        <v>45809</v>
      </c>
      <c r="E612" s="11">
        <v>27.4</v>
      </c>
      <c r="F612" s="12">
        <v>2274200</v>
      </c>
      <c r="G612">
        <v>9</v>
      </c>
      <c r="H612" s="10">
        <v>46082</v>
      </c>
      <c r="I612" s="10">
        <v>46082</v>
      </c>
      <c r="J612" t="b">
        <v>0</v>
      </c>
      <c r="K612" s="11">
        <v>0.42</v>
      </c>
    </row>
    <row r="613" spans="1:11" x14ac:dyDescent="0.3">
      <c r="A613" t="s">
        <v>658</v>
      </c>
      <c r="B613" t="s">
        <v>42</v>
      </c>
      <c r="C613" t="s">
        <v>43</v>
      </c>
      <c r="D613" s="10">
        <v>45809</v>
      </c>
      <c r="E613" s="11">
        <v>11.6</v>
      </c>
      <c r="F613" s="12">
        <v>962800</v>
      </c>
      <c r="G613">
        <v>9</v>
      </c>
      <c r="H613" s="10">
        <v>46082</v>
      </c>
      <c r="I613" s="10">
        <v>46082</v>
      </c>
      <c r="J613" t="b">
        <v>0</v>
      </c>
      <c r="K613" s="11">
        <v>0.15</v>
      </c>
    </row>
    <row r="614" spans="1:11" x14ac:dyDescent="0.3">
      <c r="A614" t="s">
        <v>659</v>
      </c>
      <c r="B614" t="s">
        <v>42</v>
      </c>
      <c r="C614" t="s">
        <v>43</v>
      </c>
      <c r="D614" s="10">
        <v>45809</v>
      </c>
      <c r="E614" s="11">
        <v>5.4</v>
      </c>
      <c r="F614" s="12">
        <v>448200.00000000012</v>
      </c>
      <c r="G614">
        <v>7</v>
      </c>
      <c r="H614" s="10">
        <v>46023</v>
      </c>
      <c r="I614" s="10">
        <v>46023</v>
      </c>
      <c r="J614" t="b">
        <v>0</v>
      </c>
      <c r="K614" s="11">
        <v>0.01</v>
      </c>
    </row>
    <row r="615" spans="1:11" x14ac:dyDescent="0.3">
      <c r="A615" t="s">
        <v>660</v>
      </c>
      <c r="B615" t="s">
        <v>42</v>
      </c>
      <c r="C615" t="s">
        <v>43</v>
      </c>
      <c r="D615" s="10">
        <v>45809</v>
      </c>
      <c r="E615" s="11">
        <v>11.7</v>
      </c>
      <c r="F615" s="12">
        <v>971100</v>
      </c>
      <c r="G615">
        <v>9</v>
      </c>
      <c r="H615" s="10">
        <v>46082</v>
      </c>
      <c r="I615" s="10">
        <v>46082</v>
      </c>
      <c r="J615" t="b">
        <v>0</v>
      </c>
      <c r="K615" s="11">
        <v>0.35</v>
      </c>
    </row>
    <row r="616" spans="1:11" x14ac:dyDescent="0.3">
      <c r="A616" t="s">
        <v>661</v>
      </c>
      <c r="B616" t="s">
        <v>42</v>
      </c>
      <c r="C616" t="s">
        <v>43</v>
      </c>
      <c r="D616" s="10">
        <v>45809</v>
      </c>
      <c r="E616" s="11">
        <v>28.2</v>
      </c>
      <c r="F616" s="12">
        <v>2340600</v>
      </c>
      <c r="G616">
        <v>9</v>
      </c>
      <c r="H616" s="10">
        <v>46082</v>
      </c>
      <c r="I616" s="10">
        <v>46082</v>
      </c>
      <c r="J616" t="b">
        <v>0</v>
      </c>
      <c r="K616" s="11">
        <v>0.02</v>
      </c>
    </row>
    <row r="617" spans="1:11" x14ac:dyDescent="0.3">
      <c r="A617" t="s">
        <v>662</v>
      </c>
      <c r="B617" t="s">
        <v>42</v>
      </c>
      <c r="C617" t="s">
        <v>43</v>
      </c>
      <c r="D617" s="10">
        <v>45809</v>
      </c>
      <c r="E617" s="11">
        <v>58.2</v>
      </c>
      <c r="F617" s="12">
        <v>4830600</v>
      </c>
      <c r="G617">
        <v>7</v>
      </c>
      <c r="H617" s="10">
        <v>46023</v>
      </c>
      <c r="I617" s="10">
        <v>46023</v>
      </c>
      <c r="J617" t="b">
        <v>0</v>
      </c>
      <c r="K617" s="11">
        <v>0.12</v>
      </c>
    </row>
    <row r="618" spans="1:11" x14ac:dyDescent="0.3">
      <c r="A618" t="s">
        <v>663</v>
      </c>
      <c r="B618" t="s">
        <v>42</v>
      </c>
      <c r="C618" t="s">
        <v>43</v>
      </c>
      <c r="D618" s="10">
        <v>45809</v>
      </c>
      <c r="E618" s="11">
        <v>11.3</v>
      </c>
      <c r="F618" s="12">
        <v>937900</v>
      </c>
      <c r="G618">
        <v>11</v>
      </c>
      <c r="H618" s="10">
        <v>46143</v>
      </c>
      <c r="I618" s="10">
        <v>46143</v>
      </c>
      <c r="J618" t="b">
        <v>0</v>
      </c>
      <c r="K618" s="11">
        <v>0.02</v>
      </c>
    </row>
    <row r="619" spans="1:11" x14ac:dyDescent="0.3">
      <c r="A619" t="s">
        <v>664</v>
      </c>
      <c r="B619" t="s">
        <v>42</v>
      </c>
      <c r="C619" t="s">
        <v>43</v>
      </c>
      <c r="D619" s="10">
        <v>45809</v>
      </c>
      <c r="E619" s="11">
        <v>10.7</v>
      </c>
      <c r="F619" s="12">
        <v>888099.99999999988</v>
      </c>
      <c r="G619">
        <v>10</v>
      </c>
      <c r="H619" s="10">
        <v>46113</v>
      </c>
      <c r="I619" s="10">
        <v>46113</v>
      </c>
      <c r="J619" t="b">
        <v>0</v>
      </c>
      <c r="K619" s="11">
        <v>0.22</v>
      </c>
    </row>
    <row r="620" spans="1:11" x14ac:dyDescent="0.3">
      <c r="A620" t="s">
        <v>665</v>
      </c>
      <c r="B620" t="s">
        <v>42</v>
      </c>
      <c r="C620" t="s">
        <v>43</v>
      </c>
      <c r="D620" s="10">
        <v>45809</v>
      </c>
      <c r="E620" s="11">
        <v>14.5</v>
      </c>
      <c r="F620" s="12">
        <v>1203500</v>
      </c>
      <c r="G620">
        <v>10</v>
      </c>
      <c r="H620" s="10">
        <v>46113</v>
      </c>
      <c r="I620" s="10">
        <v>46143</v>
      </c>
      <c r="J620" t="b">
        <v>0</v>
      </c>
      <c r="K620" s="11">
        <v>0.74</v>
      </c>
    </row>
    <row r="621" spans="1:11" x14ac:dyDescent="0.3">
      <c r="A621" t="s">
        <v>666</v>
      </c>
      <c r="B621" t="s">
        <v>42</v>
      </c>
      <c r="C621" t="s">
        <v>43</v>
      </c>
      <c r="D621" s="10">
        <v>45809</v>
      </c>
      <c r="E621" s="11">
        <v>4.5</v>
      </c>
      <c r="F621" s="12">
        <v>373500</v>
      </c>
      <c r="G621">
        <v>8</v>
      </c>
      <c r="H621" s="10">
        <v>46054</v>
      </c>
      <c r="I621" s="10">
        <v>46054</v>
      </c>
      <c r="J621" t="b">
        <v>0</v>
      </c>
      <c r="K621" s="11">
        <v>0.12</v>
      </c>
    </row>
    <row r="622" spans="1:11" x14ac:dyDescent="0.3">
      <c r="A622" t="s">
        <v>667</v>
      </c>
      <c r="B622" t="s">
        <v>42</v>
      </c>
      <c r="C622" t="s">
        <v>43</v>
      </c>
      <c r="D622" s="10">
        <v>45809</v>
      </c>
      <c r="E622" s="11">
        <v>2.2000000000000002</v>
      </c>
      <c r="F622" s="12">
        <v>182600</v>
      </c>
      <c r="G622">
        <v>7</v>
      </c>
      <c r="H622" s="10">
        <v>46023</v>
      </c>
      <c r="I622" s="10">
        <v>46054</v>
      </c>
      <c r="J622" t="b">
        <v>0</v>
      </c>
      <c r="K622" s="11">
        <v>0.73</v>
      </c>
    </row>
    <row r="623" spans="1:11" x14ac:dyDescent="0.3">
      <c r="A623" t="s">
        <v>668</v>
      </c>
      <c r="B623" t="s">
        <v>42</v>
      </c>
      <c r="C623" t="s">
        <v>43</v>
      </c>
      <c r="D623" s="10">
        <v>45809</v>
      </c>
      <c r="E623" s="11">
        <v>26.9</v>
      </c>
      <c r="F623" s="12">
        <v>2232700</v>
      </c>
      <c r="G623">
        <v>11</v>
      </c>
      <c r="H623" s="10">
        <v>46143</v>
      </c>
      <c r="I623" s="10">
        <v>46204</v>
      </c>
      <c r="J623" t="b">
        <v>0</v>
      </c>
      <c r="K623" s="11">
        <v>1.59</v>
      </c>
    </row>
    <row r="624" spans="1:11" x14ac:dyDescent="0.3">
      <c r="A624" t="s">
        <v>669</v>
      </c>
      <c r="B624" t="s">
        <v>42</v>
      </c>
      <c r="C624" t="s">
        <v>43</v>
      </c>
      <c r="D624" s="10">
        <v>45809</v>
      </c>
      <c r="E624" s="11">
        <v>4.3</v>
      </c>
      <c r="F624" s="12">
        <v>356900</v>
      </c>
      <c r="G624">
        <v>9</v>
      </c>
      <c r="H624" s="10">
        <v>46082</v>
      </c>
      <c r="I624" s="10">
        <v>46082</v>
      </c>
      <c r="J624" t="b">
        <v>0</v>
      </c>
      <c r="K624" s="11">
        <v>0.02</v>
      </c>
    </row>
    <row r="625" spans="1:11" x14ac:dyDescent="0.3">
      <c r="A625" t="s">
        <v>670</v>
      </c>
      <c r="B625" t="s">
        <v>42</v>
      </c>
      <c r="C625" t="s">
        <v>43</v>
      </c>
      <c r="D625" s="10">
        <v>45809</v>
      </c>
      <c r="E625" s="11">
        <v>51.2</v>
      </c>
      <c r="F625" s="12">
        <v>4249600</v>
      </c>
      <c r="G625">
        <v>8</v>
      </c>
      <c r="H625" s="10">
        <v>46054</v>
      </c>
      <c r="I625" s="10">
        <v>46054</v>
      </c>
      <c r="J625" t="b">
        <v>0</v>
      </c>
      <c r="K625" s="11">
        <v>0.42</v>
      </c>
    </row>
    <row r="626" spans="1:11" x14ac:dyDescent="0.3">
      <c r="A626" t="s">
        <v>671</v>
      </c>
      <c r="B626" t="s">
        <v>42</v>
      </c>
      <c r="C626" t="s">
        <v>43</v>
      </c>
      <c r="D626" s="10">
        <v>45809</v>
      </c>
      <c r="E626" s="11">
        <v>4.5</v>
      </c>
      <c r="F626" s="12">
        <v>373500</v>
      </c>
      <c r="G626">
        <v>6</v>
      </c>
      <c r="H626" s="10">
        <v>45992</v>
      </c>
      <c r="I626" s="10">
        <v>45992</v>
      </c>
      <c r="J626" t="b">
        <v>0</v>
      </c>
      <c r="K626" s="11">
        <v>0</v>
      </c>
    </row>
    <row r="627" spans="1:11" x14ac:dyDescent="0.3">
      <c r="A627" t="s">
        <v>672</v>
      </c>
      <c r="B627" t="s">
        <v>42</v>
      </c>
      <c r="C627" t="s">
        <v>43</v>
      </c>
      <c r="D627" s="10">
        <v>45809</v>
      </c>
      <c r="E627" s="11">
        <v>11.1</v>
      </c>
      <c r="F627" s="12">
        <v>921300</v>
      </c>
      <c r="G627">
        <v>8</v>
      </c>
      <c r="H627" s="10">
        <v>46054</v>
      </c>
      <c r="I627" s="10">
        <v>46054</v>
      </c>
      <c r="J627" t="b">
        <v>0</v>
      </c>
      <c r="K627" s="11">
        <v>0.18</v>
      </c>
    </row>
    <row r="628" spans="1:11" x14ac:dyDescent="0.3">
      <c r="A628" t="s">
        <v>673</v>
      </c>
      <c r="B628" t="s">
        <v>42</v>
      </c>
      <c r="C628" t="s">
        <v>43</v>
      </c>
      <c r="D628" s="10">
        <v>45809</v>
      </c>
      <c r="E628" s="11">
        <v>41.8</v>
      </c>
      <c r="F628" s="12">
        <v>3469400</v>
      </c>
      <c r="G628">
        <v>9</v>
      </c>
      <c r="H628" s="10">
        <v>46082</v>
      </c>
      <c r="I628" s="10">
        <v>46082</v>
      </c>
      <c r="J628" t="b">
        <v>0</v>
      </c>
      <c r="K628" s="11">
        <v>0.12</v>
      </c>
    </row>
    <row r="629" spans="1:11" x14ac:dyDescent="0.3">
      <c r="A629" t="s">
        <v>674</v>
      </c>
      <c r="B629" t="s">
        <v>42</v>
      </c>
      <c r="C629" t="s">
        <v>43</v>
      </c>
      <c r="D629" s="10">
        <v>45809</v>
      </c>
      <c r="E629" s="11">
        <v>17.3</v>
      </c>
      <c r="F629" s="12">
        <v>1435900</v>
      </c>
      <c r="G629">
        <v>9</v>
      </c>
      <c r="H629" s="10">
        <v>46082</v>
      </c>
      <c r="I629" s="10">
        <v>46082</v>
      </c>
      <c r="J629" t="b">
        <v>0</v>
      </c>
      <c r="K629" s="11">
        <v>0.03</v>
      </c>
    </row>
    <row r="630" spans="1:11" x14ac:dyDescent="0.3">
      <c r="A630" t="s">
        <v>675</v>
      </c>
      <c r="B630" t="s">
        <v>56</v>
      </c>
      <c r="C630" t="s">
        <v>57</v>
      </c>
      <c r="D630" s="10">
        <v>45809</v>
      </c>
      <c r="E630" s="11">
        <v>44.6</v>
      </c>
      <c r="F630" s="12">
        <v>3924800</v>
      </c>
      <c r="G630">
        <v>7</v>
      </c>
      <c r="H630" s="10">
        <v>46023</v>
      </c>
      <c r="I630" s="10">
        <v>46023</v>
      </c>
      <c r="J630" t="b">
        <v>0</v>
      </c>
      <c r="K630" s="11">
        <v>0.28000000000000003</v>
      </c>
    </row>
    <row r="631" spans="1:11" x14ac:dyDescent="0.3">
      <c r="A631" t="s">
        <v>676</v>
      </c>
      <c r="B631" t="s">
        <v>56</v>
      </c>
      <c r="C631" t="s">
        <v>57</v>
      </c>
      <c r="D631" s="10">
        <v>45809</v>
      </c>
      <c r="E631" s="11">
        <v>16.2</v>
      </c>
      <c r="F631" s="12">
        <v>1425600</v>
      </c>
      <c r="G631">
        <v>6</v>
      </c>
      <c r="H631" s="10">
        <v>45992</v>
      </c>
      <c r="I631" s="10">
        <v>45992</v>
      </c>
      <c r="J631" t="b">
        <v>0</v>
      </c>
      <c r="K631" s="11">
        <v>0.02</v>
      </c>
    </row>
    <row r="632" spans="1:11" x14ac:dyDescent="0.3">
      <c r="A632" t="s">
        <v>677</v>
      </c>
      <c r="B632" t="s">
        <v>56</v>
      </c>
      <c r="C632" t="s">
        <v>62</v>
      </c>
      <c r="D632" s="10">
        <v>45809</v>
      </c>
      <c r="E632" s="11">
        <v>20.5</v>
      </c>
      <c r="F632" s="12">
        <v>1660500</v>
      </c>
      <c r="G632">
        <v>10</v>
      </c>
      <c r="H632" s="10">
        <v>46113</v>
      </c>
      <c r="I632" s="10">
        <v>46113</v>
      </c>
      <c r="J632" t="b">
        <v>0</v>
      </c>
      <c r="K632" s="11">
        <v>0</v>
      </c>
    </row>
    <row r="633" spans="1:11" x14ac:dyDescent="0.3">
      <c r="A633" t="s">
        <v>678</v>
      </c>
      <c r="B633" t="s">
        <v>56</v>
      </c>
      <c r="C633" t="s">
        <v>62</v>
      </c>
      <c r="D633" s="10">
        <v>45809</v>
      </c>
      <c r="E633" s="11">
        <v>9.1999999999999993</v>
      </c>
      <c r="F633" s="12">
        <v>745200</v>
      </c>
      <c r="G633">
        <v>6</v>
      </c>
      <c r="H633" s="10">
        <v>45992</v>
      </c>
      <c r="I633" s="10">
        <v>46023</v>
      </c>
      <c r="J633" t="b">
        <v>0</v>
      </c>
      <c r="K633" s="11">
        <v>0.54</v>
      </c>
    </row>
    <row r="634" spans="1:11" x14ac:dyDescent="0.3">
      <c r="A634" t="s">
        <v>679</v>
      </c>
      <c r="B634" t="s">
        <v>65</v>
      </c>
      <c r="C634" t="s">
        <v>66</v>
      </c>
      <c r="D634" s="10">
        <v>45809</v>
      </c>
      <c r="E634" s="11">
        <v>32.1</v>
      </c>
      <c r="F634" s="12">
        <v>2279100</v>
      </c>
      <c r="G634">
        <v>5</v>
      </c>
      <c r="H634" s="10">
        <v>45962</v>
      </c>
      <c r="I634" s="10">
        <v>45992</v>
      </c>
      <c r="J634" t="b">
        <v>0</v>
      </c>
      <c r="K634" s="11">
        <v>1.29</v>
      </c>
    </row>
    <row r="635" spans="1:11" x14ac:dyDescent="0.3">
      <c r="A635" t="s">
        <v>680</v>
      </c>
      <c r="B635" t="s">
        <v>65</v>
      </c>
      <c r="C635" t="s">
        <v>66</v>
      </c>
      <c r="D635" s="10">
        <v>45809</v>
      </c>
      <c r="E635" s="11">
        <v>35</v>
      </c>
      <c r="F635" s="12">
        <v>2485000</v>
      </c>
      <c r="G635">
        <v>8</v>
      </c>
      <c r="H635" s="10">
        <v>46054</v>
      </c>
      <c r="I635" s="10">
        <v>46054</v>
      </c>
      <c r="J635" t="b">
        <v>0</v>
      </c>
      <c r="K635" s="11">
        <v>0.09</v>
      </c>
    </row>
    <row r="636" spans="1:11" x14ac:dyDescent="0.3">
      <c r="A636" t="s">
        <v>681</v>
      </c>
      <c r="B636" t="s">
        <v>65</v>
      </c>
      <c r="C636" t="s">
        <v>66</v>
      </c>
      <c r="D636" s="10">
        <v>45809</v>
      </c>
      <c r="E636" s="11">
        <v>8</v>
      </c>
      <c r="F636" s="12">
        <v>568000</v>
      </c>
      <c r="G636">
        <v>7</v>
      </c>
      <c r="H636" s="10">
        <v>46023</v>
      </c>
      <c r="I636" s="10">
        <v>46113</v>
      </c>
      <c r="J636" t="b">
        <v>0</v>
      </c>
      <c r="K636" s="11">
        <v>3.47</v>
      </c>
    </row>
    <row r="637" spans="1:11" x14ac:dyDescent="0.3">
      <c r="A637" t="s">
        <v>682</v>
      </c>
      <c r="B637" t="s">
        <v>65</v>
      </c>
      <c r="C637" t="s">
        <v>66</v>
      </c>
      <c r="D637" s="10">
        <v>45809</v>
      </c>
      <c r="E637" s="11">
        <v>28.2</v>
      </c>
      <c r="F637" s="12">
        <v>2002200</v>
      </c>
      <c r="G637">
        <v>9</v>
      </c>
      <c r="H637" s="10">
        <v>46082</v>
      </c>
      <c r="I637" s="10">
        <v>46447</v>
      </c>
      <c r="J637" t="b">
        <v>0</v>
      </c>
      <c r="K637" s="11">
        <v>12.39</v>
      </c>
    </row>
    <row r="638" spans="1:11" x14ac:dyDescent="0.3">
      <c r="A638" t="s">
        <v>683</v>
      </c>
      <c r="B638" t="s">
        <v>65</v>
      </c>
      <c r="C638" t="s">
        <v>66</v>
      </c>
      <c r="D638" s="10">
        <v>45809</v>
      </c>
      <c r="E638" s="11">
        <v>40.9</v>
      </c>
      <c r="F638" s="12">
        <v>2903900</v>
      </c>
      <c r="G638">
        <v>9</v>
      </c>
      <c r="H638" s="10">
        <v>46082</v>
      </c>
      <c r="I638" s="10">
        <v>46235</v>
      </c>
      <c r="J638" t="b">
        <v>0</v>
      </c>
      <c r="K638" s="11">
        <v>4.54</v>
      </c>
    </row>
    <row r="639" spans="1:11" x14ac:dyDescent="0.3">
      <c r="A639" t="s">
        <v>684</v>
      </c>
      <c r="B639" t="s">
        <v>65</v>
      </c>
      <c r="C639" t="s">
        <v>70</v>
      </c>
      <c r="D639" s="10">
        <v>45809</v>
      </c>
      <c r="E639" s="11">
        <v>17</v>
      </c>
      <c r="F639" s="12">
        <v>1428000</v>
      </c>
      <c r="G639">
        <v>10</v>
      </c>
      <c r="H639" s="10">
        <v>46113</v>
      </c>
      <c r="I639" s="10">
        <v>46113</v>
      </c>
      <c r="J639" t="b">
        <v>0</v>
      </c>
      <c r="K639" s="11">
        <v>0.05</v>
      </c>
    </row>
    <row r="640" spans="1:11" x14ac:dyDescent="0.3">
      <c r="A640" t="s">
        <v>685</v>
      </c>
      <c r="B640" t="s">
        <v>65</v>
      </c>
      <c r="C640" t="s">
        <v>70</v>
      </c>
      <c r="D640" s="10">
        <v>45809</v>
      </c>
      <c r="E640" s="11">
        <v>10.6</v>
      </c>
      <c r="F640" s="12">
        <v>890400</v>
      </c>
      <c r="G640">
        <v>7</v>
      </c>
      <c r="H640" s="10">
        <v>46023</v>
      </c>
      <c r="I640" s="10">
        <v>46082</v>
      </c>
      <c r="J640" t="b">
        <v>0</v>
      </c>
      <c r="K640" s="11">
        <v>1.57</v>
      </c>
    </row>
    <row r="641" spans="1:11" x14ac:dyDescent="0.3">
      <c r="A641" t="s">
        <v>686</v>
      </c>
      <c r="B641" t="s">
        <v>72</v>
      </c>
      <c r="C641" t="s">
        <v>72</v>
      </c>
      <c r="D641" s="10">
        <v>45809</v>
      </c>
      <c r="E641" s="11">
        <v>13.3</v>
      </c>
      <c r="F641" s="12">
        <v>1050700</v>
      </c>
      <c r="G641">
        <v>8</v>
      </c>
      <c r="H641" s="10">
        <v>46054</v>
      </c>
      <c r="I641" s="10">
        <v>46082</v>
      </c>
      <c r="J641" t="b">
        <v>0</v>
      </c>
      <c r="K641" s="11">
        <v>0.85</v>
      </c>
    </row>
    <row r="642" spans="1:11" x14ac:dyDescent="0.3">
      <c r="A642" t="s">
        <v>687</v>
      </c>
      <c r="B642" t="s">
        <v>42</v>
      </c>
      <c r="C642" t="s">
        <v>43</v>
      </c>
      <c r="D642" s="10">
        <v>45839</v>
      </c>
      <c r="E642" s="11">
        <v>16.5</v>
      </c>
      <c r="F642" s="12">
        <v>1369500</v>
      </c>
      <c r="G642">
        <v>9</v>
      </c>
      <c r="H642" s="10">
        <v>46113</v>
      </c>
      <c r="I642" s="10">
        <v>46204</v>
      </c>
      <c r="J642" t="b">
        <v>0</v>
      </c>
      <c r="K642" s="11">
        <v>2.78</v>
      </c>
    </row>
    <row r="643" spans="1:11" x14ac:dyDescent="0.3">
      <c r="A643" t="s">
        <v>688</v>
      </c>
      <c r="B643" t="s">
        <v>42</v>
      </c>
      <c r="C643" t="s">
        <v>43</v>
      </c>
      <c r="D643" s="10">
        <v>45839</v>
      </c>
      <c r="E643" s="11">
        <v>7.4</v>
      </c>
      <c r="F643" s="12">
        <v>614200</v>
      </c>
      <c r="G643">
        <v>11</v>
      </c>
      <c r="H643" s="10">
        <v>46174</v>
      </c>
      <c r="I643" s="10">
        <v>46204</v>
      </c>
      <c r="J643" t="b">
        <v>0</v>
      </c>
      <c r="K643" s="11">
        <v>0.74</v>
      </c>
    </row>
    <row r="644" spans="1:11" x14ac:dyDescent="0.3">
      <c r="A644" t="s">
        <v>689</v>
      </c>
      <c r="B644" t="s">
        <v>42</v>
      </c>
      <c r="C644" t="s">
        <v>43</v>
      </c>
      <c r="D644" s="10">
        <v>45839</v>
      </c>
      <c r="E644" s="11">
        <v>37.6</v>
      </c>
      <c r="F644" s="12">
        <v>3120800</v>
      </c>
      <c r="G644">
        <v>8</v>
      </c>
      <c r="H644" s="10">
        <v>46082</v>
      </c>
      <c r="I644" s="10">
        <v>46082</v>
      </c>
      <c r="J644" t="b">
        <v>0</v>
      </c>
      <c r="K644" s="11">
        <v>0</v>
      </c>
    </row>
    <row r="645" spans="1:11" x14ac:dyDescent="0.3">
      <c r="A645" t="s">
        <v>690</v>
      </c>
      <c r="B645" t="s">
        <v>42</v>
      </c>
      <c r="C645" t="s">
        <v>43</v>
      </c>
      <c r="D645" s="10">
        <v>45839</v>
      </c>
      <c r="E645" s="11">
        <v>15</v>
      </c>
      <c r="F645" s="12">
        <v>1245000</v>
      </c>
      <c r="G645">
        <v>9</v>
      </c>
      <c r="H645" s="10">
        <v>46113</v>
      </c>
      <c r="I645" s="10">
        <v>46113</v>
      </c>
      <c r="J645" t="b">
        <v>0</v>
      </c>
      <c r="K645" s="11">
        <v>0.22</v>
      </c>
    </row>
    <row r="646" spans="1:11" x14ac:dyDescent="0.3">
      <c r="A646" t="s">
        <v>691</v>
      </c>
      <c r="B646" t="s">
        <v>42</v>
      </c>
      <c r="C646" t="s">
        <v>43</v>
      </c>
      <c r="D646" s="10">
        <v>45839</v>
      </c>
      <c r="E646" s="11">
        <v>18.600000000000001</v>
      </c>
      <c r="F646" s="12">
        <v>1543800</v>
      </c>
      <c r="G646">
        <v>5</v>
      </c>
      <c r="H646" s="10">
        <v>45992</v>
      </c>
      <c r="I646" s="10">
        <v>45992</v>
      </c>
      <c r="J646" t="b">
        <v>0</v>
      </c>
      <c r="K646" s="11">
        <v>0.14000000000000001</v>
      </c>
    </row>
    <row r="647" spans="1:11" x14ac:dyDescent="0.3">
      <c r="A647" t="s">
        <v>692</v>
      </c>
      <c r="B647" t="s">
        <v>42</v>
      </c>
      <c r="C647" t="s">
        <v>43</v>
      </c>
      <c r="D647" s="10">
        <v>45839</v>
      </c>
      <c r="E647" s="11">
        <v>29</v>
      </c>
      <c r="F647" s="12">
        <v>2407000</v>
      </c>
      <c r="G647">
        <v>8</v>
      </c>
      <c r="H647" s="10">
        <v>46082</v>
      </c>
      <c r="I647" s="10">
        <v>46082</v>
      </c>
      <c r="J647" t="b">
        <v>0</v>
      </c>
      <c r="K647" s="11">
        <v>0.03</v>
      </c>
    </row>
    <row r="648" spans="1:11" x14ac:dyDescent="0.3">
      <c r="A648" t="s">
        <v>693</v>
      </c>
      <c r="B648" t="s">
        <v>42</v>
      </c>
      <c r="C648" t="s">
        <v>43</v>
      </c>
      <c r="D648" s="10">
        <v>45839</v>
      </c>
      <c r="E648" s="11">
        <v>139.30000000000001</v>
      </c>
      <c r="F648" s="12">
        <v>11561900</v>
      </c>
      <c r="G648">
        <v>6</v>
      </c>
      <c r="H648" s="10">
        <v>46023</v>
      </c>
      <c r="I648" s="10">
        <v>46082</v>
      </c>
      <c r="J648" t="b">
        <v>0</v>
      </c>
      <c r="K648" s="11">
        <v>2.38</v>
      </c>
    </row>
    <row r="649" spans="1:11" x14ac:dyDescent="0.3">
      <c r="A649" t="s">
        <v>694</v>
      </c>
      <c r="B649" t="s">
        <v>42</v>
      </c>
      <c r="C649" t="s">
        <v>43</v>
      </c>
      <c r="D649" s="10">
        <v>45839</v>
      </c>
      <c r="E649" s="11">
        <v>35.700000000000003</v>
      </c>
      <c r="F649" s="12">
        <v>2963100</v>
      </c>
      <c r="G649">
        <v>9</v>
      </c>
      <c r="H649" s="10">
        <v>46113</v>
      </c>
      <c r="I649" s="10">
        <v>46204</v>
      </c>
      <c r="J649" t="b">
        <v>0</v>
      </c>
      <c r="K649" s="11">
        <v>3.32</v>
      </c>
    </row>
    <row r="650" spans="1:11" x14ac:dyDescent="0.3">
      <c r="A650" t="s">
        <v>695</v>
      </c>
      <c r="B650" t="s">
        <v>42</v>
      </c>
      <c r="C650" t="s">
        <v>43</v>
      </c>
      <c r="D650" s="10">
        <v>45839</v>
      </c>
      <c r="E650" s="11">
        <v>15.2</v>
      </c>
      <c r="F650" s="12">
        <v>1261600</v>
      </c>
      <c r="G650">
        <v>10</v>
      </c>
      <c r="H650" s="10">
        <v>46143</v>
      </c>
      <c r="I650" s="10">
        <v>46143</v>
      </c>
      <c r="J650" t="b">
        <v>0</v>
      </c>
      <c r="K650" s="11">
        <v>0.03</v>
      </c>
    </row>
    <row r="651" spans="1:11" x14ac:dyDescent="0.3">
      <c r="A651" t="s">
        <v>696</v>
      </c>
      <c r="B651" t="s">
        <v>42</v>
      </c>
      <c r="C651" t="s">
        <v>43</v>
      </c>
      <c r="D651" s="10">
        <v>45839</v>
      </c>
      <c r="E651" s="11">
        <v>19.100000000000001</v>
      </c>
      <c r="F651" s="12">
        <v>1585300</v>
      </c>
      <c r="G651">
        <v>6</v>
      </c>
      <c r="H651" s="10">
        <v>46023</v>
      </c>
      <c r="I651" s="10">
        <v>46204</v>
      </c>
      <c r="J651" t="b">
        <v>0</v>
      </c>
      <c r="K651" s="11">
        <v>6.13</v>
      </c>
    </row>
    <row r="652" spans="1:11" x14ac:dyDescent="0.3">
      <c r="A652" t="s">
        <v>697</v>
      </c>
      <c r="B652" t="s">
        <v>42</v>
      </c>
      <c r="C652" t="s">
        <v>43</v>
      </c>
      <c r="D652" s="10">
        <v>45839</v>
      </c>
      <c r="E652" s="11">
        <v>2.2000000000000002</v>
      </c>
      <c r="F652" s="12">
        <v>182600</v>
      </c>
      <c r="G652">
        <v>6</v>
      </c>
      <c r="H652" s="10">
        <v>46023</v>
      </c>
      <c r="I652" s="10">
        <v>46054</v>
      </c>
      <c r="J652" t="b">
        <v>0</v>
      </c>
      <c r="K652" s="11">
        <v>0.56999999999999995</v>
      </c>
    </row>
    <row r="653" spans="1:11" x14ac:dyDescent="0.3">
      <c r="A653" t="s">
        <v>698</v>
      </c>
      <c r="B653" t="s">
        <v>42</v>
      </c>
      <c r="C653" t="s">
        <v>43</v>
      </c>
      <c r="D653" s="10">
        <v>45839</v>
      </c>
      <c r="E653" s="11">
        <v>22.4</v>
      </c>
      <c r="F653" s="12">
        <v>1859200</v>
      </c>
      <c r="G653">
        <v>7</v>
      </c>
      <c r="H653" s="10">
        <v>46054</v>
      </c>
      <c r="I653" s="10">
        <v>46054</v>
      </c>
      <c r="J653" t="b">
        <v>0</v>
      </c>
      <c r="K653" s="11">
        <v>0.08</v>
      </c>
    </row>
    <row r="654" spans="1:11" x14ac:dyDescent="0.3">
      <c r="A654" t="s">
        <v>699</v>
      </c>
      <c r="B654" t="s">
        <v>42</v>
      </c>
      <c r="C654" t="s">
        <v>43</v>
      </c>
      <c r="D654" s="10">
        <v>45839</v>
      </c>
      <c r="E654" s="11">
        <v>7.4</v>
      </c>
      <c r="F654" s="12">
        <v>614200</v>
      </c>
      <c r="G654">
        <v>5</v>
      </c>
      <c r="H654" s="10">
        <v>45992</v>
      </c>
      <c r="I654" s="10">
        <v>45992</v>
      </c>
      <c r="J654" t="b">
        <v>0</v>
      </c>
      <c r="K654" s="11">
        <v>0</v>
      </c>
    </row>
    <row r="655" spans="1:11" x14ac:dyDescent="0.3">
      <c r="A655" t="s">
        <v>700</v>
      </c>
      <c r="B655" t="s">
        <v>42</v>
      </c>
      <c r="C655" t="s">
        <v>43</v>
      </c>
      <c r="D655" s="10">
        <v>45839</v>
      </c>
      <c r="E655" s="11">
        <v>14.7</v>
      </c>
      <c r="F655" s="12">
        <v>1220100</v>
      </c>
      <c r="G655">
        <v>6</v>
      </c>
      <c r="H655" s="10">
        <v>46023</v>
      </c>
      <c r="I655" s="10">
        <v>46023</v>
      </c>
      <c r="J655" t="b">
        <v>0</v>
      </c>
      <c r="K655" s="11">
        <v>0.15</v>
      </c>
    </row>
    <row r="656" spans="1:11" x14ac:dyDescent="0.3">
      <c r="A656" t="s">
        <v>701</v>
      </c>
      <c r="B656" t="s">
        <v>42</v>
      </c>
      <c r="C656" t="s">
        <v>43</v>
      </c>
      <c r="D656" s="10">
        <v>45839</v>
      </c>
      <c r="E656" s="11">
        <v>12.9</v>
      </c>
      <c r="F656" s="12">
        <v>1070700</v>
      </c>
      <c r="G656">
        <v>6</v>
      </c>
      <c r="H656" s="10">
        <v>46023</v>
      </c>
      <c r="I656" s="10">
        <v>46023</v>
      </c>
      <c r="J656" t="b">
        <v>0</v>
      </c>
      <c r="K656" s="11">
        <v>0.28999999999999998</v>
      </c>
    </row>
    <row r="657" spans="1:11" x14ac:dyDescent="0.3">
      <c r="A657" t="s">
        <v>702</v>
      </c>
      <c r="B657" t="s">
        <v>42</v>
      </c>
      <c r="C657" t="s">
        <v>43</v>
      </c>
      <c r="D657" s="10">
        <v>45839</v>
      </c>
      <c r="E657" s="11">
        <v>33.200000000000003</v>
      </c>
      <c r="F657" s="12">
        <v>2755600</v>
      </c>
      <c r="G657">
        <v>7</v>
      </c>
      <c r="H657" s="10">
        <v>46054</v>
      </c>
      <c r="I657" s="10">
        <v>46143</v>
      </c>
      <c r="J657" t="b">
        <v>0</v>
      </c>
      <c r="K657" s="11">
        <v>2.62</v>
      </c>
    </row>
    <row r="658" spans="1:11" x14ac:dyDescent="0.3">
      <c r="A658" t="s">
        <v>703</v>
      </c>
      <c r="B658" t="s">
        <v>42</v>
      </c>
      <c r="C658" t="s">
        <v>43</v>
      </c>
      <c r="D658" s="10">
        <v>45839</v>
      </c>
      <c r="E658" s="11">
        <v>10.3</v>
      </c>
      <c r="F658" s="12">
        <v>854900.00000000012</v>
      </c>
      <c r="G658">
        <v>8</v>
      </c>
      <c r="H658" s="10">
        <v>46082</v>
      </c>
      <c r="I658" s="10">
        <v>46082</v>
      </c>
      <c r="J658" t="b">
        <v>0</v>
      </c>
      <c r="K658" s="11">
        <v>0.44</v>
      </c>
    </row>
    <row r="659" spans="1:11" x14ac:dyDescent="0.3">
      <c r="A659" t="s">
        <v>704</v>
      </c>
      <c r="B659" t="s">
        <v>42</v>
      </c>
      <c r="C659" t="s">
        <v>43</v>
      </c>
      <c r="D659" s="10">
        <v>45839</v>
      </c>
      <c r="E659" s="11">
        <v>7.2</v>
      </c>
      <c r="F659" s="12">
        <v>597600</v>
      </c>
      <c r="G659">
        <v>11</v>
      </c>
      <c r="H659" s="10">
        <v>46174</v>
      </c>
      <c r="I659" s="10">
        <v>46174</v>
      </c>
      <c r="J659" t="b">
        <v>0</v>
      </c>
      <c r="K659" s="11">
        <v>0</v>
      </c>
    </row>
    <row r="660" spans="1:11" x14ac:dyDescent="0.3">
      <c r="A660" t="s">
        <v>705</v>
      </c>
      <c r="B660" t="s">
        <v>42</v>
      </c>
      <c r="C660" t="s">
        <v>43</v>
      </c>
      <c r="D660" s="10">
        <v>45839</v>
      </c>
      <c r="E660" s="11">
        <v>9</v>
      </c>
      <c r="F660" s="12">
        <v>747000</v>
      </c>
      <c r="G660">
        <v>5</v>
      </c>
      <c r="H660" s="10">
        <v>45992</v>
      </c>
      <c r="I660" s="10">
        <v>45992</v>
      </c>
      <c r="J660" t="b">
        <v>0</v>
      </c>
      <c r="K660" s="11">
        <v>0</v>
      </c>
    </row>
    <row r="661" spans="1:11" x14ac:dyDescent="0.3">
      <c r="A661" t="s">
        <v>706</v>
      </c>
      <c r="B661" t="s">
        <v>42</v>
      </c>
      <c r="C661" t="s">
        <v>43</v>
      </c>
      <c r="D661" s="10">
        <v>45839</v>
      </c>
      <c r="E661" s="11">
        <v>5.7</v>
      </c>
      <c r="F661" s="12">
        <v>473100</v>
      </c>
      <c r="G661">
        <v>7</v>
      </c>
      <c r="H661" s="10">
        <v>46054</v>
      </c>
      <c r="I661" s="10">
        <v>46054</v>
      </c>
      <c r="J661" t="b">
        <v>0</v>
      </c>
      <c r="K661" s="11">
        <v>0.01</v>
      </c>
    </row>
    <row r="662" spans="1:11" x14ac:dyDescent="0.3">
      <c r="A662" t="s">
        <v>707</v>
      </c>
      <c r="B662" t="s">
        <v>42</v>
      </c>
      <c r="C662" t="s">
        <v>43</v>
      </c>
      <c r="D662" s="10">
        <v>45839</v>
      </c>
      <c r="E662" s="11">
        <v>9.6999999999999993</v>
      </c>
      <c r="F662" s="12">
        <v>805099.99999999988</v>
      </c>
      <c r="G662">
        <v>7</v>
      </c>
      <c r="H662" s="10">
        <v>46054</v>
      </c>
      <c r="I662" s="10">
        <v>46054</v>
      </c>
      <c r="J662" t="b">
        <v>0</v>
      </c>
      <c r="K662" s="11">
        <v>0.01</v>
      </c>
    </row>
    <row r="663" spans="1:11" x14ac:dyDescent="0.3">
      <c r="A663" t="s">
        <v>708</v>
      </c>
      <c r="B663" t="s">
        <v>42</v>
      </c>
      <c r="C663" t="s">
        <v>43</v>
      </c>
      <c r="D663" s="10">
        <v>45839</v>
      </c>
      <c r="E663" s="11">
        <v>10.6</v>
      </c>
      <c r="F663" s="12">
        <v>879800</v>
      </c>
      <c r="G663">
        <v>5</v>
      </c>
      <c r="H663" s="10">
        <v>45992</v>
      </c>
      <c r="I663" s="10">
        <v>45992</v>
      </c>
      <c r="J663" t="b">
        <v>0</v>
      </c>
      <c r="K663" s="11">
        <v>0.34</v>
      </c>
    </row>
    <row r="664" spans="1:11" x14ac:dyDescent="0.3">
      <c r="A664" t="s">
        <v>709</v>
      </c>
      <c r="B664" t="s">
        <v>42</v>
      </c>
      <c r="C664" t="s">
        <v>43</v>
      </c>
      <c r="D664" s="10">
        <v>45839</v>
      </c>
      <c r="E664" s="11">
        <v>10.5</v>
      </c>
      <c r="F664" s="12">
        <v>871500</v>
      </c>
      <c r="G664">
        <v>5</v>
      </c>
      <c r="H664" s="10">
        <v>45992</v>
      </c>
      <c r="I664" s="10">
        <v>45992</v>
      </c>
      <c r="J664" t="b">
        <v>0</v>
      </c>
      <c r="K664" s="11">
        <v>0.1</v>
      </c>
    </row>
    <row r="665" spans="1:11" x14ac:dyDescent="0.3">
      <c r="A665" t="s">
        <v>710</v>
      </c>
      <c r="B665" t="s">
        <v>42</v>
      </c>
      <c r="C665" t="s">
        <v>43</v>
      </c>
      <c r="D665" s="10">
        <v>45839</v>
      </c>
      <c r="E665" s="11">
        <v>19.399999999999999</v>
      </c>
      <c r="F665" s="12">
        <v>1610200</v>
      </c>
      <c r="G665">
        <v>5</v>
      </c>
      <c r="H665" s="10">
        <v>45992</v>
      </c>
      <c r="I665" s="10">
        <v>45992</v>
      </c>
      <c r="J665" t="b">
        <v>0</v>
      </c>
      <c r="K665" s="11">
        <v>0.04</v>
      </c>
    </row>
    <row r="666" spans="1:11" x14ac:dyDescent="0.3">
      <c r="A666" t="s">
        <v>711</v>
      </c>
      <c r="B666" t="s">
        <v>42</v>
      </c>
      <c r="C666" t="s">
        <v>43</v>
      </c>
      <c r="D666" s="10">
        <v>45839</v>
      </c>
      <c r="E666" s="11">
        <v>4.8</v>
      </c>
      <c r="F666" s="12">
        <v>398400</v>
      </c>
      <c r="G666">
        <v>9</v>
      </c>
      <c r="H666" s="10">
        <v>46113</v>
      </c>
      <c r="I666" s="10">
        <v>46113</v>
      </c>
      <c r="J666" t="b">
        <v>0</v>
      </c>
      <c r="K666" s="11">
        <v>0.28000000000000003</v>
      </c>
    </row>
    <row r="667" spans="1:11" x14ac:dyDescent="0.3">
      <c r="A667" t="s">
        <v>712</v>
      </c>
      <c r="B667" t="s">
        <v>42</v>
      </c>
      <c r="C667" t="s">
        <v>43</v>
      </c>
      <c r="D667" s="10">
        <v>45839</v>
      </c>
      <c r="E667" s="11">
        <v>20.5</v>
      </c>
      <c r="F667" s="12">
        <v>1701500</v>
      </c>
      <c r="G667">
        <v>11</v>
      </c>
      <c r="H667" s="10">
        <v>46174</v>
      </c>
      <c r="I667" s="10">
        <v>46174</v>
      </c>
      <c r="J667" t="b">
        <v>0</v>
      </c>
      <c r="K667" s="11">
        <v>0</v>
      </c>
    </row>
    <row r="668" spans="1:11" x14ac:dyDescent="0.3">
      <c r="A668" t="s">
        <v>713</v>
      </c>
      <c r="B668" t="s">
        <v>42</v>
      </c>
      <c r="C668" t="s">
        <v>43</v>
      </c>
      <c r="D668" s="10">
        <v>45839</v>
      </c>
      <c r="E668" s="11">
        <v>24</v>
      </c>
      <c r="F668" s="12">
        <v>1992000</v>
      </c>
      <c r="G668">
        <v>10</v>
      </c>
      <c r="H668" s="10">
        <v>46143</v>
      </c>
      <c r="I668" s="10">
        <v>46174</v>
      </c>
      <c r="J668" t="b">
        <v>0</v>
      </c>
      <c r="K668" s="11">
        <v>0.85</v>
      </c>
    </row>
    <row r="669" spans="1:11" x14ac:dyDescent="0.3">
      <c r="A669" t="s">
        <v>714</v>
      </c>
      <c r="B669" t="s">
        <v>42</v>
      </c>
      <c r="C669" t="s">
        <v>43</v>
      </c>
      <c r="D669" s="10">
        <v>45839</v>
      </c>
      <c r="E669" s="11">
        <v>31.3</v>
      </c>
      <c r="F669" s="12">
        <v>2597900</v>
      </c>
      <c r="G669">
        <v>8</v>
      </c>
      <c r="H669" s="10">
        <v>46082</v>
      </c>
      <c r="I669" s="10">
        <v>46082</v>
      </c>
      <c r="J669" t="b">
        <v>0</v>
      </c>
      <c r="K669" s="11">
        <v>0.4</v>
      </c>
    </row>
    <row r="670" spans="1:11" x14ac:dyDescent="0.3">
      <c r="A670" t="s">
        <v>715</v>
      </c>
      <c r="B670" t="s">
        <v>42</v>
      </c>
      <c r="C670" t="s">
        <v>43</v>
      </c>
      <c r="D670" s="10">
        <v>45839</v>
      </c>
      <c r="E670" s="11">
        <v>8.6</v>
      </c>
      <c r="F670" s="12">
        <v>713800</v>
      </c>
      <c r="G670">
        <v>10</v>
      </c>
      <c r="H670" s="10">
        <v>46143</v>
      </c>
      <c r="I670" s="10">
        <v>46143</v>
      </c>
      <c r="J670" t="b">
        <v>0</v>
      </c>
      <c r="K670" s="11">
        <v>0.01</v>
      </c>
    </row>
    <row r="671" spans="1:11" x14ac:dyDescent="0.3">
      <c r="A671" t="s">
        <v>716</v>
      </c>
      <c r="B671" t="s">
        <v>42</v>
      </c>
      <c r="C671" t="s">
        <v>43</v>
      </c>
      <c r="D671" s="10">
        <v>45839</v>
      </c>
      <c r="E671" s="11">
        <v>10</v>
      </c>
      <c r="F671" s="12">
        <v>830000</v>
      </c>
      <c r="G671">
        <v>5</v>
      </c>
      <c r="H671" s="10">
        <v>45992</v>
      </c>
      <c r="I671" s="10">
        <v>46023</v>
      </c>
      <c r="J671" t="b">
        <v>0</v>
      </c>
      <c r="K671" s="11">
        <v>0.88</v>
      </c>
    </row>
    <row r="672" spans="1:11" x14ac:dyDescent="0.3">
      <c r="A672" t="s">
        <v>717</v>
      </c>
      <c r="B672" t="s">
        <v>42</v>
      </c>
      <c r="C672" t="s">
        <v>43</v>
      </c>
      <c r="D672" s="10">
        <v>45839</v>
      </c>
      <c r="E672" s="11">
        <v>9.5</v>
      </c>
      <c r="F672" s="12">
        <v>788500</v>
      </c>
      <c r="G672">
        <v>10</v>
      </c>
      <c r="H672" s="10">
        <v>46143</v>
      </c>
      <c r="I672" s="10">
        <v>46143</v>
      </c>
      <c r="J672" t="b">
        <v>0</v>
      </c>
      <c r="K672" s="11">
        <v>0.1</v>
      </c>
    </row>
    <row r="673" spans="1:11" x14ac:dyDescent="0.3">
      <c r="A673" t="s">
        <v>718</v>
      </c>
      <c r="B673" t="s">
        <v>42</v>
      </c>
      <c r="C673" t="s">
        <v>43</v>
      </c>
      <c r="D673" s="10">
        <v>45839</v>
      </c>
      <c r="E673" s="11">
        <v>4.0999999999999996</v>
      </c>
      <c r="F673" s="12">
        <v>340299.99999999988</v>
      </c>
      <c r="G673">
        <v>11</v>
      </c>
      <c r="H673" s="10">
        <v>46174</v>
      </c>
      <c r="I673" s="10">
        <v>46174</v>
      </c>
      <c r="J673" t="b">
        <v>0</v>
      </c>
      <c r="K673" s="11">
        <v>0.08</v>
      </c>
    </row>
    <row r="674" spans="1:11" x14ac:dyDescent="0.3">
      <c r="A674" t="s">
        <v>719</v>
      </c>
      <c r="B674" t="s">
        <v>42</v>
      </c>
      <c r="C674" t="s">
        <v>43</v>
      </c>
      <c r="D674" s="10">
        <v>45839</v>
      </c>
      <c r="E674" s="11">
        <v>23.5</v>
      </c>
      <c r="F674" s="12">
        <v>1950500</v>
      </c>
      <c r="G674">
        <v>5</v>
      </c>
      <c r="H674" s="10">
        <v>45992</v>
      </c>
      <c r="I674" s="10">
        <v>45992</v>
      </c>
      <c r="J674" t="b">
        <v>0</v>
      </c>
      <c r="K674" s="11">
        <v>0.41</v>
      </c>
    </row>
    <row r="675" spans="1:11" x14ac:dyDescent="0.3">
      <c r="A675" t="s">
        <v>720</v>
      </c>
      <c r="B675" t="s">
        <v>42</v>
      </c>
      <c r="C675" t="s">
        <v>43</v>
      </c>
      <c r="D675" s="10">
        <v>45839</v>
      </c>
      <c r="E675" s="11">
        <v>36.6</v>
      </c>
      <c r="F675" s="12">
        <v>3037800</v>
      </c>
      <c r="G675">
        <v>8</v>
      </c>
      <c r="H675" s="10">
        <v>46082</v>
      </c>
      <c r="I675" s="10">
        <v>46082</v>
      </c>
      <c r="J675" t="b">
        <v>0</v>
      </c>
      <c r="K675" s="11">
        <v>0.11</v>
      </c>
    </row>
    <row r="676" spans="1:11" x14ac:dyDescent="0.3">
      <c r="A676" t="s">
        <v>721</v>
      </c>
      <c r="B676" t="s">
        <v>42</v>
      </c>
      <c r="C676" t="s">
        <v>43</v>
      </c>
      <c r="D676" s="10">
        <v>45839</v>
      </c>
      <c r="E676" s="11">
        <v>2.4</v>
      </c>
      <c r="F676" s="12">
        <v>199200</v>
      </c>
      <c r="G676">
        <v>9</v>
      </c>
      <c r="H676" s="10">
        <v>46113</v>
      </c>
      <c r="I676" s="10">
        <v>46266</v>
      </c>
      <c r="J676" t="b">
        <v>0</v>
      </c>
      <c r="K676" s="11">
        <v>5.13</v>
      </c>
    </row>
    <row r="677" spans="1:11" x14ac:dyDescent="0.3">
      <c r="A677" t="s">
        <v>722</v>
      </c>
      <c r="B677" t="s">
        <v>42</v>
      </c>
      <c r="C677" t="s">
        <v>43</v>
      </c>
      <c r="D677" s="10">
        <v>45839</v>
      </c>
      <c r="E677" s="11">
        <v>23.6</v>
      </c>
      <c r="F677" s="12">
        <v>1958800</v>
      </c>
      <c r="G677">
        <v>11</v>
      </c>
      <c r="H677" s="10">
        <v>46174</v>
      </c>
      <c r="I677" s="10">
        <v>46174</v>
      </c>
      <c r="J677" t="b">
        <v>0</v>
      </c>
      <c r="K677" s="11">
        <v>0.04</v>
      </c>
    </row>
    <row r="678" spans="1:11" x14ac:dyDescent="0.3">
      <c r="A678" t="s">
        <v>723</v>
      </c>
      <c r="B678" t="s">
        <v>42</v>
      </c>
      <c r="C678" t="s">
        <v>43</v>
      </c>
      <c r="D678" s="10">
        <v>45839</v>
      </c>
      <c r="E678" s="11">
        <v>30.4</v>
      </c>
      <c r="F678" s="12">
        <v>2523200</v>
      </c>
      <c r="G678">
        <v>9</v>
      </c>
      <c r="H678" s="10">
        <v>46113</v>
      </c>
      <c r="I678" s="10">
        <v>46235</v>
      </c>
      <c r="J678" t="b">
        <v>0</v>
      </c>
      <c r="K678" s="11">
        <v>3.87</v>
      </c>
    </row>
    <row r="679" spans="1:11" x14ac:dyDescent="0.3">
      <c r="A679" t="s">
        <v>724</v>
      </c>
      <c r="B679" t="s">
        <v>42</v>
      </c>
      <c r="C679" t="s">
        <v>43</v>
      </c>
      <c r="D679" s="10">
        <v>45839</v>
      </c>
      <c r="E679" s="11">
        <v>28.1</v>
      </c>
      <c r="F679" s="12">
        <v>2332300</v>
      </c>
      <c r="G679">
        <v>6</v>
      </c>
      <c r="H679" s="10">
        <v>46023</v>
      </c>
      <c r="I679" s="10">
        <v>46054</v>
      </c>
      <c r="J679" t="b">
        <v>0</v>
      </c>
      <c r="K679" s="11">
        <v>0.78</v>
      </c>
    </row>
    <row r="680" spans="1:11" x14ac:dyDescent="0.3">
      <c r="A680" t="s">
        <v>725</v>
      </c>
      <c r="B680" t="s">
        <v>56</v>
      </c>
      <c r="C680" t="s">
        <v>57</v>
      </c>
      <c r="D680" s="10">
        <v>45839</v>
      </c>
      <c r="E680" s="11">
        <v>18.899999999999999</v>
      </c>
      <c r="F680" s="12">
        <v>1663200</v>
      </c>
      <c r="G680">
        <v>5</v>
      </c>
      <c r="H680" s="10">
        <v>45992</v>
      </c>
      <c r="I680" s="10">
        <v>45992</v>
      </c>
      <c r="J680" t="b">
        <v>0</v>
      </c>
      <c r="K680" s="11">
        <v>0.32</v>
      </c>
    </row>
    <row r="681" spans="1:11" x14ac:dyDescent="0.3">
      <c r="A681" t="s">
        <v>726</v>
      </c>
      <c r="B681" t="s">
        <v>56</v>
      </c>
      <c r="C681" t="s">
        <v>57</v>
      </c>
      <c r="D681" s="10">
        <v>45839</v>
      </c>
      <c r="E681" s="11">
        <v>5.0999999999999996</v>
      </c>
      <c r="F681" s="12">
        <v>448800</v>
      </c>
      <c r="G681">
        <v>8</v>
      </c>
      <c r="H681" s="10">
        <v>46082</v>
      </c>
      <c r="I681" s="10">
        <v>46082</v>
      </c>
      <c r="J681" t="b">
        <v>0</v>
      </c>
      <c r="K681" s="11">
        <v>0.01</v>
      </c>
    </row>
    <row r="682" spans="1:11" x14ac:dyDescent="0.3">
      <c r="A682" t="s">
        <v>727</v>
      </c>
      <c r="B682" t="s">
        <v>56</v>
      </c>
      <c r="C682" t="s">
        <v>57</v>
      </c>
      <c r="D682" s="10">
        <v>45839</v>
      </c>
      <c r="E682" s="11">
        <v>13.9</v>
      </c>
      <c r="F682" s="12">
        <v>1223200</v>
      </c>
      <c r="G682">
        <v>11</v>
      </c>
      <c r="H682" s="10">
        <v>46174</v>
      </c>
      <c r="I682" s="10">
        <v>46266</v>
      </c>
      <c r="J682" t="b">
        <v>0</v>
      </c>
      <c r="K682" s="11">
        <v>2.87</v>
      </c>
    </row>
    <row r="683" spans="1:11" x14ac:dyDescent="0.3">
      <c r="A683" t="s">
        <v>728</v>
      </c>
      <c r="B683" t="s">
        <v>56</v>
      </c>
      <c r="C683" t="s">
        <v>57</v>
      </c>
      <c r="D683" s="10">
        <v>45839</v>
      </c>
      <c r="E683" s="11">
        <v>14</v>
      </c>
      <c r="F683" s="12">
        <v>1232000</v>
      </c>
      <c r="G683">
        <v>11</v>
      </c>
      <c r="H683" s="10">
        <v>46174</v>
      </c>
      <c r="I683" s="10">
        <v>46174</v>
      </c>
      <c r="J683" t="b">
        <v>0</v>
      </c>
      <c r="K683" s="11">
        <v>0.31</v>
      </c>
    </row>
    <row r="684" spans="1:11" x14ac:dyDescent="0.3">
      <c r="A684" t="s">
        <v>729</v>
      </c>
      <c r="B684" t="s">
        <v>56</v>
      </c>
      <c r="C684" t="s">
        <v>57</v>
      </c>
      <c r="D684" s="10">
        <v>45839</v>
      </c>
      <c r="E684" s="11">
        <v>40.6</v>
      </c>
      <c r="F684" s="12">
        <v>3572800</v>
      </c>
      <c r="G684">
        <v>7</v>
      </c>
      <c r="H684" s="10">
        <v>46054</v>
      </c>
      <c r="I684" s="10">
        <v>46082</v>
      </c>
      <c r="J684" t="b">
        <v>0</v>
      </c>
      <c r="K684" s="11">
        <v>0.75</v>
      </c>
    </row>
    <row r="685" spans="1:11" x14ac:dyDescent="0.3">
      <c r="A685" t="s">
        <v>730</v>
      </c>
      <c r="B685" t="s">
        <v>56</v>
      </c>
      <c r="C685" t="s">
        <v>62</v>
      </c>
      <c r="D685" s="10">
        <v>45839</v>
      </c>
      <c r="E685" s="11">
        <v>17.3</v>
      </c>
      <c r="F685" s="12">
        <v>1401300</v>
      </c>
      <c r="G685">
        <v>7</v>
      </c>
      <c r="H685" s="10">
        <v>46054</v>
      </c>
      <c r="I685" s="10">
        <v>46296</v>
      </c>
      <c r="J685" t="b">
        <v>0</v>
      </c>
      <c r="K685" s="11">
        <v>7.6</v>
      </c>
    </row>
    <row r="686" spans="1:11" x14ac:dyDescent="0.3">
      <c r="A686" t="s">
        <v>731</v>
      </c>
      <c r="B686" t="s">
        <v>56</v>
      </c>
      <c r="C686" t="s">
        <v>62</v>
      </c>
      <c r="D686" s="10">
        <v>45839</v>
      </c>
      <c r="E686" s="11">
        <v>15.7</v>
      </c>
      <c r="F686" s="12">
        <v>1271700</v>
      </c>
      <c r="G686">
        <v>9</v>
      </c>
      <c r="H686" s="10">
        <v>46113</v>
      </c>
      <c r="I686" s="10">
        <v>46357</v>
      </c>
      <c r="J686" t="b">
        <v>0</v>
      </c>
      <c r="K686" s="11">
        <v>7.84</v>
      </c>
    </row>
    <row r="687" spans="1:11" x14ac:dyDescent="0.3">
      <c r="A687" t="s">
        <v>732</v>
      </c>
      <c r="B687" t="s">
        <v>56</v>
      </c>
      <c r="C687" t="s">
        <v>62</v>
      </c>
      <c r="D687" s="10">
        <v>45839</v>
      </c>
      <c r="E687" s="11">
        <v>17.7</v>
      </c>
      <c r="F687" s="12">
        <v>1433700</v>
      </c>
      <c r="G687">
        <v>5</v>
      </c>
      <c r="H687" s="10">
        <v>45992</v>
      </c>
      <c r="I687" s="10">
        <v>46023</v>
      </c>
      <c r="J687" t="b">
        <v>0</v>
      </c>
      <c r="K687" s="11">
        <v>0.99</v>
      </c>
    </row>
    <row r="688" spans="1:11" x14ac:dyDescent="0.3">
      <c r="A688" t="s">
        <v>733</v>
      </c>
      <c r="B688" t="s">
        <v>56</v>
      </c>
      <c r="C688" t="s">
        <v>62</v>
      </c>
      <c r="D688" s="10">
        <v>45839</v>
      </c>
      <c r="E688" s="11">
        <v>7.6</v>
      </c>
      <c r="F688" s="12">
        <v>615600</v>
      </c>
      <c r="G688">
        <v>8</v>
      </c>
      <c r="H688" s="10">
        <v>46082</v>
      </c>
      <c r="I688" s="10">
        <v>46082</v>
      </c>
      <c r="J688" t="b">
        <v>0</v>
      </c>
      <c r="K688" s="11">
        <v>0.42</v>
      </c>
    </row>
    <row r="689" spans="1:11" x14ac:dyDescent="0.3">
      <c r="A689" t="s">
        <v>734</v>
      </c>
      <c r="B689" t="s">
        <v>72</v>
      </c>
      <c r="C689" t="s">
        <v>72</v>
      </c>
      <c r="D689" s="10">
        <v>45839</v>
      </c>
      <c r="E689" s="11">
        <v>7.5</v>
      </c>
      <c r="F689" s="12">
        <v>592500</v>
      </c>
      <c r="G689">
        <v>5</v>
      </c>
      <c r="H689" s="10">
        <v>45992</v>
      </c>
      <c r="I689" s="10">
        <v>45992</v>
      </c>
      <c r="J689" t="b">
        <v>0</v>
      </c>
      <c r="K689" s="11">
        <v>0.01</v>
      </c>
    </row>
    <row r="690" spans="1:11" x14ac:dyDescent="0.3">
      <c r="A690" t="s">
        <v>735</v>
      </c>
      <c r="B690" t="s">
        <v>42</v>
      </c>
      <c r="C690" t="s">
        <v>43</v>
      </c>
      <c r="D690" s="10">
        <v>45870</v>
      </c>
      <c r="E690" s="11">
        <v>22.2</v>
      </c>
      <c r="F690" s="12">
        <v>1842600</v>
      </c>
      <c r="G690">
        <v>5</v>
      </c>
      <c r="H690" s="10">
        <v>46023</v>
      </c>
      <c r="I690" s="10">
        <v>46023</v>
      </c>
      <c r="J690" t="b">
        <v>0</v>
      </c>
      <c r="K690" s="11">
        <v>7.0000000000000007E-2</v>
      </c>
    </row>
    <row r="691" spans="1:11" x14ac:dyDescent="0.3">
      <c r="A691" t="s">
        <v>736</v>
      </c>
      <c r="B691" t="s">
        <v>42</v>
      </c>
      <c r="C691" t="s">
        <v>43</v>
      </c>
      <c r="D691" s="10">
        <v>45870</v>
      </c>
      <c r="E691" s="11">
        <v>3.9</v>
      </c>
      <c r="F691" s="12">
        <v>323700</v>
      </c>
      <c r="G691">
        <v>7</v>
      </c>
      <c r="H691" s="10">
        <v>46082</v>
      </c>
      <c r="I691" s="10">
        <v>46082</v>
      </c>
      <c r="J691" t="b">
        <v>0</v>
      </c>
      <c r="K691" s="11">
        <v>0</v>
      </c>
    </row>
    <row r="692" spans="1:11" x14ac:dyDescent="0.3">
      <c r="A692" t="s">
        <v>737</v>
      </c>
      <c r="B692" t="s">
        <v>42</v>
      </c>
      <c r="C692" t="s">
        <v>43</v>
      </c>
      <c r="D692" s="10">
        <v>45870</v>
      </c>
      <c r="E692" s="11">
        <v>6.5</v>
      </c>
      <c r="F692" s="12">
        <v>539500</v>
      </c>
      <c r="G692">
        <v>6</v>
      </c>
      <c r="H692" s="10">
        <v>46054</v>
      </c>
      <c r="I692" s="10">
        <v>46054</v>
      </c>
      <c r="J692" t="b">
        <v>0</v>
      </c>
      <c r="K692" s="11">
        <v>0.06</v>
      </c>
    </row>
    <row r="693" spans="1:11" x14ac:dyDescent="0.3">
      <c r="A693" t="s">
        <v>738</v>
      </c>
      <c r="B693" t="s">
        <v>42</v>
      </c>
      <c r="C693" t="s">
        <v>43</v>
      </c>
      <c r="D693" s="10">
        <v>45870</v>
      </c>
      <c r="E693" s="11">
        <v>4.9000000000000004</v>
      </c>
      <c r="F693" s="12">
        <v>406700.00000000012</v>
      </c>
      <c r="G693">
        <v>7</v>
      </c>
      <c r="H693" s="10">
        <v>46082</v>
      </c>
      <c r="I693" s="10">
        <v>46113</v>
      </c>
      <c r="J693" t="b">
        <v>0</v>
      </c>
      <c r="K693" s="11">
        <v>0.54</v>
      </c>
    </row>
    <row r="694" spans="1:11" x14ac:dyDescent="0.3">
      <c r="A694" t="s">
        <v>739</v>
      </c>
      <c r="B694" t="s">
        <v>42</v>
      </c>
      <c r="C694" t="s">
        <v>43</v>
      </c>
      <c r="D694" s="10">
        <v>45870</v>
      </c>
      <c r="E694" s="11">
        <v>72.3</v>
      </c>
      <c r="F694" s="12">
        <v>6000900</v>
      </c>
      <c r="G694">
        <v>5</v>
      </c>
      <c r="H694" s="10">
        <v>46023</v>
      </c>
      <c r="I694" s="10">
        <v>46113</v>
      </c>
      <c r="J694" t="b">
        <v>0</v>
      </c>
      <c r="K694" s="11">
        <v>3.29</v>
      </c>
    </row>
    <row r="695" spans="1:11" x14ac:dyDescent="0.3">
      <c r="A695" t="s">
        <v>740</v>
      </c>
      <c r="B695" t="s">
        <v>42</v>
      </c>
      <c r="C695" t="s">
        <v>43</v>
      </c>
      <c r="D695" s="10">
        <v>45870</v>
      </c>
      <c r="E695" s="11">
        <v>24.9</v>
      </c>
      <c r="F695" s="12">
        <v>2066700</v>
      </c>
      <c r="G695">
        <v>5</v>
      </c>
      <c r="H695" s="10">
        <v>46023</v>
      </c>
      <c r="I695" s="10">
        <v>46023</v>
      </c>
      <c r="J695" t="b">
        <v>0</v>
      </c>
      <c r="K695" s="11">
        <v>0.34</v>
      </c>
    </row>
    <row r="696" spans="1:11" x14ac:dyDescent="0.3">
      <c r="A696" t="s">
        <v>741</v>
      </c>
      <c r="B696" t="s">
        <v>42</v>
      </c>
      <c r="C696" t="s">
        <v>43</v>
      </c>
      <c r="D696" s="10">
        <v>45870</v>
      </c>
      <c r="E696" s="11">
        <v>15.3</v>
      </c>
      <c r="F696" s="12">
        <v>1269900</v>
      </c>
      <c r="G696">
        <v>6</v>
      </c>
      <c r="H696" s="10">
        <v>46054</v>
      </c>
      <c r="I696" s="10">
        <v>46143</v>
      </c>
      <c r="J696" t="b">
        <v>0</v>
      </c>
      <c r="K696" s="11">
        <v>3.01</v>
      </c>
    </row>
    <row r="697" spans="1:11" x14ac:dyDescent="0.3">
      <c r="A697" t="s">
        <v>742</v>
      </c>
      <c r="B697" t="s">
        <v>42</v>
      </c>
      <c r="C697" t="s">
        <v>43</v>
      </c>
      <c r="D697" s="10">
        <v>45870</v>
      </c>
      <c r="E697" s="11">
        <v>19.600000000000001</v>
      </c>
      <c r="F697" s="12">
        <v>1626800</v>
      </c>
      <c r="G697">
        <v>7</v>
      </c>
      <c r="H697" s="10">
        <v>46082</v>
      </c>
      <c r="I697" s="10">
        <v>46082</v>
      </c>
      <c r="J697" t="b">
        <v>0</v>
      </c>
      <c r="K697" s="11">
        <v>0.24</v>
      </c>
    </row>
    <row r="698" spans="1:11" x14ac:dyDescent="0.3">
      <c r="A698" t="s">
        <v>743</v>
      </c>
      <c r="B698" t="s">
        <v>42</v>
      </c>
      <c r="C698" t="s">
        <v>43</v>
      </c>
      <c r="D698" s="10">
        <v>45870</v>
      </c>
      <c r="E698" s="11">
        <v>8.5</v>
      </c>
      <c r="F698" s="12">
        <v>705500</v>
      </c>
      <c r="G698">
        <v>5</v>
      </c>
      <c r="H698" s="10">
        <v>46023</v>
      </c>
      <c r="I698" s="10">
        <v>46023</v>
      </c>
      <c r="J698" t="b">
        <v>0</v>
      </c>
      <c r="K698" s="11">
        <v>0.24</v>
      </c>
    </row>
    <row r="699" spans="1:11" x14ac:dyDescent="0.3">
      <c r="A699" t="s">
        <v>744</v>
      </c>
      <c r="B699" t="s">
        <v>42</v>
      </c>
      <c r="C699" t="s">
        <v>43</v>
      </c>
      <c r="D699" s="10">
        <v>45870</v>
      </c>
      <c r="E699" s="11">
        <v>2.9</v>
      </c>
      <c r="F699" s="12">
        <v>240700</v>
      </c>
      <c r="G699">
        <v>8</v>
      </c>
      <c r="H699" s="10">
        <v>46113</v>
      </c>
      <c r="I699" s="10">
        <v>46235</v>
      </c>
      <c r="J699" t="b">
        <v>0</v>
      </c>
      <c r="K699" s="11">
        <v>4.21</v>
      </c>
    </row>
    <row r="700" spans="1:11" x14ac:dyDescent="0.3">
      <c r="A700" t="s">
        <v>745</v>
      </c>
      <c r="B700" t="s">
        <v>42</v>
      </c>
      <c r="C700" t="s">
        <v>43</v>
      </c>
      <c r="D700" s="10">
        <v>45870</v>
      </c>
      <c r="E700" s="11">
        <v>20.399999999999999</v>
      </c>
      <c r="F700" s="12">
        <v>1693200</v>
      </c>
      <c r="G700">
        <v>5</v>
      </c>
      <c r="H700" s="10">
        <v>46023</v>
      </c>
      <c r="I700" s="10">
        <v>46023</v>
      </c>
      <c r="J700" t="b">
        <v>0</v>
      </c>
      <c r="K700" s="11">
        <v>0.09</v>
      </c>
    </row>
    <row r="701" spans="1:11" x14ac:dyDescent="0.3">
      <c r="A701" t="s">
        <v>746</v>
      </c>
      <c r="B701" t="s">
        <v>42</v>
      </c>
      <c r="C701" t="s">
        <v>43</v>
      </c>
      <c r="D701" s="10">
        <v>45870</v>
      </c>
      <c r="E701" s="11">
        <v>8.8000000000000007</v>
      </c>
      <c r="F701" s="12">
        <v>730400.00000000012</v>
      </c>
      <c r="G701">
        <v>6</v>
      </c>
      <c r="H701" s="10">
        <v>46054</v>
      </c>
      <c r="I701" s="10">
        <v>46082</v>
      </c>
      <c r="J701" t="b">
        <v>0</v>
      </c>
      <c r="K701" s="11">
        <v>1.48</v>
      </c>
    </row>
    <row r="702" spans="1:11" x14ac:dyDescent="0.3">
      <c r="A702" t="s">
        <v>747</v>
      </c>
      <c r="B702" t="s">
        <v>42</v>
      </c>
      <c r="C702" t="s">
        <v>43</v>
      </c>
      <c r="D702" s="10">
        <v>45870</v>
      </c>
      <c r="E702" s="11">
        <v>10.4</v>
      </c>
      <c r="F702" s="12">
        <v>863200</v>
      </c>
      <c r="G702">
        <v>11</v>
      </c>
      <c r="H702" s="10">
        <v>46204</v>
      </c>
      <c r="I702" s="10">
        <v>46204</v>
      </c>
      <c r="J702" t="b">
        <v>0</v>
      </c>
      <c r="K702" s="11">
        <v>0.02</v>
      </c>
    </row>
    <row r="703" spans="1:11" x14ac:dyDescent="0.3">
      <c r="A703" t="s">
        <v>748</v>
      </c>
      <c r="B703" t="s">
        <v>42</v>
      </c>
      <c r="C703" t="s">
        <v>43</v>
      </c>
      <c r="D703" s="10">
        <v>45870</v>
      </c>
      <c r="E703" s="11">
        <v>8.6</v>
      </c>
      <c r="F703" s="12">
        <v>713800</v>
      </c>
      <c r="G703">
        <v>8</v>
      </c>
      <c r="H703" s="10">
        <v>46113</v>
      </c>
      <c r="I703" s="10">
        <v>46113</v>
      </c>
      <c r="J703" t="b">
        <v>0</v>
      </c>
      <c r="K703" s="11">
        <v>0.45</v>
      </c>
    </row>
    <row r="704" spans="1:11" x14ac:dyDescent="0.3">
      <c r="A704" t="s">
        <v>749</v>
      </c>
      <c r="B704" t="s">
        <v>42</v>
      </c>
      <c r="C704" t="s">
        <v>43</v>
      </c>
      <c r="D704" s="10">
        <v>45870</v>
      </c>
      <c r="E704" s="11">
        <v>23.5</v>
      </c>
      <c r="F704" s="12">
        <v>1950500</v>
      </c>
      <c r="G704">
        <v>9</v>
      </c>
      <c r="H704" s="10">
        <v>46143</v>
      </c>
      <c r="I704" s="10">
        <v>46143</v>
      </c>
      <c r="J704" t="b">
        <v>0</v>
      </c>
      <c r="K704" s="11">
        <v>0.45</v>
      </c>
    </row>
    <row r="705" spans="1:11" x14ac:dyDescent="0.3">
      <c r="A705" t="s">
        <v>750</v>
      </c>
      <c r="B705" t="s">
        <v>42</v>
      </c>
      <c r="C705" t="s">
        <v>43</v>
      </c>
      <c r="D705" s="10">
        <v>45870</v>
      </c>
      <c r="E705" s="11">
        <v>19.100000000000001</v>
      </c>
      <c r="F705" s="12">
        <v>1585300</v>
      </c>
      <c r="G705">
        <v>5</v>
      </c>
      <c r="H705" s="10">
        <v>46023</v>
      </c>
      <c r="I705" s="10">
        <v>46023</v>
      </c>
      <c r="J705" t="b">
        <v>0</v>
      </c>
      <c r="K705" s="11">
        <v>0.01</v>
      </c>
    </row>
    <row r="706" spans="1:11" x14ac:dyDescent="0.3">
      <c r="A706" t="s">
        <v>751</v>
      </c>
      <c r="B706" t="s">
        <v>42</v>
      </c>
      <c r="C706" t="s">
        <v>43</v>
      </c>
      <c r="D706" s="10">
        <v>45870</v>
      </c>
      <c r="E706" s="11">
        <v>2.8</v>
      </c>
      <c r="F706" s="12">
        <v>232400</v>
      </c>
      <c r="G706">
        <v>8</v>
      </c>
      <c r="H706" s="10">
        <v>46113</v>
      </c>
      <c r="I706" s="10">
        <v>46113</v>
      </c>
      <c r="J706" t="b">
        <v>0</v>
      </c>
      <c r="K706" s="11">
        <v>0.06</v>
      </c>
    </row>
    <row r="707" spans="1:11" x14ac:dyDescent="0.3">
      <c r="A707" t="s">
        <v>752</v>
      </c>
      <c r="B707" t="s">
        <v>42</v>
      </c>
      <c r="C707" t="s">
        <v>43</v>
      </c>
      <c r="D707" s="10">
        <v>45870</v>
      </c>
      <c r="E707" s="11">
        <v>18.2</v>
      </c>
      <c r="F707" s="12">
        <v>1510600</v>
      </c>
      <c r="G707">
        <v>9</v>
      </c>
      <c r="H707" s="10">
        <v>46143</v>
      </c>
      <c r="I707" s="10">
        <v>46143</v>
      </c>
      <c r="J707" t="b">
        <v>0</v>
      </c>
      <c r="K707" s="11">
        <v>7.0000000000000007E-2</v>
      </c>
    </row>
    <row r="708" spans="1:11" x14ac:dyDescent="0.3">
      <c r="A708" t="s">
        <v>753</v>
      </c>
      <c r="B708" t="s">
        <v>42</v>
      </c>
      <c r="C708" t="s">
        <v>43</v>
      </c>
      <c r="D708" s="10">
        <v>45870</v>
      </c>
      <c r="E708" s="11">
        <v>2.7</v>
      </c>
      <c r="F708" s="12">
        <v>224100</v>
      </c>
      <c r="G708">
        <v>11</v>
      </c>
      <c r="H708" s="10">
        <v>46204</v>
      </c>
      <c r="I708" s="10">
        <v>46204</v>
      </c>
      <c r="J708" t="b">
        <v>0</v>
      </c>
      <c r="K708" s="11">
        <v>0.02</v>
      </c>
    </row>
    <row r="709" spans="1:11" x14ac:dyDescent="0.3">
      <c r="A709" t="s">
        <v>754</v>
      </c>
      <c r="B709" t="s">
        <v>42</v>
      </c>
      <c r="C709" t="s">
        <v>43</v>
      </c>
      <c r="D709" s="10">
        <v>45870</v>
      </c>
      <c r="E709" s="11">
        <v>13.9</v>
      </c>
      <c r="F709" s="12">
        <v>1153700</v>
      </c>
      <c r="G709">
        <v>9</v>
      </c>
      <c r="H709" s="10">
        <v>46143</v>
      </c>
      <c r="I709" s="10">
        <v>46143</v>
      </c>
      <c r="J709" t="b">
        <v>0</v>
      </c>
      <c r="K709" s="11">
        <v>0</v>
      </c>
    </row>
    <row r="710" spans="1:11" x14ac:dyDescent="0.3">
      <c r="A710" t="s">
        <v>755</v>
      </c>
      <c r="B710" t="s">
        <v>42</v>
      </c>
      <c r="C710" t="s">
        <v>43</v>
      </c>
      <c r="D710" s="10">
        <v>45870</v>
      </c>
      <c r="E710" s="11">
        <v>10.9</v>
      </c>
      <c r="F710" s="12">
        <v>904700</v>
      </c>
      <c r="G710">
        <v>8</v>
      </c>
      <c r="H710" s="10">
        <v>46113</v>
      </c>
      <c r="I710" s="10">
        <v>46113</v>
      </c>
      <c r="J710" t="b">
        <v>0</v>
      </c>
      <c r="K710" s="11">
        <v>0</v>
      </c>
    </row>
    <row r="711" spans="1:11" x14ac:dyDescent="0.3">
      <c r="A711" t="s">
        <v>756</v>
      </c>
      <c r="B711" t="s">
        <v>42</v>
      </c>
      <c r="C711" t="s">
        <v>43</v>
      </c>
      <c r="D711" s="10">
        <v>45870</v>
      </c>
      <c r="E711" s="11">
        <v>7.7</v>
      </c>
      <c r="F711" s="12">
        <v>639100</v>
      </c>
      <c r="G711">
        <v>11</v>
      </c>
      <c r="H711" s="10">
        <v>46204</v>
      </c>
      <c r="I711" s="10">
        <v>46204</v>
      </c>
      <c r="J711" t="b">
        <v>0</v>
      </c>
      <c r="K711" s="11">
        <v>0</v>
      </c>
    </row>
    <row r="712" spans="1:11" x14ac:dyDescent="0.3">
      <c r="A712" t="s">
        <v>757</v>
      </c>
      <c r="B712" t="s">
        <v>42</v>
      </c>
      <c r="C712" t="s">
        <v>43</v>
      </c>
      <c r="D712" s="10">
        <v>45870</v>
      </c>
      <c r="E712" s="11">
        <v>12.1</v>
      </c>
      <c r="F712" s="12">
        <v>1004300</v>
      </c>
      <c r="G712">
        <v>8</v>
      </c>
      <c r="H712" s="10">
        <v>46113</v>
      </c>
      <c r="I712" s="10">
        <v>46143</v>
      </c>
      <c r="J712" t="b">
        <v>0</v>
      </c>
      <c r="K712" s="11">
        <v>0.74</v>
      </c>
    </row>
    <row r="713" spans="1:11" x14ac:dyDescent="0.3">
      <c r="A713" t="s">
        <v>758</v>
      </c>
      <c r="B713" t="s">
        <v>42</v>
      </c>
      <c r="C713" t="s">
        <v>43</v>
      </c>
      <c r="D713" s="10">
        <v>45870</v>
      </c>
      <c r="E713" s="11">
        <v>9.1</v>
      </c>
      <c r="F713" s="12">
        <v>755300</v>
      </c>
      <c r="G713">
        <v>8</v>
      </c>
      <c r="H713" s="10">
        <v>46113</v>
      </c>
      <c r="I713" s="10">
        <v>46113</v>
      </c>
      <c r="J713" t="b">
        <v>0</v>
      </c>
      <c r="K713" s="11">
        <v>0</v>
      </c>
    </row>
    <row r="714" spans="1:11" x14ac:dyDescent="0.3">
      <c r="A714" t="s">
        <v>759</v>
      </c>
      <c r="B714" t="s">
        <v>42</v>
      </c>
      <c r="C714" t="s">
        <v>43</v>
      </c>
      <c r="D714" s="10">
        <v>45870</v>
      </c>
      <c r="E714" s="11">
        <v>16.399999999999999</v>
      </c>
      <c r="F714" s="12">
        <v>1361200</v>
      </c>
      <c r="G714">
        <v>5</v>
      </c>
      <c r="H714" s="10">
        <v>46023</v>
      </c>
      <c r="I714" s="10">
        <v>46023</v>
      </c>
      <c r="J714" t="b">
        <v>0</v>
      </c>
      <c r="K714" s="11">
        <v>0.15</v>
      </c>
    </row>
    <row r="715" spans="1:11" x14ac:dyDescent="0.3">
      <c r="A715" t="s">
        <v>760</v>
      </c>
      <c r="B715" t="s">
        <v>42</v>
      </c>
      <c r="C715" t="s">
        <v>43</v>
      </c>
      <c r="D715" s="10">
        <v>45870</v>
      </c>
      <c r="E715" s="11">
        <v>24.3</v>
      </c>
      <c r="F715" s="12">
        <v>2016900</v>
      </c>
      <c r="G715">
        <v>9</v>
      </c>
      <c r="H715" s="10">
        <v>46143</v>
      </c>
      <c r="I715" s="10">
        <v>46143</v>
      </c>
      <c r="J715" t="b">
        <v>0</v>
      </c>
      <c r="K715" s="11">
        <v>0</v>
      </c>
    </row>
    <row r="716" spans="1:11" x14ac:dyDescent="0.3">
      <c r="A716" t="s">
        <v>761</v>
      </c>
      <c r="B716" t="s">
        <v>42</v>
      </c>
      <c r="C716" t="s">
        <v>43</v>
      </c>
      <c r="D716" s="10">
        <v>45870</v>
      </c>
      <c r="E716" s="11">
        <v>8.8000000000000007</v>
      </c>
      <c r="F716" s="12">
        <v>730400.00000000012</v>
      </c>
      <c r="G716">
        <v>8</v>
      </c>
      <c r="H716" s="10">
        <v>46113</v>
      </c>
      <c r="I716" s="10">
        <v>46113</v>
      </c>
      <c r="J716" t="b">
        <v>0</v>
      </c>
      <c r="K716" s="11">
        <v>0</v>
      </c>
    </row>
    <row r="717" spans="1:11" x14ac:dyDescent="0.3">
      <c r="A717" t="s">
        <v>762</v>
      </c>
      <c r="B717" t="s">
        <v>42</v>
      </c>
      <c r="C717" t="s">
        <v>43</v>
      </c>
      <c r="D717" s="10">
        <v>45870</v>
      </c>
      <c r="E717" s="11">
        <v>64.900000000000006</v>
      </c>
      <c r="F717" s="12">
        <v>5386700.0000000009</v>
      </c>
      <c r="G717">
        <v>9</v>
      </c>
      <c r="H717" s="10">
        <v>46143</v>
      </c>
      <c r="I717" s="10">
        <v>46143</v>
      </c>
      <c r="J717" t="b">
        <v>0</v>
      </c>
      <c r="K717" s="11">
        <v>0.01</v>
      </c>
    </row>
    <row r="718" spans="1:11" x14ac:dyDescent="0.3">
      <c r="A718" t="s">
        <v>763</v>
      </c>
      <c r="B718" t="s">
        <v>42</v>
      </c>
      <c r="C718" t="s">
        <v>43</v>
      </c>
      <c r="D718" s="10">
        <v>45870</v>
      </c>
      <c r="E718" s="11">
        <v>7.1</v>
      </c>
      <c r="F718" s="12">
        <v>589300</v>
      </c>
      <c r="G718">
        <v>6</v>
      </c>
      <c r="H718" s="10">
        <v>46054</v>
      </c>
      <c r="I718" s="10">
        <v>46054</v>
      </c>
      <c r="J718" t="b">
        <v>0</v>
      </c>
      <c r="K718" s="11">
        <v>0</v>
      </c>
    </row>
    <row r="719" spans="1:11" x14ac:dyDescent="0.3">
      <c r="A719" t="s">
        <v>764</v>
      </c>
      <c r="B719" t="s">
        <v>42</v>
      </c>
      <c r="C719" t="s">
        <v>43</v>
      </c>
      <c r="D719" s="10">
        <v>45870</v>
      </c>
      <c r="E719" s="11">
        <v>10.199999999999999</v>
      </c>
      <c r="F719" s="12">
        <v>846599.99999999988</v>
      </c>
      <c r="G719">
        <v>7</v>
      </c>
      <c r="H719" s="10">
        <v>46082</v>
      </c>
      <c r="I719" s="10">
        <v>46143</v>
      </c>
      <c r="J719" t="b">
        <v>0</v>
      </c>
      <c r="K719" s="11">
        <v>1.68</v>
      </c>
    </row>
    <row r="720" spans="1:11" x14ac:dyDescent="0.3">
      <c r="A720" t="s">
        <v>765</v>
      </c>
      <c r="B720" t="s">
        <v>42</v>
      </c>
      <c r="C720" t="s">
        <v>43</v>
      </c>
      <c r="D720" s="10">
        <v>45870</v>
      </c>
      <c r="E720" s="11">
        <v>16.5</v>
      </c>
      <c r="F720" s="12">
        <v>1369500</v>
      </c>
      <c r="G720">
        <v>8</v>
      </c>
      <c r="H720" s="10">
        <v>46113</v>
      </c>
      <c r="I720" s="10">
        <v>46143</v>
      </c>
      <c r="J720" t="b">
        <v>0</v>
      </c>
      <c r="K720" s="11">
        <v>0.7</v>
      </c>
    </row>
    <row r="721" spans="1:11" x14ac:dyDescent="0.3">
      <c r="A721" t="s">
        <v>766</v>
      </c>
      <c r="B721" t="s">
        <v>42</v>
      </c>
      <c r="C721" t="s">
        <v>43</v>
      </c>
      <c r="D721" s="10">
        <v>45870</v>
      </c>
      <c r="E721" s="11">
        <v>60</v>
      </c>
      <c r="F721" s="12">
        <v>4980000</v>
      </c>
      <c r="G721">
        <v>10</v>
      </c>
      <c r="H721" s="10">
        <v>46174</v>
      </c>
      <c r="I721" s="10">
        <v>46235</v>
      </c>
      <c r="J721" t="b">
        <v>0</v>
      </c>
      <c r="K721" s="11">
        <v>2.35</v>
      </c>
    </row>
    <row r="722" spans="1:11" x14ac:dyDescent="0.3">
      <c r="A722" t="s">
        <v>767</v>
      </c>
      <c r="B722" t="s">
        <v>42</v>
      </c>
      <c r="C722" t="s">
        <v>43</v>
      </c>
      <c r="D722" s="10">
        <v>45870</v>
      </c>
      <c r="E722" s="11">
        <v>9.1</v>
      </c>
      <c r="F722" s="12">
        <v>755300</v>
      </c>
      <c r="G722">
        <v>10</v>
      </c>
      <c r="H722" s="10">
        <v>46174</v>
      </c>
      <c r="I722" s="10">
        <v>46174</v>
      </c>
      <c r="J722" t="b">
        <v>0</v>
      </c>
      <c r="K722" s="11">
        <v>0.11</v>
      </c>
    </row>
    <row r="723" spans="1:11" x14ac:dyDescent="0.3">
      <c r="A723" t="s">
        <v>768</v>
      </c>
      <c r="B723" t="s">
        <v>42</v>
      </c>
      <c r="C723" t="s">
        <v>43</v>
      </c>
      <c r="D723" s="10">
        <v>45870</v>
      </c>
      <c r="E723" s="11">
        <v>21.2</v>
      </c>
      <c r="F723" s="12">
        <v>1759600</v>
      </c>
      <c r="G723">
        <v>9</v>
      </c>
      <c r="H723" s="10">
        <v>46143</v>
      </c>
      <c r="I723" s="10">
        <v>46143</v>
      </c>
      <c r="J723" t="b">
        <v>0</v>
      </c>
      <c r="K723" s="11">
        <v>0.08</v>
      </c>
    </row>
    <row r="724" spans="1:11" x14ac:dyDescent="0.3">
      <c r="A724" t="s">
        <v>769</v>
      </c>
      <c r="B724" t="s">
        <v>42</v>
      </c>
      <c r="C724" t="s">
        <v>43</v>
      </c>
      <c r="D724" s="10">
        <v>45870</v>
      </c>
      <c r="E724" s="11">
        <v>27.2</v>
      </c>
      <c r="F724" s="12">
        <v>2257600</v>
      </c>
      <c r="G724">
        <v>7</v>
      </c>
      <c r="H724" s="10">
        <v>46082</v>
      </c>
      <c r="I724" s="10">
        <v>46082</v>
      </c>
      <c r="J724" t="b">
        <v>0</v>
      </c>
      <c r="K724" s="11">
        <v>0.02</v>
      </c>
    </row>
    <row r="725" spans="1:11" x14ac:dyDescent="0.3">
      <c r="A725" t="s">
        <v>770</v>
      </c>
      <c r="B725" t="s">
        <v>56</v>
      </c>
      <c r="C725" t="s">
        <v>57</v>
      </c>
      <c r="D725" s="10">
        <v>45870</v>
      </c>
      <c r="E725" s="11">
        <v>29.9</v>
      </c>
      <c r="F725" s="12">
        <v>2631200</v>
      </c>
      <c r="G725">
        <v>11</v>
      </c>
      <c r="H725" s="10">
        <v>46204</v>
      </c>
      <c r="I725" s="10">
        <v>46204</v>
      </c>
      <c r="J725" t="b">
        <v>0</v>
      </c>
      <c r="K725" s="11">
        <v>0.34</v>
      </c>
    </row>
    <row r="726" spans="1:11" x14ac:dyDescent="0.3">
      <c r="A726" t="s">
        <v>771</v>
      </c>
      <c r="B726" t="s">
        <v>56</v>
      </c>
      <c r="C726" t="s">
        <v>57</v>
      </c>
      <c r="D726" s="10">
        <v>45870</v>
      </c>
      <c r="E726" s="11">
        <v>2.2000000000000002</v>
      </c>
      <c r="F726" s="12">
        <v>193600</v>
      </c>
      <c r="G726">
        <v>11</v>
      </c>
      <c r="H726" s="10">
        <v>46204</v>
      </c>
      <c r="I726" s="10">
        <v>46204</v>
      </c>
      <c r="J726" t="b">
        <v>0</v>
      </c>
      <c r="K726" s="11">
        <v>0.38</v>
      </c>
    </row>
    <row r="727" spans="1:11" x14ac:dyDescent="0.3">
      <c r="A727" t="s">
        <v>772</v>
      </c>
      <c r="B727" t="s">
        <v>56</v>
      </c>
      <c r="C727" t="s">
        <v>57</v>
      </c>
      <c r="D727" s="10">
        <v>45870</v>
      </c>
      <c r="E727" s="11">
        <v>10.6</v>
      </c>
      <c r="F727" s="12">
        <v>932800</v>
      </c>
      <c r="G727">
        <v>6</v>
      </c>
      <c r="H727" s="10">
        <v>46054</v>
      </c>
      <c r="I727" s="10">
        <v>46447</v>
      </c>
      <c r="J727" t="b">
        <v>0</v>
      </c>
      <c r="K727" s="11">
        <v>13.25</v>
      </c>
    </row>
    <row r="728" spans="1:11" x14ac:dyDescent="0.3">
      <c r="A728" t="s">
        <v>773</v>
      </c>
      <c r="B728" t="s">
        <v>56</v>
      </c>
      <c r="C728" t="s">
        <v>57</v>
      </c>
      <c r="D728" s="10">
        <v>45870</v>
      </c>
      <c r="E728" s="11">
        <v>23.8</v>
      </c>
      <c r="F728" s="12">
        <v>2094400</v>
      </c>
      <c r="G728">
        <v>11</v>
      </c>
      <c r="H728" s="10">
        <v>46204</v>
      </c>
      <c r="I728" s="10">
        <v>46296</v>
      </c>
      <c r="J728" t="b">
        <v>0</v>
      </c>
      <c r="K728" s="11">
        <v>3.23</v>
      </c>
    </row>
    <row r="729" spans="1:11" x14ac:dyDescent="0.3">
      <c r="A729" t="s">
        <v>774</v>
      </c>
      <c r="B729" t="s">
        <v>56</v>
      </c>
      <c r="C729" t="s">
        <v>62</v>
      </c>
      <c r="D729" s="10">
        <v>45870</v>
      </c>
      <c r="E729" s="11">
        <v>18.5</v>
      </c>
      <c r="F729" s="12">
        <v>1498500</v>
      </c>
      <c r="G729">
        <v>7</v>
      </c>
      <c r="H729" s="10">
        <v>46082</v>
      </c>
      <c r="I729" s="10">
        <v>46113</v>
      </c>
      <c r="J729" t="b">
        <v>0</v>
      </c>
      <c r="K729" s="11">
        <v>1.06</v>
      </c>
    </row>
    <row r="730" spans="1:11" x14ac:dyDescent="0.3">
      <c r="A730" t="s">
        <v>775</v>
      </c>
      <c r="B730" t="s">
        <v>56</v>
      </c>
      <c r="C730" t="s">
        <v>62</v>
      </c>
      <c r="D730" s="10">
        <v>45870</v>
      </c>
      <c r="E730" s="11">
        <v>23</v>
      </c>
      <c r="F730" s="12">
        <v>1863000</v>
      </c>
      <c r="G730">
        <v>6</v>
      </c>
      <c r="H730" s="10">
        <v>46054</v>
      </c>
      <c r="I730" s="10">
        <v>46082</v>
      </c>
      <c r="J730" t="b">
        <v>0</v>
      </c>
      <c r="K730" s="11">
        <v>0.53</v>
      </c>
    </row>
    <row r="731" spans="1:11" x14ac:dyDescent="0.3">
      <c r="A731" t="s">
        <v>776</v>
      </c>
      <c r="B731" t="s">
        <v>56</v>
      </c>
      <c r="C731" t="s">
        <v>62</v>
      </c>
      <c r="D731" s="10">
        <v>45870</v>
      </c>
      <c r="E731" s="11">
        <v>9.3000000000000007</v>
      </c>
      <c r="F731" s="12">
        <v>753300</v>
      </c>
      <c r="G731">
        <v>11</v>
      </c>
      <c r="H731" s="10">
        <v>46204</v>
      </c>
      <c r="I731" s="10">
        <v>46235</v>
      </c>
      <c r="J731" t="b">
        <v>0</v>
      </c>
      <c r="K731" s="11">
        <v>0.91</v>
      </c>
    </row>
    <row r="732" spans="1:11" x14ac:dyDescent="0.3">
      <c r="A732" t="s">
        <v>777</v>
      </c>
      <c r="B732" t="s">
        <v>56</v>
      </c>
      <c r="C732" t="s">
        <v>62</v>
      </c>
      <c r="D732" s="10">
        <v>45870</v>
      </c>
      <c r="E732" s="11">
        <v>83.9</v>
      </c>
      <c r="F732" s="12">
        <v>6795900</v>
      </c>
      <c r="G732">
        <v>7</v>
      </c>
      <c r="H732" s="10">
        <v>46082</v>
      </c>
      <c r="I732" s="10">
        <v>46082</v>
      </c>
      <c r="J732" t="b">
        <v>0</v>
      </c>
      <c r="K732" s="11">
        <v>0.42</v>
      </c>
    </row>
    <row r="733" spans="1:11" x14ac:dyDescent="0.3">
      <c r="A733" t="s">
        <v>778</v>
      </c>
      <c r="B733" t="s">
        <v>56</v>
      </c>
      <c r="C733" t="s">
        <v>62</v>
      </c>
      <c r="D733" s="10">
        <v>45870</v>
      </c>
      <c r="E733" s="11">
        <v>8.6999999999999993</v>
      </c>
      <c r="F733" s="12">
        <v>704700</v>
      </c>
      <c r="G733">
        <v>9</v>
      </c>
      <c r="H733" s="10">
        <v>46143</v>
      </c>
      <c r="I733" s="10">
        <v>46174</v>
      </c>
      <c r="J733" t="b">
        <v>0</v>
      </c>
      <c r="K733" s="11">
        <v>0.52</v>
      </c>
    </row>
    <row r="734" spans="1:11" x14ac:dyDescent="0.3">
      <c r="A734" t="s">
        <v>779</v>
      </c>
      <c r="B734" t="s">
        <v>65</v>
      </c>
      <c r="C734" t="s">
        <v>70</v>
      </c>
      <c r="D734" s="10">
        <v>45870</v>
      </c>
      <c r="E734" s="11">
        <v>17.600000000000001</v>
      </c>
      <c r="F734" s="12">
        <v>1478400</v>
      </c>
      <c r="G734">
        <v>7</v>
      </c>
      <c r="H734" s="10">
        <v>46082</v>
      </c>
      <c r="I734" s="10">
        <v>46143</v>
      </c>
      <c r="J734" t="b">
        <v>0</v>
      </c>
      <c r="K734" s="11">
        <v>1.51</v>
      </c>
    </row>
    <row r="735" spans="1:11" x14ac:dyDescent="0.3">
      <c r="A735" t="s">
        <v>780</v>
      </c>
      <c r="B735" t="s">
        <v>72</v>
      </c>
      <c r="C735" t="s">
        <v>72</v>
      </c>
      <c r="D735" s="10">
        <v>45870</v>
      </c>
      <c r="E735" s="11">
        <v>9.6</v>
      </c>
      <c r="F735" s="12">
        <v>758400</v>
      </c>
      <c r="G735">
        <v>10</v>
      </c>
      <c r="H735" s="10">
        <v>46174</v>
      </c>
      <c r="I735" s="10">
        <v>46174</v>
      </c>
      <c r="J735" t="b">
        <v>0</v>
      </c>
      <c r="K735" s="11">
        <v>0.44</v>
      </c>
    </row>
    <row r="736" spans="1:11" x14ac:dyDescent="0.3">
      <c r="A736" t="s">
        <v>781</v>
      </c>
      <c r="B736" t="s">
        <v>72</v>
      </c>
      <c r="C736" t="s">
        <v>72</v>
      </c>
      <c r="D736" s="10">
        <v>45870</v>
      </c>
      <c r="E736" s="11">
        <v>22.7</v>
      </c>
      <c r="F736" s="12">
        <v>1793300</v>
      </c>
      <c r="G736">
        <v>11</v>
      </c>
      <c r="H736" s="10">
        <v>46204</v>
      </c>
      <c r="I736" s="10">
        <v>46235</v>
      </c>
      <c r="J736" t="b">
        <v>0</v>
      </c>
      <c r="K736" s="11">
        <v>1.25</v>
      </c>
    </row>
    <row r="737" spans="1:11" x14ac:dyDescent="0.3">
      <c r="A737" t="s">
        <v>782</v>
      </c>
      <c r="B737" t="s">
        <v>72</v>
      </c>
      <c r="C737" t="s">
        <v>72</v>
      </c>
      <c r="D737" s="10">
        <v>45870</v>
      </c>
      <c r="E737" s="11">
        <v>58.2</v>
      </c>
      <c r="F737" s="12">
        <v>4597800</v>
      </c>
      <c r="G737">
        <v>10</v>
      </c>
      <c r="H737" s="10">
        <v>46174</v>
      </c>
      <c r="I737" s="10">
        <v>46296</v>
      </c>
      <c r="J737" t="b">
        <v>0</v>
      </c>
      <c r="K737" s="11">
        <v>4.24</v>
      </c>
    </row>
    <row r="738" spans="1:11" x14ac:dyDescent="0.3">
      <c r="A738" t="s">
        <v>783</v>
      </c>
      <c r="B738" t="s">
        <v>42</v>
      </c>
      <c r="C738" t="s">
        <v>43</v>
      </c>
      <c r="D738" s="10">
        <v>45901</v>
      </c>
      <c r="E738" s="11">
        <v>36.5</v>
      </c>
      <c r="F738" s="12">
        <v>3029500</v>
      </c>
      <c r="G738">
        <v>10</v>
      </c>
      <c r="H738" s="10">
        <v>46204</v>
      </c>
      <c r="I738" s="10">
        <v>46204</v>
      </c>
      <c r="J738" t="b">
        <v>0</v>
      </c>
      <c r="K738" s="11">
        <v>0.01</v>
      </c>
    </row>
    <row r="739" spans="1:11" x14ac:dyDescent="0.3">
      <c r="A739" t="s">
        <v>784</v>
      </c>
      <c r="B739" t="s">
        <v>42</v>
      </c>
      <c r="C739" t="s">
        <v>43</v>
      </c>
      <c r="D739" s="10">
        <v>45901</v>
      </c>
      <c r="E739" s="11">
        <v>23.1</v>
      </c>
      <c r="F739" s="12">
        <v>1917300</v>
      </c>
      <c r="G739">
        <v>7</v>
      </c>
      <c r="H739" s="10">
        <v>46113</v>
      </c>
      <c r="I739" s="10">
        <v>46143</v>
      </c>
      <c r="J739" t="b">
        <v>0</v>
      </c>
      <c r="K739" s="11">
        <v>0.87</v>
      </c>
    </row>
    <row r="740" spans="1:11" x14ac:dyDescent="0.3">
      <c r="A740" t="s">
        <v>785</v>
      </c>
      <c r="B740" t="s">
        <v>42</v>
      </c>
      <c r="C740" t="s">
        <v>43</v>
      </c>
      <c r="D740" s="10">
        <v>45901</v>
      </c>
      <c r="E740" s="11">
        <v>27.3</v>
      </c>
      <c r="F740" s="12">
        <v>2265900</v>
      </c>
      <c r="G740">
        <v>7</v>
      </c>
      <c r="H740" s="10">
        <v>46113</v>
      </c>
      <c r="I740" s="10">
        <v>46113</v>
      </c>
      <c r="J740" t="b">
        <v>0</v>
      </c>
      <c r="K740" s="11">
        <v>0</v>
      </c>
    </row>
    <row r="741" spans="1:11" x14ac:dyDescent="0.3">
      <c r="A741" t="s">
        <v>786</v>
      </c>
      <c r="B741" t="s">
        <v>42</v>
      </c>
      <c r="C741" t="s">
        <v>43</v>
      </c>
      <c r="D741" s="10">
        <v>45901</v>
      </c>
      <c r="E741" s="11">
        <v>23.3</v>
      </c>
      <c r="F741" s="12">
        <v>1933900</v>
      </c>
      <c r="G741">
        <v>6</v>
      </c>
      <c r="H741" s="10">
        <v>46082</v>
      </c>
      <c r="I741" s="10">
        <v>46082</v>
      </c>
      <c r="J741" t="b">
        <v>0</v>
      </c>
      <c r="K741" s="11">
        <v>0.08</v>
      </c>
    </row>
    <row r="742" spans="1:11" x14ac:dyDescent="0.3">
      <c r="A742" t="s">
        <v>787</v>
      </c>
      <c r="B742" t="s">
        <v>42</v>
      </c>
      <c r="C742" t="s">
        <v>43</v>
      </c>
      <c r="D742" s="10">
        <v>45901</v>
      </c>
      <c r="E742" s="11">
        <v>11.6</v>
      </c>
      <c r="F742" s="12">
        <v>962800</v>
      </c>
      <c r="G742">
        <v>7</v>
      </c>
      <c r="H742" s="10">
        <v>46113</v>
      </c>
      <c r="I742" s="10">
        <v>46204</v>
      </c>
      <c r="J742" t="b">
        <v>0</v>
      </c>
      <c r="K742" s="11">
        <v>3</v>
      </c>
    </row>
    <row r="743" spans="1:11" x14ac:dyDescent="0.3">
      <c r="A743" t="s">
        <v>788</v>
      </c>
      <c r="B743" t="s">
        <v>42</v>
      </c>
      <c r="C743" t="s">
        <v>43</v>
      </c>
      <c r="D743" s="10">
        <v>45901</v>
      </c>
      <c r="E743" s="11">
        <v>15.3</v>
      </c>
      <c r="F743" s="12">
        <v>1269900</v>
      </c>
      <c r="G743">
        <v>11</v>
      </c>
      <c r="H743" s="10">
        <v>46235</v>
      </c>
      <c r="I743" s="10">
        <v>46235</v>
      </c>
      <c r="J743" t="b">
        <v>0</v>
      </c>
      <c r="K743" s="11">
        <v>0.01</v>
      </c>
    </row>
    <row r="744" spans="1:11" x14ac:dyDescent="0.3">
      <c r="A744" t="s">
        <v>789</v>
      </c>
      <c r="B744" t="s">
        <v>42</v>
      </c>
      <c r="C744" t="s">
        <v>43</v>
      </c>
      <c r="D744" s="10">
        <v>45901</v>
      </c>
      <c r="E744" s="11">
        <v>27.1</v>
      </c>
      <c r="F744" s="12">
        <v>2249300</v>
      </c>
      <c r="G744">
        <v>7</v>
      </c>
      <c r="H744" s="10">
        <v>46113</v>
      </c>
      <c r="I744" s="10">
        <v>46113</v>
      </c>
      <c r="J744" t="b">
        <v>0</v>
      </c>
      <c r="K744" s="11">
        <v>0.2</v>
      </c>
    </row>
    <row r="745" spans="1:11" x14ac:dyDescent="0.3">
      <c r="A745" t="s">
        <v>790</v>
      </c>
      <c r="B745" t="s">
        <v>42</v>
      </c>
      <c r="C745" t="s">
        <v>43</v>
      </c>
      <c r="D745" s="10">
        <v>45901</v>
      </c>
      <c r="E745" s="11">
        <v>3.8</v>
      </c>
      <c r="F745" s="12">
        <v>315400</v>
      </c>
      <c r="G745">
        <v>5</v>
      </c>
      <c r="H745" s="10">
        <v>46054</v>
      </c>
      <c r="I745" s="10">
        <v>46054</v>
      </c>
      <c r="J745" t="b">
        <v>0</v>
      </c>
      <c r="K745" s="11">
        <v>0</v>
      </c>
    </row>
    <row r="746" spans="1:11" x14ac:dyDescent="0.3">
      <c r="A746" t="s">
        <v>791</v>
      </c>
      <c r="B746" t="s">
        <v>42</v>
      </c>
      <c r="C746" t="s">
        <v>43</v>
      </c>
      <c r="D746" s="10">
        <v>45901</v>
      </c>
      <c r="E746" s="11">
        <v>6.2</v>
      </c>
      <c r="F746" s="12">
        <v>514600</v>
      </c>
      <c r="G746">
        <v>7</v>
      </c>
      <c r="H746" s="10">
        <v>46113</v>
      </c>
      <c r="I746" s="10">
        <v>46113</v>
      </c>
      <c r="J746" t="b">
        <v>0</v>
      </c>
      <c r="K746" s="11">
        <v>0.38</v>
      </c>
    </row>
    <row r="747" spans="1:11" x14ac:dyDescent="0.3">
      <c r="A747" t="s">
        <v>792</v>
      </c>
      <c r="B747" t="s">
        <v>42</v>
      </c>
      <c r="C747" t="s">
        <v>43</v>
      </c>
      <c r="D747" s="10">
        <v>45901</v>
      </c>
      <c r="E747" s="11">
        <v>11.8</v>
      </c>
      <c r="F747" s="12">
        <v>979400</v>
      </c>
      <c r="G747">
        <v>9</v>
      </c>
      <c r="H747" s="10">
        <v>46174</v>
      </c>
      <c r="I747" s="10">
        <v>46174</v>
      </c>
      <c r="J747" t="b">
        <v>0</v>
      </c>
      <c r="K747" s="11">
        <v>0</v>
      </c>
    </row>
    <row r="748" spans="1:11" x14ac:dyDescent="0.3">
      <c r="A748" t="s">
        <v>793</v>
      </c>
      <c r="B748" t="s">
        <v>42</v>
      </c>
      <c r="C748" t="s">
        <v>43</v>
      </c>
      <c r="D748" s="10">
        <v>45901</v>
      </c>
      <c r="E748" s="11">
        <v>18.600000000000001</v>
      </c>
      <c r="F748" s="12">
        <v>1543800</v>
      </c>
      <c r="G748">
        <v>11</v>
      </c>
      <c r="H748" s="10">
        <v>46235</v>
      </c>
      <c r="I748" s="10">
        <v>46235</v>
      </c>
      <c r="J748" t="b">
        <v>0</v>
      </c>
      <c r="K748" s="11">
        <v>0.31</v>
      </c>
    </row>
    <row r="749" spans="1:11" x14ac:dyDescent="0.3">
      <c r="A749" t="s">
        <v>794</v>
      </c>
      <c r="B749" t="s">
        <v>42</v>
      </c>
      <c r="C749" t="s">
        <v>43</v>
      </c>
      <c r="D749" s="10">
        <v>45901</v>
      </c>
      <c r="E749" s="11">
        <v>3.2</v>
      </c>
      <c r="F749" s="12">
        <v>265600</v>
      </c>
      <c r="G749">
        <v>11</v>
      </c>
      <c r="H749" s="10">
        <v>46235</v>
      </c>
      <c r="I749" s="10">
        <v>46235</v>
      </c>
      <c r="J749" t="b">
        <v>0</v>
      </c>
      <c r="K749" s="11">
        <v>0.03</v>
      </c>
    </row>
    <row r="750" spans="1:11" x14ac:dyDescent="0.3">
      <c r="A750" t="s">
        <v>795</v>
      </c>
      <c r="B750" t="s">
        <v>42</v>
      </c>
      <c r="C750" t="s">
        <v>43</v>
      </c>
      <c r="D750" s="10">
        <v>45901</v>
      </c>
      <c r="E750" s="11">
        <v>14.2</v>
      </c>
      <c r="F750" s="12">
        <v>1178600</v>
      </c>
      <c r="G750">
        <v>11</v>
      </c>
      <c r="H750" s="10">
        <v>46235</v>
      </c>
      <c r="I750" s="10">
        <v>46235</v>
      </c>
      <c r="J750" t="b">
        <v>0</v>
      </c>
      <c r="K750" s="11">
        <v>0.01</v>
      </c>
    </row>
    <row r="751" spans="1:11" x14ac:dyDescent="0.3">
      <c r="A751" t="s">
        <v>796</v>
      </c>
      <c r="B751" t="s">
        <v>42</v>
      </c>
      <c r="C751" t="s">
        <v>43</v>
      </c>
      <c r="D751" s="10">
        <v>45901</v>
      </c>
      <c r="E751" s="11">
        <v>17.600000000000001</v>
      </c>
      <c r="F751" s="12">
        <v>1460800</v>
      </c>
      <c r="G751">
        <v>9</v>
      </c>
      <c r="H751" s="10">
        <v>46174</v>
      </c>
      <c r="I751" s="10">
        <v>46174</v>
      </c>
      <c r="J751" t="b">
        <v>0</v>
      </c>
      <c r="K751" s="11">
        <v>0</v>
      </c>
    </row>
    <row r="752" spans="1:11" x14ac:dyDescent="0.3">
      <c r="A752" t="s">
        <v>797</v>
      </c>
      <c r="B752" t="s">
        <v>42</v>
      </c>
      <c r="C752" t="s">
        <v>43</v>
      </c>
      <c r="D752" s="10">
        <v>45901</v>
      </c>
      <c r="E752" s="11">
        <v>11.8</v>
      </c>
      <c r="F752" s="12">
        <v>979400</v>
      </c>
      <c r="G752">
        <v>11</v>
      </c>
      <c r="H752" s="10">
        <v>46235</v>
      </c>
      <c r="I752" s="10">
        <v>46235</v>
      </c>
      <c r="J752" t="b">
        <v>0</v>
      </c>
      <c r="K752" s="11">
        <v>0.3</v>
      </c>
    </row>
    <row r="753" spans="1:11" x14ac:dyDescent="0.3">
      <c r="A753" t="s">
        <v>798</v>
      </c>
      <c r="B753" t="s">
        <v>42</v>
      </c>
      <c r="C753" t="s">
        <v>43</v>
      </c>
      <c r="D753" s="10">
        <v>45901</v>
      </c>
      <c r="E753" s="11">
        <v>17.7</v>
      </c>
      <c r="F753" s="12">
        <v>1469100</v>
      </c>
      <c r="G753">
        <v>6</v>
      </c>
      <c r="H753" s="10">
        <v>46082</v>
      </c>
      <c r="I753" s="10">
        <v>46082</v>
      </c>
      <c r="J753" t="b">
        <v>0</v>
      </c>
      <c r="K753" s="11">
        <v>0</v>
      </c>
    </row>
    <row r="754" spans="1:11" x14ac:dyDescent="0.3">
      <c r="A754" t="s">
        <v>799</v>
      </c>
      <c r="B754" t="s">
        <v>42</v>
      </c>
      <c r="C754" t="s">
        <v>43</v>
      </c>
      <c r="D754" s="10">
        <v>45901</v>
      </c>
      <c r="E754" s="11">
        <v>5.3</v>
      </c>
      <c r="F754" s="12">
        <v>439900</v>
      </c>
      <c r="G754">
        <v>11</v>
      </c>
      <c r="H754" s="10">
        <v>46235</v>
      </c>
      <c r="I754" s="10">
        <v>46266</v>
      </c>
      <c r="J754" t="b">
        <v>0</v>
      </c>
      <c r="K754" s="11">
        <v>1.48</v>
      </c>
    </row>
    <row r="755" spans="1:11" x14ac:dyDescent="0.3">
      <c r="A755" t="s">
        <v>800</v>
      </c>
      <c r="B755" t="s">
        <v>42</v>
      </c>
      <c r="C755" t="s">
        <v>43</v>
      </c>
      <c r="D755" s="10">
        <v>45901</v>
      </c>
      <c r="E755" s="11">
        <v>34.9</v>
      </c>
      <c r="F755" s="12">
        <v>2896700</v>
      </c>
      <c r="G755">
        <v>8</v>
      </c>
      <c r="H755" s="10">
        <v>46143</v>
      </c>
      <c r="I755" s="10">
        <v>46143</v>
      </c>
      <c r="J755" t="b">
        <v>0</v>
      </c>
      <c r="K755" s="11">
        <v>0.36</v>
      </c>
    </row>
    <row r="756" spans="1:11" x14ac:dyDescent="0.3">
      <c r="A756" t="s">
        <v>801</v>
      </c>
      <c r="B756" t="s">
        <v>42</v>
      </c>
      <c r="C756" t="s">
        <v>43</v>
      </c>
      <c r="D756" s="10">
        <v>45901</v>
      </c>
      <c r="E756" s="11">
        <v>11.9</v>
      </c>
      <c r="F756" s="12">
        <v>987700</v>
      </c>
      <c r="G756">
        <v>6</v>
      </c>
      <c r="H756" s="10">
        <v>46082</v>
      </c>
      <c r="I756" s="10">
        <v>46082</v>
      </c>
      <c r="J756" t="b">
        <v>0</v>
      </c>
      <c r="K756" s="11">
        <v>0</v>
      </c>
    </row>
    <row r="757" spans="1:11" x14ac:dyDescent="0.3">
      <c r="A757" t="s">
        <v>802</v>
      </c>
      <c r="B757" t="s">
        <v>42</v>
      </c>
      <c r="C757" t="s">
        <v>43</v>
      </c>
      <c r="D757" s="10">
        <v>45901</v>
      </c>
      <c r="E757" s="11">
        <v>8</v>
      </c>
      <c r="F757" s="12">
        <v>664000</v>
      </c>
      <c r="G757">
        <v>10</v>
      </c>
      <c r="H757" s="10">
        <v>46204</v>
      </c>
      <c r="I757" s="10">
        <v>46204</v>
      </c>
      <c r="J757" t="b">
        <v>0</v>
      </c>
      <c r="K757" s="11">
        <v>0</v>
      </c>
    </row>
    <row r="758" spans="1:11" x14ac:dyDescent="0.3">
      <c r="A758" t="s">
        <v>803</v>
      </c>
      <c r="B758" t="s">
        <v>42</v>
      </c>
      <c r="C758" t="s">
        <v>43</v>
      </c>
      <c r="D758" s="10">
        <v>45901</v>
      </c>
      <c r="E758" s="11">
        <v>8</v>
      </c>
      <c r="F758" s="12">
        <v>664000</v>
      </c>
      <c r="G758">
        <v>6</v>
      </c>
      <c r="H758" s="10">
        <v>46082</v>
      </c>
      <c r="I758" s="10">
        <v>46113</v>
      </c>
      <c r="J758" t="b">
        <v>0</v>
      </c>
      <c r="K758" s="11">
        <v>0.8</v>
      </c>
    </row>
    <row r="759" spans="1:11" x14ac:dyDescent="0.3">
      <c r="A759" t="s">
        <v>804</v>
      </c>
      <c r="B759" t="s">
        <v>42</v>
      </c>
      <c r="C759" t="s">
        <v>43</v>
      </c>
      <c r="D759" s="10">
        <v>45901</v>
      </c>
      <c r="E759" s="11">
        <v>4.2</v>
      </c>
      <c r="F759" s="12">
        <v>348600</v>
      </c>
      <c r="G759">
        <v>11</v>
      </c>
      <c r="H759" s="10">
        <v>46235</v>
      </c>
      <c r="I759" s="10">
        <v>46235</v>
      </c>
      <c r="J759" t="b">
        <v>0</v>
      </c>
      <c r="K759" s="11">
        <v>0.05</v>
      </c>
    </row>
    <row r="760" spans="1:11" x14ac:dyDescent="0.3">
      <c r="A760" t="s">
        <v>805</v>
      </c>
      <c r="B760" t="s">
        <v>42</v>
      </c>
      <c r="C760" t="s">
        <v>43</v>
      </c>
      <c r="D760" s="10">
        <v>45901</v>
      </c>
      <c r="E760" s="11">
        <v>13</v>
      </c>
      <c r="F760" s="12">
        <v>1079000</v>
      </c>
      <c r="G760">
        <v>10</v>
      </c>
      <c r="H760" s="10">
        <v>46204</v>
      </c>
      <c r="I760" s="10">
        <v>46204</v>
      </c>
      <c r="J760" t="b">
        <v>0</v>
      </c>
      <c r="K760" s="11">
        <v>0</v>
      </c>
    </row>
    <row r="761" spans="1:11" x14ac:dyDescent="0.3">
      <c r="A761" t="s">
        <v>806</v>
      </c>
      <c r="B761" t="s">
        <v>42</v>
      </c>
      <c r="C761" t="s">
        <v>43</v>
      </c>
      <c r="D761" s="10">
        <v>45901</v>
      </c>
      <c r="E761" s="11">
        <v>72.7</v>
      </c>
      <c r="F761" s="12">
        <v>6034100</v>
      </c>
      <c r="G761">
        <v>10</v>
      </c>
      <c r="H761" s="10">
        <v>46204</v>
      </c>
      <c r="I761" s="10">
        <v>46204</v>
      </c>
      <c r="J761" t="b">
        <v>0</v>
      </c>
      <c r="K761" s="11">
        <v>0.02</v>
      </c>
    </row>
    <row r="762" spans="1:11" x14ac:dyDescent="0.3">
      <c r="A762" t="s">
        <v>807</v>
      </c>
      <c r="B762" t="s">
        <v>42</v>
      </c>
      <c r="C762" t="s">
        <v>43</v>
      </c>
      <c r="D762" s="10">
        <v>45901</v>
      </c>
      <c r="E762" s="11">
        <v>5.4</v>
      </c>
      <c r="F762" s="12">
        <v>448200.00000000012</v>
      </c>
      <c r="G762">
        <v>8</v>
      </c>
      <c r="H762" s="10">
        <v>46143</v>
      </c>
      <c r="I762" s="10">
        <v>46143</v>
      </c>
      <c r="J762" t="b">
        <v>0</v>
      </c>
      <c r="K762" s="11">
        <v>0.04</v>
      </c>
    </row>
    <row r="763" spans="1:11" x14ac:dyDescent="0.3">
      <c r="A763" t="s">
        <v>808</v>
      </c>
      <c r="B763" t="s">
        <v>42</v>
      </c>
      <c r="C763" t="s">
        <v>43</v>
      </c>
      <c r="D763" s="10">
        <v>45901</v>
      </c>
      <c r="E763" s="11">
        <v>6.4</v>
      </c>
      <c r="F763" s="12">
        <v>531200</v>
      </c>
      <c r="G763">
        <v>6</v>
      </c>
      <c r="H763" s="10">
        <v>46082</v>
      </c>
      <c r="I763" s="10">
        <v>46082</v>
      </c>
      <c r="J763" t="b">
        <v>0</v>
      </c>
      <c r="K763" s="11">
        <v>0.09</v>
      </c>
    </row>
    <row r="764" spans="1:11" x14ac:dyDescent="0.3">
      <c r="A764" t="s">
        <v>809</v>
      </c>
      <c r="B764" t="s">
        <v>42</v>
      </c>
      <c r="C764" t="s">
        <v>43</v>
      </c>
      <c r="D764" s="10">
        <v>45901</v>
      </c>
      <c r="E764" s="11">
        <v>17.5</v>
      </c>
      <c r="F764" s="12">
        <v>1452500</v>
      </c>
      <c r="G764">
        <v>10</v>
      </c>
      <c r="H764" s="10">
        <v>46204</v>
      </c>
      <c r="I764" s="10">
        <v>46204</v>
      </c>
      <c r="J764" t="b">
        <v>0</v>
      </c>
      <c r="K764" s="11">
        <v>0.2</v>
      </c>
    </row>
    <row r="765" spans="1:11" x14ac:dyDescent="0.3">
      <c r="A765" t="s">
        <v>810</v>
      </c>
      <c r="B765" t="s">
        <v>42</v>
      </c>
      <c r="C765" t="s">
        <v>43</v>
      </c>
      <c r="D765" s="10">
        <v>45901</v>
      </c>
      <c r="E765" s="11">
        <v>11.6</v>
      </c>
      <c r="F765" s="12">
        <v>962800</v>
      </c>
      <c r="G765">
        <v>5</v>
      </c>
      <c r="H765" s="10">
        <v>46054</v>
      </c>
      <c r="I765" s="10">
        <v>46054</v>
      </c>
      <c r="J765" t="b">
        <v>0</v>
      </c>
      <c r="K765" s="11">
        <v>0.48</v>
      </c>
    </row>
    <row r="766" spans="1:11" x14ac:dyDescent="0.3">
      <c r="A766" t="s">
        <v>811</v>
      </c>
      <c r="B766" t="s">
        <v>42</v>
      </c>
      <c r="C766" t="s">
        <v>43</v>
      </c>
      <c r="D766" s="10">
        <v>45901</v>
      </c>
      <c r="E766" s="11">
        <v>11.6</v>
      </c>
      <c r="F766" s="12">
        <v>962800</v>
      </c>
      <c r="G766">
        <v>8</v>
      </c>
      <c r="H766" s="10">
        <v>46143</v>
      </c>
      <c r="I766" s="10">
        <v>46143</v>
      </c>
      <c r="J766" t="b">
        <v>0</v>
      </c>
      <c r="K766" s="11">
        <v>0.45</v>
      </c>
    </row>
    <row r="767" spans="1:11" x14ac:dyDescent="0.3">
      <c r="A767" t="s">
        <v>812</v>
      </c>
      <c r="B767" t="s">
        <v>42</v>
      </c>
      <c r="C767" t="s">
        <v>43</v>
      </c>
      <c r="D767" s="10">
        <v>45901</v>
      </c>
      <c r="E767" s="11">
        <v>19.2</v>
      </c>
      <c r="F767" s="12">
        <v>1593600</v>
      </c>
      <c r="G767">
        <v>7</v>
      </c>
      <c r="H767" s="10">
        <v>46113</v>
      </c>
      <c r="I767" s="10">
        <v>46113</v>
      </c>
      <c r="J767" t="b">
        <v>0</v>
      </c>
      <c r="K767" s="11">
        <v>0.28000000000000003</v>
      </c>
    </row>
    <row r="768" spans="1:11" x14ac:dyDescent="0.3">
      <c r="A768" t="s">
        <v>813</v>
      </c>
      <c r="B768" t="s">
        <v>42</v>
      </c>
      <c r="C768" t="s">
        <v>43</v>
      </c>
      <c r="D768" s="10">
        <v>45901</v>
      </c>
      <c r="E768" s="11">
        <v>9.1</v>
      </c>
      <c r="F768" s="12">
        <v>755300</v>
      </c>
      <c r="G768">
        <v>8</v>
      </c>
      <c r="H768" s="10">
        <v>46143</v>
      </c>
      <c r="I768" s="10">
        <v>46143</v>
      </c>
      <c r="J768" t="b">
        <v>0</v>
      </c>
      <c r="K768" s="11">
        <v>0</v>
      </c>
    </row>
    <row r="769" spans="1:11" x14ac:dyDescent="0.3">
      <c r="A769" t="s">
        <v>814</v>
      </c>
      <c r="B769" t="s">
        <v>56</v>
      </c>
      <c r="C769" t="s">
        <v>57</v>
      </c>
      <c r="D769" s="10">
        <v>45901</v>
      </c>
      <c r="E769" s="11">
        <v>15.6</v>
      </c>
      <c r="F769" s="12">
        <v>1372800</v>
      </c>
      <c r="G769">
        <v>8</v>
      </c>
      <c r="H769" s="10">
        <v>46143</v>
      </c>
      <c r="I769" s="10">
        <v>46143</v>
      </c>
      <c r="J769" t="b">
        <v>0</v>
      </c>
      <c r="K769" s="11">
        <v>0</v>
      </c>
    </row>
    <row r="770" spans="1:11" x14ac:dyDescent="0.3">
      <c r="A770" t="s">
        <v>815</v>
      </c>
      <c r="B770" t="s">
        <v>56</v>
      </c>
      <c r="C770" t="s">
        <v>57</v>
      </c>
      <c r="D770" s="10">
        <v>45901</v>
      </c>
      <c r="E770" s="11">
        <v>8</v>
      </c>
      <c r="F770" s="12">
        <v>704000</v>
      </c>
      <c r="G770">
        <v>7</v>
      </c>
      <c r="H770" s="10">
        <v>46113</v>
      </c>
      <c r="I770" s="10">
        <v>46143</v>
      </c>
      <c r="J770" t="b">
        <v>0</v>
      </c>
      <c r="K770" s="11">
        <v>1.43</v>
      </c>
    </row>
    <row r="771" spans="1:11" x14ac:dyDescent="0.3">
      <c r="A771" t="s">
        <v>816</v>
      </c>
      <c r="B771" t="s">
        <v>56</v>
      </c>
      <c r="C771" t="s">
        <v>57</v>
      </c>
      <c r="D771" s="10">
        <v>45901</v>
      </c>
      <c r="E771" s="11">
        <v>30.5</v>
      </c>
      <c r="F771" s="12">
        <v>2684000</v>
      </c>
      <c r="G771">
        <v>8</v>
      </c>
      <c r="H771" s="10">
        <v>46143</v>
      </c>
      <c r="I771" s="10">
        <v>46143</v>
      </c>
      <c r="J771" t="b">
        <v>0</v>
      </c>
      <c r="K771" s="11">
        <v>0</v>
      </c>
    </row>
    <row r="772" spans="1:11" x14ac:dyDescent="0.3">
      <c r="A772" t="s">
        <v>817</v>
      </c>
      <c r="B772" t="s">
        <v>56</v>
      </c>
      <c r="C772" t="s">
        <v>57</v>
      </c>
      <c r="D772" s="10">
        <v>45901</v>
      </c>
      <c r="E772" s="11">
        <v>21.6</v>
      </c>
      <c r="F772" s="12">
        <v>1900800</v>
      </c>
      <c r="G772">
        <v>9</v>
      </c>
      <c r="H772" s="10">
        <v>46174</v>
      </c>
      <c r="I772" s="10">
        <v>46174</v>
      </c>
      <c r="J772" t="b">
        <v>0</v>
      </c>
      <c r="K772" s="11">
        <v>0.18</v>
      </c>
    </row>
    <row r="773" spans="1:11" x14ac:dyDescent="0.3">
      <c r="A773" t="s">
        <v>818</v>
      </c>
      <c r="B773" t="s">
        <v>56</v>
      </c>
      <c r="C773" t="s">
        <v>57</v>
      </c>
      <c r="D773" s="10">
        <v>45901</v>
      </c>
      <c r="E773" s="11">
        <v>9.1999999999999993</v>
      </c>
      <c r="F773" s="12">
        <v>809599.99999999988</v>
      </c>
      <c r="G773">
        <v>10</v>
      </c>
      <c r="H773" s="10">
        <v>46204</v>
      </c>
      <c r="I773" s="10">
        <v>46204</v>
      </c>
      <c r="J773" t="b">
        <v>0</v>
      </c>
      <c r="K773" s="11">
        <v>0.03</v>
      </c>
    </row>
    <row r="774" spans="1:11" x14ac:dyDescent="0.3">
      <c r="A774" t="s">
        <v>819</v>
      </c>
      <c r="B774" t="s">
        <v>56</v>
      </c>
      <c r="C774" t="s">
        <v>62</v>
      </c>
      <c r="D774" s="10">
        <v>45901</v>
      </c>
      <c r="E774" s="11">
        <v>12</v>
      </c>
      <c r="F774" s="12">
        <v>972000</v>
      </c>
      <c r="G774">
        <v>5</v>
      </c>
      <c r="H774" s="10">
        <v>46054</v>
      </c>
      <c r="I774" s="10">
        <v>46082</v>
      </c>
      <c r="J774" t="b">
        <v>0</v>
      </c>
      <c r="K774" s="11">
        <v>0.6</v>
      </c>
    </row>
    <row r="775" spans="1:11" x14ac:dyDescent="0.3">
      <c r="A775" t="s">
        <v>820</v>
      </c>
      <c r="B775" t="s">
        <v>56</v>
      </c>
      <c r="C775" t="s">
        <v>62</v>
      </c>
      <c r="D775" s="10">
        <v>45901</v>
      </c>
      <c r="E775" s="11">
        <v>73.5</v>
      </c>
      <c r="F775" s="12">
        <v>5953500</v>
      </c>
      <c r="G775">
        <v>7</v>
      </c>
      <c r="H775" s="10">
        <v>46113</v>
      </c>
      <c r="I775" s="10">
        <v>46113</v>
      </c>
      <c r="J775" t="b">
        <v>0</v>
      </c>
      <c r="K775" s="11">
        <v>0.38</v>
      </c>
    </row>
    <row r="776" spans="1:11" x14ac:dyDescent="0.3">
      <c r="A776" t="s">
        <v>821</v>
      </c>
      <c r="B776" t="s">
        <v>56</v>
      </c>
      <c r="C776" t="s">
        <v>62</v>
      </c>
      <c r="D776" s="10">
        <v>45901</v>
      </c>
      <c r="E776" s="11">
        <v>21.7</v>
      </c>
      <c r="F776" s="12">
        <v>1757700</v>
      </c>
      <c r="G776">
        <v>11</v>
      </c>
      <c r="H776" s="10">
        <v>46235</v>
      </c>
      <c r="I776" s="10">
        <v>46235</v>
      </c>
      <c r="J776" t="b">
        <v>0</v>
      </c>
      <c r="K776" s="11">
        <v>0</v>
      </c>
    </row>
    <row r="777" spans="1:11" x14ac:dyDescent="0.3">
      <c r="A777" t="s">
        <v>822</v>
      </c>
      <c r="B777" t="s">
        <v>56</v>
      </c>
      <c r="C777" t="s">
        <v>62</v>
      </c>
      <c r="D777" s="10">
        <v>45901</v>
      </c>
      <c r="E777" s="11">
        <v>7.2</v>
      </c>
      <c r="F777" s="12">
        <v>583200</v>
      </c>
      <c r="G777">
        <v>8</v>
      </c>
      <c r="H777" s="10">
        <v>46143</v>
      </c>
      <c r="I777" s="10">
        <v>46204</v>
      </c>
      <c r="J777" t="b">
        <v>0</v>
      </c>
      <c r="K777" s="11">
        <v>1.96</v>
      </c>
    </row>
    <row r="778" spans="1:11" x14ac:dyDescent="0.3">
      <c r="A778" t="s">
        <v>823</v>
      </c>
      <c r="B778" t="s">
        <v>65</v>
      </c>
      <c r="C778" t="s">
        <v>66</v>
      </c>
      <c r="D778" s="10">
        <v>45901</v>
      </c>
      <c r="E778" s="11">
        <v>9.9</v>
      </c>
      <c r="F778" s="12">
        <v>702900</v>
      </c>
      <c r="G778">
        <v>11</v>
      </c>
      <c r="H778" s="10">
        <v>46235</v>
      </c>
      <c r="I778" s="10">
        <v>46327</v>
      </c>
      <c r="J778" t="b">
        <v>0</v>
      </c>
      <c r="K778" s="11">
        <v>3.11</v>
      </c>
    </row>
    <row r="779" spans="1:11" x14ac:dyDescent="0.3">
      <c r="A779" t="s">
        <v>824</v>
      </c>
      <c r="B779" t="s">
        <v>65</v>
      </c>
      <c r="C779" t="s">
        <v>66</v>
      </c>
      <c r="D779" s="10">
        <v>45901</v>
      </c>
      <c r="E779" s="11">
        <v>7.8</v>
      </c>
      <c r="F779" s="12">
        <v>553800</v>
      </c>
      <c r="G779">
        <v>6</v>
      </c>
      <c r="H779" s="10">
        <v>46082</v>
      </c>
      <c r="I779" s="10">
        <v>46082</v>
      </c>
      <c r="J779" t="b">
        <v>0</v>
      </c>
      <c r="K779" s="11">
        <v>0.22</v>
      </c>
    </row>
    <row r="780" spans="1:11" x14ac:dyDescent="0.3">
      <c r="A780" t="s">
        <v>825</v>
      </c>
      <c r="B780" t="s">
        <v>72</v>
      </c>
      <c r="C780" t="s">
        <v>72</v>
      </c>
      <c r="D780" s="10">
        <v>45901</v>
      </c>
      <c r="E780" s="11">
        <v>15.5</v>
      </c>
      <c r="F780" s="12">
        <v>1224500</v>
      </c>
      <c r="G780">
        <v>8</v>
      </c>
      <c r="H780" s="10">
        <v>46143</v>
      </c>
      <c r="I780" s="10">
        <v>46235</v>
      </c>
      <c r="J780" t="b">
        <v>0</v>
      </c>
      <c r="K780" s="11">
        <v>3.02</v>
      </c>
    </row>
    <row r="781" spans="1:11" x14ac:dyDescent="0.3">
      <c r="A781" t="s">
        <v>826</v>
      </c>
      <c r="B781" t="s">
        <v>72</v>
      </c>
      <c r="C781" t="s">
        <v>72</v>
      </c>
      <c r="D781" s="10">
        <v>45901</v>
      </c>
      <c r="E781" s="11">
        <v>2.5</v>
      </c>
      <c r="F781" s="12">
        <v>197500</v>
      </c>
      <c r="G781">
        <v>5</v>
      </c>
      <c r="H781" s="10">
        <v>46054</v>
      </c>
      <c r="I781" s="10">
        <v>46054</v>
      </c>
      <c r="J781" t="b">
        <v>0</v>
      </c>
      <c r="K781" s="11">
        <v>0.08</v>
      </c>
    </row>
    <row r="782" spans="1:11" x14ac:dyDescent="0.3">
      <c r="A782" t="s">
        <v>827</v>
      </c>
      <c r="B782" t="s">
        <v>72</v>
      </c>
      <c r="C782" t="s">
        <v>72</v>
      </c>
      <c r="D782" s="10">
        <v>45901</v>
      </c>
      <c r="E782" s="11">
        <v>8.3000000000000007</v>
      </c>
      <c r="F782" s="12">
        <v>655700</v>
      </c>
      <c r="G782">
        <v>6</v>
      </c>
      <c r="H782" s="10">
        <v>46082</v>
      </c>
      <c r="I782" s="10">
        <v>46082</v>
      </c>
      <c r="J782" t="b">
        <v>0</v>
      </c>
      <c r="K782" s="11">
        <v>0</v>
      </c>
    </row>
    <row r="783" spans="1:11" x14ac:dyDescent="0.3">
      <c r="A783" t="s">
        <v>828</v>
      </c>
      <c r="B783" t="s">
        <v>72</v>
      </c>
      <c r="C783" t="s">
        <v>72</v>
      </c>
      <c r="D783" s="10">
        <v>45901</v>
      </c>
      <c r="E783" s="11">
        <v>9</v>
      </c>
      <c r="F783" s="12">
        <v>711000</v>
      </c>
      <c r="G783">
        <v>7</v>
      </c>
      <c r="H783" s="10">
        <v>46113</v>
      </c>
      <c r="I783" s="10">
        <v>46569</v>
      </c>
      <c r="J783" t="b">
        <v>0</v>
      </c>
      <c r="K783" s="11">
        <v>15.37</v>
      </c>
    </row>
    <row r="784" spans="1:11" x14ac:dyDescent="0.3">
      <c r="A784" t="s">
        <v>829</v>
      </c>
      <c r="B784" t="s">
        <v>42</v>
      </c>
      <c r="C784" t="s">
        <v>43</v>
      </c>
      <c r="D784" s="10">
        <v>45931</v>
      </c>
      <c r="E784" s="11">
        <v>36.299999999999997</v>
      </c>
      <c r="F784" s="12">
        <v>3012900</v>
      </c>
      <c r="G784">
        <v>10</v>
      </c>
      <c r="H784" s="10">
        <v>46235</v>
      </c>
      <c r="I784" s="10">
        <v>46266</v>
      </c>
      <c r="J784" t="b">
        <v>0</v>
      </c>
      <c r="K784" s="11">
        <v>0.57999999999999996</v>
      </c>
    </row>
    <row r="785" spans="1:11" x14ac:dyDescent="0.3">
      <c r="A785" t="s">
        <v>830</v>
      </c>
      <c r="B785" t="s">
        <v>42</v>
      </c>
      <c r="C785" t="s">
        <v>43</v>
      </c>
      <c r="D785" s="10">
        <v>45931</v>
      </c>
      <c r="E785" s="11">
        <v>8.4</v>
      </c>
      <c r="F785" s="12">
        <v>697200</v>
      </c>
      <c r="G785">
        <v>7</v>
      </c>
      <c r="H785" s="10">
        <v>46143</v>
      </c>
      <c r="I785" s="10">
        <v>46143</v>
      </c>
      <c r="J785" t="b">
        <v>0</v>
      </c>
      <c r="K785" s="11">
        <v>0.02</v>
      </c>
    </row>
    <row r="786" spans="1:11" x14ac:dyDescent="0.3">
      <c r="A786" t="s">
        <v>831</v>
      </c>
      <c r="B786" t="s">
        <v>42</v>
      </c>
      <c r="C786" t="s">
        <v>43</v>
      </c>
      <c r="D786" s="10">
        <v>45931</v>
      </c>
      <c r="E786" s="11">
        <v>8.6999999999999993</v>
      </c>
      <c r="F786" s="12">
        <v>722099.99999999988</v>
      </c>
      <c r="G786">
        <v>6</v>
      </c>
      <c r="H786" s="10">
        <v>46113</v>
      </c>
      <c r="I786" s="10">
        <v>46174</v>
      </c>
      <c r="J786" t="b">
        <v>0</v>
      </c>
      <c r="K786" s="11">
        <v>1.54</v>
      </c>
    </row>
    <row r="787" spans="1:11" x14ac:dyDescent="0.3">
      <c r="A787" t="s">
        <v>832</v>
      </c>
      <c r="B787" t="s">
        <v>42</v>
      </c>
      <c r="C787" t="s">
        <v>43</v>
      </c>
      <c r="D787" s="10">
        <v>45931</v>
      </c>
      <c r="E787" s="11">
        <v>26.4</v>
      </c>
      <c r="F787" s="12">
        <v>2191200</v>
      </c>
      <c r="G787">
        <v>11</v>
      </c>
      <c r="H787" s="10">
        <v>46266</v>
      </c>
      <c r="I787" s="10">
        <v>46296</v>
      </c>
      <c r="J787" t="b">
        <v>0</v>
      </c>
      <c r="K787" s="11">
        <v>0.56999999999999995</v>
      </c>
    </row>
    <row r="788" spans="1:11" x14ac:dyDescent="0.3">
      <c r="A788" t="s">
        <v>833</v>
      </c>
      <c r="B788" t="s">
        <v>42</v>
      </c>
      <c r="C788" t="s">
        <v>43</v>
      </c>
      <c r="D788" s="10">
        <v>45931</v>
      </c>
      <c r="E788" s="11">
        <v>13.9</v>
      </c>
      <c r="F788" s="12">
        <v>1153700</v>
      </c>
      <c r="G788">
        <v>6</v>
      </c>
      <c r="H788" s="10">
        <v>46113</v>
      </c>
      <c r="I788" s="10">
        <v>46113</v>
      </c>
      <c r="J788" t="b">
        <v>0</v>
      </c>
      <c r="K788" s="11">
        <v>0.04</v>
      </c>
    </row>
    <row r="789" spans="1:11" x14ac:dyDescent="0.3">
      <c r="A789" t="s">
        <v>834</v>
      </c>
      <c r="B789" t="s">
        <v>42</v>
      </c>
      <c r="C789" t="s">
        <v>43</v>
      </c>
      <c r="D789" s="10">
        <v>45931</v>
      </c>
      <c r="E789" s="11">
        <v>47.6</v>
      </c>
      <c r="F789" s="12">
        <v>3950800</v>
      </c>
      <c r="G789">
        <v>8</v>
      </c>
      <c r="H789" s="10">
        <v>46174</v>
      </c>
      <c r="I789" s="10">
        <v>46174</v>
      </c>
      <c r="J789" t="b">
        <v>0</v>
      </c>
      <c r="K789" s="11">
        <v>0.15</v>
      </c>
    </row>
    <row r="790" spans="1:11" x14ac:dyDescent="0.3">
      <c r="A790" t="s">
        <v>835</v>
      </c>
      <c r="B790" t="s">
        <v>42</v>
      </c>
      <c r="C790" t="s">
        <v>43</v>
      </c>
      <c r="D790" s="10">
        <v>45931</v>
      </c>
      <c r="E790" s="11">
        <v>12.7</v>
      </c>
      <c r="F790" s="12">
        <v>1054100</v>
      </c>
      <c r="G790">
        <v>5</v>
      </c>
      <c r="H790" s="10">
        <v>46082</v>
      </c>
      <c r="I790" s="10">
        <v>46174</v>
      </c>
      <c r="J790" t="b">
        <v>0</v>
      </c>
      <c r="K790" s="11">
        <v>3.19</v>
      </c>
    </row>
    <row r="791" spans="1:11" x14ac:dyDescent="0.3">
      <c r="A791" t="s">
        <v>836</v>
      </c>
      <c r="B791" t="s">
        <v>42</v>
      </c>
      <c r="C791" t="s">
        <v>43</v>
      </c>
      <c r="D791" s="10">
        <v>45931</v>
      </c>
      <c r="E791" s="11">
        <v>7.5</v>
      </c>
      <c r="F791" s="12">
        <v>622500</v>
      </c>
      <c r="G791">
        <v>7</v>
      </c>
      <c r="H791" s="10">
        <v>46143</v>
      </c>
      <c r="I791" s="10">
        <v>46143</v>
      </c>
      <c r="J791" t="b">
        <v>0</v>
      </c>
      <c r="K791" s="11">
        <v>0.01</v>
      </c>
    </row>
    <row r="792" spans="1:11" x14ac:dyDescent="0.3">
      <c r="A792" t="s">
        <v>837</v>
      </c>
      <c r="B792" t="s">
        <v>42</v>
      </c>
      <c r="C792" t="s">
        <v>43</v>
      </c>
      <c r="D792" s="10">
        <v>45931</v>
      </c>
      <c r="E792" s="11">
        <v>10.9</v>
      </c>
      <c r="F792" s="12">
        <v>904700</v>
      </c>
      <c r="G792">
        <v>6</v>
      </c>
      <c r="H792" s="10">
        <v>46113</v>
      </c>
      <c r="I792" s="10">
        <v>46113</v>
      </c>
      <c r="J792" t="b">
        <v>0</v>
      </c>
      <c r="K792" s="11">
        <v>0</v>
      </c>
    </row>
    <row r="793" spans="1:11" x14ac:dyDescent="0.3">
      <c r="A793" t="s">
        <v>838</v>
      </c>
      <c r="B793" t="s">
        <v>42</v>
      </c>
      <c r="C793" t="s">
        <v>43</v>
      </c>
      <c r="D793" s="10">
        <v>45931</v>
      </c>
      <c r="E793" s="11">
        <v>17.7</v>
      </c>
      <c r="F793" s="12">
        <v>1469100</v>
      </c>
      <c r="G793">
        <v>7</v>
      </c>
      <c r="H793" s="10">
        <v>46143</v>
      </c>
      <c r="I793" s="10">
        <v>46174</v>
      </c>
      <c r="J793" t="b">
        <v>0</v>
      </c>
      <c r="K793" s="11">
        <v>0.52</v>
      </c>
    </row>
    <row r="794" spans="1:11" x14ac:dyDescent="0.3">
      <c r="A794" t="s">
        <v>839</v>
      </c>
      <c r="B794" t="s">
        <v>42</v>
      </c>
      <c r="C794" t="s">
        <v>43</v>
      </c>
      <c r="D794" s="10">
        <v>45931</v>
      </c>
      <c r="E794" s="11">
        <v>65</v>
      </c>
      <c r="F794" s="12">
        <v>5395000</v>
      </c>
      <c r="G794">
        <v>5</v>
      </c>
      <c r="H794" s="10">
        <v>46082</v>
      </c>
      <c r="I794" s="10">
        <v>46235</v>
      </c>
      <c r="J794" t="b">
        <v>0</v>
      </c>
      <c r="K794" s="11">
        <v>5.14</v>
      </c>
    </row>
    <row r="795" spans="1:11" x14ac:dyDescent="0.3">
      <c r="A795" t="s">
        <v>840</v>
      </c>
      <c r="B795" t="s">
        <v>42</v>
      </c>
      <c r="C795" t="s">
        <v>43</v>
      </c>
      <c r="D795" s="10">
        <v>45931</v>
      </c>
      <c r="E795" s="11">
        <v>15.7</v>
      </c>
      <c r="F795" s="12">
        <v>1303100</v>
      </c>
      <c r="G795">
        <v>5</v>
      </c>
      <c r="H795" s="10">
        <v>46082</v>
      </c>
      <c r="I795" s="10">
        <v>46082</v>
      </c>
      <c r="J795" t="b">
        <v>0</v>
      </c>
      <c r="K795" s="11">
        <v>0</v>
      </c>
    </row>
    <row r="796" spans="1:11" x14ac:dyDescent="0.3">
      <c r="A796" t="s">
        <v>841</v>
      </c>
      <c r="B796" t="s">
        <v>42</v>
      </c>
      <c r="C796" t="s">
        <v>43</v>
      </c>
      <c r="D796" s="10">
        <v>45931</v>
      </c>
      <c r="E796" s="11">
        <v>2.7</v>
      </c>
      <c r="F796" s="12">
        <v>224100</v>
      </c>
      <c r="G796">
        <v>6</v>
      </c>
      <c r="H796" s="10">
        <v>46113</v>
      </c>
      <c r="I796" s="10">
        <v>46113</v>
      </c>
      <c r="J796" t="b">
        <v>0</v>
      </c>
      <c r="K796" s="11">
        <v>0.01</v>
      </c>
    </row>
    <row r="797" spans="1:11" x14ac:dyDescent="0.3">
      <c r="A797" t="s">
        <v>842</v>
      </c>
      <c r="B797" t="s">
        <v>42</v>
      </c>
      <c r="C797" t="s">
        <v>43</v>
      </c>
      <c r="D797" s="10">
        <v>45931</v>
      </c>
      <c r="E797" s="11">
        <v>2.2999999999999998</v>
      </c>
      <c r="F797" s="12">
        <v>190900</v>
      </c>
      <c r="G797">
        <v>10</v>
      </c>
      <c r="H797" s="10">
        <v>46235</v>
      </c>
      <c r="I797" s="10">
        <v>46235</v>
      </c>
      <c r="J797" t="b">
        <v>0</v>
      </c>
      <c r="K797" s="11">
        <v>0</v>
      </c>
    </row>
    <row r="798" spans="1:11" x14ac:dyDescent="0.3">
      <c r="A798" t="s">
        <v>843</v>
      </c>
      <c r="B798" t="s">
        <v>42</v>
      </c>
      <c r="C798" t="s">
        <v>43</v>
      </c>
      <c r="D798" s="10">
        <v>45931</v>
      </c>
      <c r="E798" s="11">
        <v>16.3</v>
      </c>
      <c r="F798" s="12">
        <v>1352900</v>
      </c>
      <c r="G798">
        <v>8</v>
      </c>
      <c r="H798" s="10">
        <v>46174</v>
      </c>
      <c r="I798" s="10">
        <v>46174</v>
      </c>
      <c r="J798" t="b">
        <v>0</v>
      </c>
      <c r="K798" s="11">
        <v>0.01</v>
      </c>
    </row>
    <row r="799" spans="1:11" x14ac:dyDescent="0.3">
      <c r="A799" t="s">
        <v>844</v>
      </c>
      <c r="B799" t="s">
        <v>42</v>
      </c>
      <c r="C799" t="s">
        <v>43</v>
      </c>
      <c r="D799" s="10">
        <v>45931</v>
      </c>
      <c r="E799" s="11">
        <v>8.6999999999999993</v>
      </c>
      <c r="F799" s="12">
        <v>722099.99999999988</v>
      </c>
      <c r="G799">
        <v>9</v>
      </c>
      <c r="H799" s="10">
        <v>46204</v>
      </c>
      <c r="I799" s="10">
        <v>46235</v>
      </c>
      <c r="J799" t="b">
        <v>0</v>
      </c>
      <c r="K799" s="11">
        <v>1.22</v>
      </c>
    </row>
    <row r="800" spans="1:11" x14ac:dyDescent="0.3">
      <c r="A800" t="s">
        <v>845</v>
      </c>
      <c r="B800" t="s">
        <v>42</v>
      </c>
      <c r="C800" t="s">
        <v>43</v>
      </c>
      <c r="D800" s="10">
        <v>45931</v>
      </c>
      <c r="E800" s="11">
        <v>7.8</v>
      </c>
      <c r="F800" s="12">
        <v>647400</v>
      </c>
      <c r="G800">
        <v>6</v>
      </c>
      <c r="H800" s="10">
        <v>46113</v>
      </c>
      <c r="I800" s="10">
        <v>46174</v>
      </c>
      <c r="J800" t="b">
        <v>0</v>
      </c>
      <c r="K800" s="11">
        <v>1.99</v>
      </c>
    </row>
    <row r="801" spans="1:11" x14ac:dyDescent="0.3">
      <c r="A801" t="s">
        <v>846</v>
      </c>
      <c r="B801" t="s">
        <v>56</v>
      </c>
      <c r="C801" t="s">
        <v>57</v>
      </c>
      <c r="D801" s="10">
        <v>45931</v>
      </c>
      <c r="E801" s="11">
        <v>28.4</v>
      </c>
      <c r="F801" s="12">
        <v>2499200</v>
      </c>
      <c r="G801">
        <v>8</v>
      </c>
      <c r="H801" s="10">
        <v>46174</v>
      </c>
      <c r="I801" s="10">
        <v>46266</v>
      </c>
      <c r="J801" t="b">
        <v>0</v>
      </c>
      <c r="K801" s="11">
        <v>2.84</v>
      </c>
    </row>
    <row r="802" spans="1:11" x14ac:dyDescent="0.3">
      <c r="A802" t="s">
        <v>847</v>
      </c>
      <c r="B802" t="s">
        <v>56</v>
      </c>
      <c r="C802" t="s">
        <v>62</v>
      </c>
      <c r="D802" s="10">
        <v>45931</v>
      </c>
      <c r="E802" s="11">
        <v>18.7</v>
      </c>
      <c r="F802" s="12">
        <v>1514700</v>
      </c>
      <c r="G802">
        <v>8</v>
      </c>
      <c r="H802" s="10">
        <v>46174</v>
      </c>
      <c r="I802" s="10">
        <v>46174</v>
      </c>
      <c r="J802" t="b">
        <v>0</v>
      </c>
      <c r="K802" s="11">
        <v>0</v>
      </c>
    </row>
    <row r="803" spans="1:11" x14ac:dyDescent="0.3">
      <c r="A803" t="s">
        <v>848</v>
      </c>
      <c r="B803" t="s">
        <v>56</v>
      </c>
      <c r="C803" t="s">
        <v>62</v>
      </c>
      <c r="D803" s="10">
        <v>45931</v>
      </c>
      <c r="E803" s="11">
        <v>11.6</v>
      </c>
      <c r="F803" s="12">
        <v>939600</v>
      </c>
      <c r="G803">
        <v>5</v>
      </c>
      <c r="H803" s="10">
        <v>46082</v>
      </c>
      <c r="I803" s="10">
        <v>46113</v>
      </c>
      <c r="J803" t="b">
        <v>0</v>
      </c>
      <c r="K803" s="11">
        <v>1.01</v>
      </c>
    </row>
    <row r="804" spans="1:11" x14ac:dyDescent="0.3">
      <c r="A804" t="s">
        <v>849</v>
      </c>
      <c r="B804" t="s">
        <v>56</v>
      </c>
      <c r="C804" t="s">
        <v>62</v>
      </c>
      <c r="D804" s="10">
        <v>45931</v>
      </c>
      <c r="E804" s="11">
        <v>13.8</v>
      </c>
      <c r="F804" s="12">
        <v>1117800</v>
      </c>
      <c r="G804">
        <v>5</v>
      </c>
      <c r="H804" s="10">
        <v>46082</v>
      </c>
      <c r="I804" s="10">
        <v>46082</v>
      </c>
      <c r="J804" t="b">
        <v>0</v>
      </c>
      <c r="K804" s="11">
        <v>0.01</v>
      </c>
    </row>
    <row r="805" spans="1:11" x14ac:dyDescent="0.3">
      <c r="A805" t="s">
        <v>850</v>
      </c>
      <c r="B805" t="s">
        <v>65</v>
      </c>
      <c r="C805" t="s">
        <v>66</v>
      </c>
      <c r="D805" s="10">
        <v>45931</v>
      </c>
      <c r="E805" s="11">
        <v>6.6</v>
      </c>
      <c r="F805" s="12">
        <v>468600</v>
      </c>
      <c r="G805">
        <v>11</v>
      </c>
      <c r="H805" s="10">
        <v>46266</v>
      </c>
      <c r="I805" s="10">
        <v>46357</v>
      </c>
      <c r="J805" t="b">
        <v>0</v>
      </c>
      <c r="K805" s="11">
        <v>3.03</v>
      </c>
    </row>
    <row r="806" spans="1:11" x14ac:dyDescent="0.3">
      <c r="A806" t="s">
        <v>851</v>
      </c>
      <c r="B806" t="s">
        <v>65</v>
      </c>
      <c r="C806" t="s">
        <v>70</v>
      </c>
      <c r="D806" s="10">
        <v>45931</v>
      </c>
      <c r="E806" s="11">
        <v>11.5</v>
      </c>
      <c r="F806" s="12">
        <v>966000</v>
      </c>
      <c r="G806">
        <v>6</v>
      </c>
      <c r="H806" s="10">
        <v>46113</v>
      </c>
      <c r="I806" s="10">
        <v>46113</v>
      </c>
      <c r="J806" t="b">
        <v>0</v>
      </c>
      <c r="K806" s="11">
        <v>0.14000000000000001</v>
      </c>
    </row>
    <row r="807" spans="1:11" x14ac:dyDescent="0.3">
      <c r="A807" t="s">
        <v>852</v>
      </c>
      <c r="B807" t="s">
        <v>65</v>
      </c>
      <c r="C807" t="s">
        <v>70</v>
      </c>
      <c r="D807" s="10">
        <v>45931</v>
      </c>
      <c r="E807" s="11">
        <v>8.9</v>
      </c>
      <c r="F807" s="12">
        <v>747600</v>
      </c>
      <c r="G807">
        <v>6</v>
      </c>
      <c r="H807" s="10">
        <v>46113</v>
      </c>
      <c r="I807" s="10">
        <v>46143</v>
      </c>
      <c r="J807" t="b">
        <v>0</v>
      </c>
      <c r="K807" s="11">
        <v>0.67</v>
      </c>
    </row>
    <row r="808" spans="1:11" x14ac:dyDescent="0.3">
      <c r="A808" t="s">
        <v>853</v>
      </c>
      <c r="B808" t="s">
        <v>72</v>
      </c>
      <c r="C808" t="s">
        <v>72</v>
      </c>
      <c r="D808" s="10">
        <v>45931</v>
      </c>
      <c r="E808" s="11">
        <v>8.1999999999999993</v>
      </c>
      <c r="F808" s="12">
        <v>647800</v>
      </c>
      <c r="G808">
        <v>8</v>
      </c>
      <c r="H808" s="10">
        <v>46174</v>
      </c>
      <c r="I808" s="10">
        <v>46204</v>
      </c>
      <c r="J808" t="b">
        <v>0</v>
      </c>
      <c r="K808" s="11">
        <v>0.77</v>
      </c>
    </row>
    <row r="809" spans="1:11" x14ac:dyDescent="0.3">
      <c r="A809" t="s">
        <v>854</v>
      </c>
      <c r="B809" t="s">
        <v>72</v>
      </c>
      <c r="C809" t="s">
        <v>72</v>
      </c>
      <c r="D809" s="10">
        <v>45931</v>
      </c>
      <c r="E809" s="11">
        <v>16.5</v>
      </c>
      <c r="F809" s="12">
        <v>1303500</v>
      </c>
      <c r="G809">
        <v>11</v>
      </c>
      <c r="H809" s="10">
        <v>46266</v>
      </c>
      <c r="I809" s="10">
        <v>46388</v>
      </c>
      <c r="J809" t="b">
        <v>0</v>
      </c>
      <c r="K809" s="11">
        <v>3.9</v>
      </c>
    </row>
    <row r="810" spans="1:11" x14ac:dyDescent="0.3">
      <c r="A810" t="s">
        <v>855</v>
      </c>
      <c r="B810" t="s">
        <v>42</v>
      </c>
      <c r="C810" t="s">
        <v>43</v>
      </c>
      <c r="D810" s="10">
        <v>45962</v>
      </c>
      <c r="E810" s="11">
        <v>3.6</v>
      </c>
      <c r="F810" s="12">
        <v>298800</v>
      </c>
      <c r="G810">
        <v>6</v>
      </c>
      <c r="H810" s="10">
        <v>46143</v>
      </c>
      <c r="I810" s="10">
        <v>46143</v>
      </c>
      <c r="J810" t="b">
        <v>0</v>
      </c>
      <c r="K810" s="11">
        <v>0</v>
      </c>
    </row>
    <row r="811" spans="1:11" x14ac:dyDescent="0.3">
      <c r="A811" t="s">
        <v>856</v>
      </c>
      <c r="B811" t="s">
        <v>42</v>
      </c>
      <c r="C811" t="s">
        <v>43</v>
      </c>
      <c r="D811" s="10">
        <v>45962</v>
      </c>
      <c r="E811" s="11">
        <v>21.6</v>
      </c>
      <c r="F811" s="12">
        <v>1792800</v>
      </c>
      <c r="G811">
        <v>8</v>
      </c>
      <c r="H811" s="10">
        <v>46204</v>
      </c>
      <c r="I811" s="10">
        <v>46204</v>
      </c>
      <c r="J811" t="b">
        <v>0</v>
      </c>
      <c r="K811" s="11">
        <v>0</v>
      </c>
    </row>
    <row r="812" spans="1:11" x14ac:dyDescent="0.3">
      <c r="A812" t="s">
        <v>857</v>
      </c>
      <c r="B812" t="s">
        <v>42</v>
      </c>
      <c r="C812" t="s">
        <v>43</v>
      </c>
      <c r="D812" s="10">
        <v>45962</v>
      </c>
      <c r="E812" s="11">
        <v>4.3</v>
      </c>
      <c r="F812" s="12">
        <v>356900</v>
      </c>
      <c r="G812">
        <v>10</v>
      </c>
      <c r="H812" s="10">
        <v>46266</v>
      </c>
      <c r="I812" s="10">
        <v>46266</v>
      </c>
      <c r="J812" t="b">
        <v>0</v>
      </c>
      <c r="K812" s="11">
        <v>0</v>
      </c>
    </row>
    <row r="813" spans="1:11" x14ac:dyDescent="0.3">
      <c r="A813" t="s">
        <v>858</v>
      </c>
      <c r="B813" t="s">
        <v>42</v>
      </c>
      <c r="C813" t="s">
        <v>43</v>
      </c>
      <c r="D813" s="10">
        <v>45962</v>
      </c>
      <c r="E813" s="11">
        <v>9.1999999999999993</v>
      </c>
      <c r="F813" s="12">
        <v>763599.99999999988</v>
      </c>
      <c r="G813">
        <v>5</v>
      </c>
      <c r="H813" s="10">
        <v>46113</v>
      </c>
      <c r="I813" s="10">
        <v>46113</v>
      </c>
      <c r="J813" t="b">
        <v>0</v>
      </c>
      <c r="K813" s="11">
        <v>0.17</v>
      </c>
    </row>
    <row r="814" spans="1:11" x14ac:dyDescent="0.3">
      <c r="A814" t="s">
        <v>859</v>
      </c>
      <c r="B814" t="s">
        <v>42</v>
      </c>
      <c r="C814" t="s">
        <v>43</v>
      </c>
      <c r="D814" s="10">
        <v>45962</v>
      </c>
      <c r="E814" s="11">
        <v>6.5</v>
      </c>
      <c r="F814" s="12">
        <v>539500</v>
      </c>
      <c r="G814">
        <v>6</v>
      </c>
      <c r="H814" s="10">
        <v>46143</v>
      </c>
      <c r="I814" s="10">
        <v>46143</v>
      </c>
      <c r="J814" t="b">
        <v>0</v>
      </c>
      <c r="K814" s="11">
        <v>0</v>
      </c>
    </row>
    <row r="815" spans="1:11" x14ac:dyDescent="0.3">
      <c r="A815" t="s">
        <v>860</v>
      </c>
      <c r="B815" t="s">
        <v>42</v>
      </c>
      <c r="C815" t="s">
        <v>43</v>
      </c>
      <c r="D815" s="10">
        <v>45962</v>
      </c>
      <c r="E815" s="11">
        <v>5.3</v>
      </c>
      <c r="F815" s="12">
        <v>439900</v>
      </c>
      <c r="G815">
        <v>5</v>
      </c>
      <c r="H815" s="10">
        <v>46113</v>
      </c>
      <c r="I815" s="10">
        <v>46113</v>
      </c>
      <c r="J815" t="b">
        <v>0</v>
      </c>
      <c r="K815" s="11">
        <v>0</v>
      </c>
    </row>
    <row r="816" spans="1:11" x14ac:dyDescent="0.3">
      <c r="A816" t="s">
        <v>861</v>
      </c>
      <c r="B816" t="s">
        <v>42</v>
      </c>
      <c r="C816" t="s">
        <v>43</v>
      </c>
      <c r="D816" s="10">
        <v>45962</v>
      </c>
      <c r="E816" s="11">
        <v>16.7</v>
      </c>
      <c r="F816" s="12">
        <v>1386100</v>
      </c>
      <c r="G816">
        <v>9</v>
      </c>
      <c r="H816" s="10">
        <v>46235</v>
      </c>
      <c r="I816" s="10"/>
      <c r="J816" t="b">
        <v>1</v>
      </c>
      <c r="K816" s="11">
        <v>1.31</v>
      </c>
    </row>
    <row r="817" spans="1:11" x14ac:dyDescent="0.3">
      <c r="A817" t="s">
        <v>862</v>
      </c>
      <c r="B817" t="s">
        <v>42</v>
      </c>
      <c r="C817" t="s">
        <v>43</v>
      </c>
      <c r="D817" s="10">
        <v>45962</v>
      </c>
      <c r="E817" s="11">
        <v>10.9</v>
      </c>
      <c r="F817" s="12">
        <v>904700</v>
      </c>
      <c r="G817">
        <v>6</v>
      </c>
      <c r="H817" s="10">
        <v>46143</v>
      </c>
      <c r="I817" s="10">
        <v>46143</v>
      </c>
      <c r="J817" t="b">
        <v>0</v>
      </c>
      <c r="K817" s="11">
        <v>0</v>
      </c>
    </row>
    <row r="818" spans="1:11" x14ac:dyDescent="0.3">
      <c r="A818" t="s">
        <v>863</v>
      </c>
      <c r="B818" t="s">
        <v>42</v>
      </c>
      <c r="C818" t="s">
        <v>43</v>
      </c>
      <c r="D818" s="10">
        <v>45962</v>
      </c>
      <c r="E818" s="11">
        <v>6.5</v>
      </c>
      <c r="F818" s="12">
        <v>539500</v>
      </c>
      <c r="G818">
        <v>9</v>
      </c>
      <c r="H818" s="10">
        <v>46235</v>
      </c>
      <c r="I818" s="10">
        <v>46235</v>
      </c>
      <c r="J818" t="b">
        <v>0</v>
      </c>
      <c r="K818" s="11">
        <v>0</v>
      </c>
    </row>
    <row r="819" spans="1:11" x14ac:dyDescent="0.3">
      <c r="A819" t="s">
        <v>864</v>
      </c>
      <c r="B819" t="s">
        <v>42</v>
      </c>
      <c r="C819" t="s">
        <v>43</v>
      </c>
      <c r="D819" s="10">
        <v>45962</v>
      </c>
      <c r="E819" s="11">
        <v>11.1</v>
      </c>
      <c r="F819" s="12">
        <v>921300</v>
      </c>
      <c r="G819">
        <v>10</v>
      </c>
      <c r="H819" s="10">
        <v>46266</v>
      </c>
      <c r="I819" s="10">
        <v>46266</v>
      </c>
      <c r="J819" t="b">
        <v>0</v>
      </c>
      <c r="K819" s="11">
        <v>0.01</v>
      </c>
    </row>
    <row r="820" spans="1:11" x14ac:dyDescent="0.3">
      <c r="A820" t="s">
        <v>865</v>
      </c>
      <c r="B820" t="s">
        <v>42</v>
      </c>
      <c r="C820" t="s">
        <v>43</v>
      </c>
      <c r="D820" s="10">
        <v>45962</v>
      </c>
      <c r="E820" s="11">
        <v>3.3</v>
      </c>
      <c r="F820" s="12">
        <v>273900</v>
      </c>
      <c r="G820">
        <v>9</v>
      </c>
      <c r="H820" s="10">
        <v>46235</v>
      </c>
      <c r="I820" s="10">
        <v>46235</v>
      </c>
      <c r="J820" t="b">
        <v>0</v>
      </c>
      <c r="K820" s="11">
        <v>0.26</v>
      </c>
    </row>
    <row r="821" spans="1:11" x14ac:dyDescent="0.3">
      <c r="A821" t="s">
        <v>866</v>
      </c>
      <c r="B821" t="s">
        <v>42</v>
      </c>
      <c r="C821" t="s">
        <v>43</v>
      </c>
      <c r="D821" s="10">
        <v>45962</v>
      </c>
      <c r="E821" s="11">
        <v>9.9</v>
      </c>
      <c r="F821" s="12">
        <v>821700</v>
      </c>
      <c r="G821">
        <v>9</v>
      </c>
      <c r="H821" s="10">
        <v>46235</v>
      </c>
      <c r="I821" s="10">
        <v>46266</v>
      </c>
      <c r="J821" t="b">
        <v>0</v>
      </c>
      <c r="K821" s="11">
        <v>1.1299999999999999</v>
      </c>
    </row>
    <row r="822" spans="1:11" x14ac:dyDescent="0.3">
      <c r="A822" t="s">
        <v>867</v>
      </c>
      <c r="B822" t="s">
        <v>42</v>
      </c>
      <c r="C822" t="s">
        <v>43</v>
      </c>
      <c r="D822" s="10">
        <v>45962</v>
      </c>
      <c r="E822" s="11">
        <v>25</v>
      </c>
      <c r="F822" s="12">
        <v>2075000</v>
      </c>
      <c r="G822">
        <v>8</v>
      </c>
      <c r="H822" s="10">
        <v>46204</v>
      </c>
      <c r="I822" s="10">
        <v>46419</v>
      </c>
      <c r="J822" t="b">
        <v>0</v>
      </c>
      <c r="K822" s="11">
        <v>7.44</v>
      </c>
    </row>
    <row r="823" spans="1:11" x14ac:dyDescent="0.3">
      <c r="A823" t="s">
        <v>868</v>
      </c>
      <c r="B823" t="s">
        <v>42</v>
      </c>
      <c r="C823" t="s">
        <v>43</v>
      </c>
      <c r="D823" s="10">
        <v>45962</v>
      </c>
      <c r="E823" s="11">
        <v>20.100000000000001</v>
      </c>
      <c r="F823" s="12">
        <v>1668300</v>
      </c>
      <c r="G823">
        <v>9</v>
      </c>
      <c r="H823" s="10">
        <v>46235</v>
      </c>
      <c r="I823" s="10">
        <v>46235</v>
      </c>
      <c r="J823" t="b">
        <v>0</v>
      </c>
      <c r="K823" s="11">
        <v>0</v>
      </c>
    </row>
    <row r="824" spans="1:11" x14ac:dyDescent="0.3">
      <c r="A824" t="s">
        <v>869</v>
      </c>
      <c r="B824" t="s">
        <v>42</v>
      </c>
      <c r="C824" t="s">
        <v>43</v>
      </c>
      <c r="D824" s="10">
        <v>45962</v>
      </c>
      <c r="E824" s="11">
        <v>15.8</v>
      </c>
      <c r="F824" s="12">
        <v>1311400</v>
      </c>
      <c r="G824">
        <v>11</v>
      </c>
      <c r="H824" s="10">
        <v>46296</v>
      </c>
      <c r="I824" s="10">
        <v>46327</v>
      </c>
      <c r="J824" t="b">
        <v>0</v>
      </c>
      <c r="K824" s="11">
        <v>1.29</v>
      </c>
    </row>
    <row r="825" spans="1:11" x14ac:dyDescent="0.3">
      <c r="A825" t="s">
        <v>870</v>
      </c>
      <c r="B825" t="s">
        <v>42</v>
      </c>
      <c r="C825" t="s">
        <v>43</v>
      </c>
      <c r="D825" s="10">
        <v>45962</v>
      </c>
      <c r="E825" s="11">
        <v>7.6</v>
      </c>
      <c r="F825" s="12">
        <v>630800</v>
      </c>
      <c r="G825">
        <v>10</v>
      </c>
      <c r="H825" s="10">
        <v>46266</v>
      </c>
      <c r="I825" s="10">
        <v>46266</v>
      </c>
      <c r="J825" t="b">
        <v>0</v>
      </c>
      <c r="K825" s="11">
        <v>0.36</v>
      </c>
    </row>
    <row r="826" spans="1:11" x14ac:dyDescent="0.3">
      <c r="A826" t="s">
        <v>871</v>
      </c>
      <c r="B826" t="s">
        <v>42</v>
      </c>
      <c r="C826" t="s">
        <v>43</v>
      </c>
      <c r="D826" s="10">
        <v>45962</v>
      </c>
      <c r="E826" s="11">
        <v>8.3000000000000007</v>
      </c>
      <c r="F826" s="12">
        <v>688900.00000000012</v>
      </c>
      <c r="G826">
        <v>9</v>
      </c>
      <c r="H826" s="10">
        <v>46235</v>
      </c>
      <c r="I826" s="10">
        <v>46266</v>
      </c>
      <c r="J826" t="b">
        <v>0</v>
      </c>
      <c r="K826" s="11">
        <v>0.92</v>
      </c>
    </row>
    <row r="827" spans="1:11" x14ac:dyDescent="0.3">
      <c r="A827" t="s">
        <v>872</v>
      </c>
      <c r="B827" t="s">
        <v>42</v>
      </c>
      <c r="C827" t="s">
        <v>43</v>
      </c>
      <c r="D827" s="10">
        <v>45962</v>
      </c>
      <c r="E827" s="11">
        <v>27.7</v>
      </c>
      <c r="F827" s="12">
        <v>2299100</v>
      </c>
      <c r="G827">
        <v>11</v>
      </c>
      <c r="H827" s="10">
        <v>46296</v>
      </c>
      <c r="I827" s="10">
        <v>46296</v>
      </c>
      <c r="J827" t="b">
        <v>0</v>
      </c>
      <c r="K827" s="11">
        <v>0.01</v>
      </c>
    </row>
    <row r="828" spans="1:11" x14ac:dyDescent="0.3">
      <c r="A828" t="s">
        <v>873</v>
      </c>
      <c r="B828" t="s">
        <v>42</v>
      </c>
      <c r="C828" t="s">
        <v>43</v>
      </c>
      <c r="D828" s="10">
        <v>45962</v>
      </c>
      <c r="E828" s="11">
        <v>3.2</v>
      </c>
      <c r="F828" s="12">
        <v>265600</v>
      </c>
      <c r="G828">
        <v>6</v>
      </c>
      <c r="H828" s="10">
        <v>46143</v>
      </c>
      <c r="I828" s="10">
        <v>46204</v>
      </c>
      <c r="J828" t="b">
        <v>0</v>
      </c>
      <c r="K828" s="11">
        <v>1.79</v>
      </c>
    </row>
    <row r="829" spans="1:11" x14ac:dyDescent="0.3">
      <c r="A829" t="s">
        <v>874</v>
      </c>
      <c r="B829" t="s">
        <v>42</v>
      </c>
      <c r="C829" t="s">
        <v>43</v>
      </c>
      <c r="D829" s="10">
        <v>45962</v>
      </c>
      <c r="E829" s="11">
        <v>52.1</v>
      </c>
      <c r="F829" s="12">
        <v>4324300</v>
      </c>
      <c r="G829">
        <v>7</v>
      </c>
      <c r="H829" s="10">
        <v>46174</v>
      </c>
      <c r="I829" s="10">
        <v>46174</v>
      </c>
      <c r="J829" t="b">
        <v>0</v>
      </c>
      <c r="K829" s="11">
        <v>0</v>
      </c>
    </row>
    <row r="830" spans="1:11" x14ac:dyDescent="0.3">
      <c r="A830" t="s">
        <v>875</v>
      </c>
      <c r="B830" t="s">
        <v>42</v>
      </c>
      <c r="C830" t="s">
        <v>43</v>
      </c>
      <c r="D830" s="10">
        <v>45962</v>
      </c>
      <c r="E830" s="11">
        <v>6.6</v>
      </c>
      <c r="F830" s="12">
        <v>547800</v>
      </c>
      <c r="G830">
        <v>10</v>
      </c>
      <c r="H830" s="10">
        <v>46266</v>
      </c>
      <c r="I830" s="10">
        <v>46266</v>
      </c>
      <c r="J830" t="b">
        <v>0</v>
      </c>
      <c r="K830" s="11">
        <v>0.05</v>
      </c>
    </row>
    <row r="831" spans="1:11" x14ac:dyDescent="0.3">
      <c r="A831" t="s">
        <v>876</v>
      </c>
      <c r="B831" t="s">
        <v>42</v>
      </c>
      <c r="C831" t="s">
        <v>43</v>
      </c>
      <c r="D831" s="10">
        <v>45962</v>
      </c>
      <c r="E831" s="11">
        <v>14.9</v>
      </c>
      <c r="F831" s="12">
        <v>1236700</v>
      </c>
      <c r="G831">
        <v>10</v>
      </c>
      <c r="H831" s="10">
        <v>46266</v>
      </c>
      <c r="I831" s="10">
        <v>46266</v>
      </c>
      <c r="J831" t="b">
        <v>0</v>
      </c>
      <c r="K831" s="11">
        <v>0.11</v>
      </c>
    </row>
    <row r="832" spans="1:11" x14ac:dyDescent="0.3">
      <c r="A832" t="s">
        <v>877</v>
      </c>
      <c r="B832" t="s">
        <v>42</v>
      </c>
      <c r="C832" t="s">
        <v>43</v>
      </c>
      <c r="D832" s="10">
        <v>45962</v>
      </c>
      <c r="E832" s="11">
        <v>33.200000000000003</v>
      </c>
      <c r="F832" s="12">
        <v>2755600</v>
      </c>
      <c r="G832">
        <v>11</v>
      </c>
      <c r="H832" s="10">
        <v>46296</v>
      </c>
      <c r="I832" s="10">
        <v>46296</v>
      </c>
      <c r="J832" t="b">
        <v>0</v>
      </c>
      <c r="K832" s="11">
        <v>0</v>
      </c>
    </row>
    <row r="833" spans="1:11" x14ac:dyDescent="0.3">
      <c r="A833" t="s">
        <v>878</v>
      </c>
      <c r="B833" t="s">
        <v>42</v>
      </c>
      <c r="C833" t="s">
        <v>43</v>
      </c>
      <c r="D833" s="10">
        <v>45962</v>
      </c>
      <c r="E833" s="11">
        <v>15.8</v>
      </c>
      <c r="F833" s="12">
        <v>1311400</v>
      </c>
      <c r="G833">
        <v>8</v>
      </c>
      <c r="H833" s="10">
        <v>46204</v>
      </c>
      <c r="I833" s="10">
        <v>46204</v>
      </c>
      <c r="J833" t="b">
        <v>0</v>
      </c>
      <c r="K833" s="11">
        <v>0.16</v>
      </c>
    </row>
    <row r="834" spans="1:11" x14ac:dyDescent="0.3">
      <c r="A834" t="s">
        <v>879</v>
      </c>
      <c r="B834" t="s">
        <v>42</v>
      </c>
      <c r="C834" t="s">
        <v>43</v>
      </c>
      <c r="D834" s="10">
        <v>45962</v>
      </c>
      <c r="E834" s="11">
        <v>31.7</v>
      </c>
      <c r="F834" s="12">
        <v>2631100</v>
      </c>
      <c r="G834">
        <v>9</v>
      </c>
      <c r="H834" s="10">
        <v>46235</v>
      </c>
      <c r="I834" s="10">
        <v>46235</v>
      </c>
      <c r="J834" t="b">
        <v>0</v>
      </c>
      <c r="K834" s="11">
        <v>0.24</v>
      </c>
    </row>
    <row r="835" spans="1:11" x14ac:dyDescent="0.3">
      <c r="A835" t="s">
        <v>880</v>
      </c>
      <c r="B835" t="s">
        <v>42</v>
      </c>
      <c r="C835" t="s">
        <v>43</v>
      </c>
      <c r="D835" s="10">
        <v>45962</v>
      </c>
      <c r="E835" s="11">
        <v>16.899999999999999</v>
      </c>
      <c r="F835" s="12">
        <v>1402700</v>
      </c>
      <c r="G835">
        <v>11</v>
      </c>
      <c r="H835" s="10">
        <v>46296</v>
      </c>
      <c r="I835" s="10">
        <v>46296</v>
      </c>
      <c r="J835" t="b">
        <v>0</v>
      </c>
      <c r="K835" s="11">
        <v>0.18</v>
      </c>
    </row>
    <row r="836" spans="1:11" x14ac:dyDescent="0.3">
      <c r="A836" t="s">
        <v>881</v>
      </c>
      <c r="B836" t="s">
        <v>42</v>
      </c>
      <c r="C836" t="s">
        <v>43</v>
      </c>
      <c r="D836" s="10">
        <v>45962</v>
      </c>
      <c r="E836" s="11">
        <v>45</v>
      </c>
      <c r="F836" s="12">
        <v>3735000</v>
      </c>
      <c r="G836">
        <v>11</v>
      </c>
      <c r="H836" s="10">
        <v>46296</v>
      </c>
      <c r="I836" s="10">
        <v>46296</v>
      </c>
      <c r="J836" t="b">
        <v>0</v>
      </c>
      <c r="K836" s="11">
        <v>0</v>
      </c>
    </row>
    <row r="837" spans="1:11" x14ac:dyDescent="0.3">
      <c r="A837" t="s">
        <v>882</v>
      </c>
      <c r="B837" t="s">
        <v>42</v>
      </c>
      <c r="C837" t="s">
        <v>43</v>
      </c>
      <c r="D837" s="10">
        <v>45962</v>
      </c>
      <c r="E837" s="11">
        <v>14.1</v>
      </c>
      <c r="F837" s="12">
        <v>1170300</v>
      </c>
      <c r="G837">
        <v>11</v>
      </c>
      <c r="H837" s="10">
        <v>46296</v>
      </c>
      <c r="I837" s="10">
        <v>46296</v>
      </c>
      <c r="J837" t="b">
        <v>0</v>
      </c>
      <c r="K837" s="11">
        <v>0.38</v>
      </c>
    </row>
    <row r="838" spans="1:11" x14ac:dyDescent="0.3">
      <c r="A838" t="s">
        <v>883</v>
      </c>
      <c r="B838" t="s">
        <v>42</v>
      </c>
      <c r="C838" t="s">
        <v>43</v>
      </c>
      <c r="D838" s="10">
        <v>45962</v>
      </c>
      <c r="E838" s="11">
        <v>19.399999999999999</v>
      </c>
      <c r="F838" s="12">
        <v>1610200</v>
      </c>
      <c r="G838">
        <v>8</v>
      </c>
      <c r="H838" s="10">
        <v>46204</v>
      </c>
      <c r="I838" s="10">
        <v>46204</v>
      </c>
      <c r="J838" t="b">
        <v>0</v>
      </c>
      <c r="K838" s="11">
        <v>0.28999999999999998</v>
      </c>
    </row>
    <row r="839" spans="1:11" x14ac:dyDescent="0.3">
      <c r="A839" t="s">
        <v>884</v>
      </c>
      <c r="B839" t="s">
        <v>42</v>
      </c>
      <c r="C839" t="s">
        <v>43</v>
      </c>
      <c r="D839" s="10">
        <v>45962</v>
      </c>
      <c r="E839" s="11">
        <v>5.3</v>
      </c>
      <c r="F839" s="12">
        <v>439900</v>
      </c>
      <c r="G839">
        <v>9</v>
      </c>
      <c r="H839" s="10">
        <v>46235</v>
      </c>
      <c r="I839" s="10">
        <v>46235</v>
      </c>
      <c r="J839" t="b">
        <v>0</v>
      </c>
      <c r="K839" s="11">
        <v>0</v>
      </c>
    </row>
    <row r="840" spans="1:11" x14ac:dyDescent="0.3">
      <c r="A840" t="s">
        <v>885</v>
      </c>
      <c r="B840" t="s">
        <v>56</v>
      </c>
      <c r="C840" t="s">
        <v>57</v>
      </c>
      <c r="D840" s="10">
        <v>45962</v>
      </c>
      <c r="E840" s="11">
        <v>8.4</v>
      </c>
      <c r="F840" s="12">
        <v>739200</v>
      </c>
      <c r="G840">
        <v>5</v>
      </c>
      <c r="H840" s="10">
        <v>46113</v>
      </c>
      <c r="I840" s="10">
        <v>46143</v>
      </c>
      <c r="J840" t="b">
        <v>0</v>
      </c>
      <c r="K840" s="11">
        <v>1.33</v>
      </c>
    </row>
    <row r="841" spans="1:11" x14ac:dyDescent="0.3">
      <c r="A841" t="s">
        <v>886</v>
      </c>
      <c r="B841" t="s">
        <v>56</v>
      </c>
      <c r="C841" t="s">
        <v>57</v>
      </c>
      <c r="D841" s="10">
        <v>45962</v>
      </c>
      <c r="E841" s="11">
        <v>23.7</v>
      </c>
      <c r="F841" s="12">
        <v>2085600</v>
      </c>
      <c r="G841">
        <v>11</v>
      </c>
      <c r="H841" s="10">
        <v>46296</v>
      </c>
      <c r="I841" s="10">
        <v>46388</v>
      </c>
      <c r="J841" t="b">
        <v>0</v>
      </c>
      <c r="K841" s="11">
        <v>3.43</v>
      </c>
    </row>
    <row r="842" spans="1:11" x14ac:dyDescent="0.3">
      <c r="A842" t="s">
        <v>887</v>
      </c>
      <c r="B842" t="s">
        <v>56</v>
      </c>
      <c r="C842" t="s">
        <v>57</v>
      </c>
      <c r="D842" s="10">
        <v>45962</v>
      </c>
      <c r="E842" s="11">
        <v>20.6</v>
      </c>
      <c r="F842" s="12">
        <v>1812800</v>
      </c>
      <c r="G842">
        <v>9</v>
      </c>
      <c r="H842" s="10">
        <v>46235</v>
      </c>
      <c r="I842" s="10">
        <v>46266</v>
      </c>
      <c r="J842" t="b">
        <v>0</v>
      </c>
      <c r="K842" s="11">
        <v>0.8</v>
      </c>
    </row>
    <row r="843" spans="1:11" x14ac:dyDescent="0.3">
      <c r="A843" t="s">
        <v>888</v>
      </c>
      <c r="B843" t="s">
        <v>56</v>
      </c>
      <c r="C843" t="s">
        <v>57</v>
      </c>
      <c r="D843" s="10">
        <v>45962</v>
      </c>
      <c r="E843" s="11">
        <v>25.1</v>
      </c>
      <c r="F843" s="12">
        <v>2208800</v>
      </c>
      <c r="G843">
        <v>9</v>
      </c>
      <c r="H843" s="10">
        <v>46235</v>
      </c>
      <c r="I843" s="10">
        <v>46235</v>
      </c>
      <c r="J843" t="b">
        <v>0</v>
      </c>
      <c r="K843" s="11">
        <v>0.04</v>
      </c>
    </row>
    <row r="844" spans="1:11" x14ac:dyDescent="0.3">
      <c r="A844" t="s">
        <v>889</v>
      </c>
      <c r="B844" t="s">
        <v>56</v>
      </c>
      <c r="C844" t="s">
        <v>57</v>
      </c>
      <c r="D844" s="10">
        <v>45962</v>
      </c>
      <c r="E844" s="11">
        <v>15.9</v>
      </c>
      <c r="F844" s="12">
        <v>1399200</v>
      </c>
      <c r="G844">
        <v>8</v>
      </c>
      <c r="H844" s="10">
        <v>46204</v>
      </c>
      <c r="I844" s="10">
        <v>46204</v>
      </c>
      <c r="J844" t="b">
        <v>0</v>
      </c>
      <c r="K844" s="11">
        <v>0.17</v>
      </c>
    </row>
    <row r="845" spans="1:11" x14ac:dyDescent="0.3">
      <c r="A845" t="s">
        <v>890</v>
      </c>
      <c r="B845" t="s">
        <v>56</v>
      </c>
      <c r="C845" t="s">
        <v>62</v>
      </c>
      <c r="D845" s="10">
        <v>45962</v>
      </c>
      <c r="E845" s="11">
        <v>9.5</v>
      </c>
      <c r="F845" s="12">
        <v>769500</v>
      </c>
      <c r="G845">
        <v>8</v>
      </c>
      <c r="H845" s="10">
        <v>46204</v>
      </c>
      <c r="I845" s="10">
        <v>46235</v>
      </c>
      <c r="J845" t="b">
        <v>0</v>
      </c>
      <c r="K845" s="11">
        <v>1.1000000000000001</v>
      </c>
    </row>
    <row r="846" spans="1:11" x14ac:dyDescent="0.3">
      <c r="A846" t="s">
        <v>891</v>
      </c>
      <c r="B846" t="s">
        <v>56</v>
      </c>
      <c r="C846" t="s">
        <v>62</v>
      </c>
      <c r="D846" s="10">
        <v>45962</v>
      </c>
      <c r="E846" s="11">
        <v>24.2</v>
      </c>
      <c r="F846" s="12">
        <v>1960200</v>
      </c>
      <c r="G846">
        <v>8</v>
      </c>
      <c r="H846" s="10">
        <v>46204</v>
      </c>
      <c r="I846" s="10">
        <v>46235</v>
      </c>
      <c r="J846" t="b">
        <v>0</v>
      </c>
      <c r="K846" s="11">
        <v>0.75</v>
      </c>
    </row>
    <row r="847" spans="1:11" x14ac:dyDescent="0.3">
      <c r="A847" t="s">
        <v>892</v>
      </c>
      <c r="B847" t="s">
        <v>56</v>
      </c>
      <c r="C847" t="s">
        <v>62</v>
      </c>
      <c r="D847" s="10">
        <v>45962</v>
      </c>
      <c r="E847" s="11">
        <v>7.3</v>
      </c>
      <c r="F847" s="12">
        <v>591300</v>
      </c>
      <c r="G847">
        <v>5</v>
      </c>
      <c r="H847" s="10">
        <v>46113</v>
      </c>
      <c r="I847" s="10">
        <v>46113</v>
      </c>
      <c r="J847" t="b">
        <v>0</v>
      </c>
      <c r="K847" s="11">
        <v>0.38</v>
      </c>
    </row>
    <row r="848" spans="1:11" x14ac:dyDescent="0.3">
      <c r="A848" t="s">
        <v>893</v>
      </c>
      <c r="B848" t="s">
        <v>56</v>
      </c>
      <c r="C848" t="s">
        <v>62</v>
      </c>
      <c r="D848" s="10">
        <v>45962</v>
      </c>
      <c r="E848" s="11">
        <v>7.4</v>
      </c>
      <c r="F848" s="12">
        <v>599400</v>
      </c>
      <c r="G848">
        <v>5</v>
      </c>
      <c r="H848" s="10">
        <v>46113</v>
      </c>
      <c r="I848" s="10">
        <v>46143</v>
      </c>
      <c r="J848" t="b">
        <v>0</v>
      </c>
      <c r="K848" s="11">
        <v>0.93</v>
      </c>
    </row>
    <row r="849" spans="1:11" x14ac:dyDescent="0.3">
      <c r="A849" t="s">
        <v>894</v>
      </c>
      <c r="B849" t="s">
        <v>65</v>
      </c>
      <c r="C849" t="s">
        <v>66</v>
      </c>
      <c r="D849" s="10">
        <v>45962</v>
      </c>
      <c r="E849" s="11">
        <v>41.5</v>
      </c>
      <c r="F849" s="12">
        <v>2946500</v>
      </c>
      <c r="G849">
        <v>10</v>
      </c>
      <c r="H849" s="10">
        <v>46266</v>
      </c>
      <c r="I849" s="10">
        <v>46296</v>
      </c>
      <c r="J849" t="b">
        <v>0</v>
      </c>
      <c r="K849" s="11">
        <v>1.1399999999999999</v>
      </c>
    </row>
    <row r="850" spans="1:11" x14ac:dyDescent="0.3">
      <c r="A850" t="s">
        <v>895</v>
      </c>
      <c r="B850" t="s">
        <v>65</v>
      </c>
      <c r="C850" t="s">
        <v>66</v>
      </c>
      <c r="D850" s="10">
        <v>45962</v>
      </c>
      <c r="E850" s="11">
        <v>16.100000000000001</v>
      </c>
      <c r="F850" s="12">
        <v>1143100</v>
      </c>
      <c r="G850">
        <v>10</v>
      </c>
      <c r="H850" s="10">
        <v>46266</v>
      </c>
      <c r="I850" s="10"/>
      <c r="J850" t="b">
        <v>1</v>
      </c>
      <c r="K850" s="11">
        <v>1.53</v>
      </c>
    </row>
    <row r="851" spans="1:11" x14ac:dyDescent="0.3">
      <c r="A851" t="s">
        <v>896</v>
      </c>
      <c r="B851" t="s">
        <v>65</v>
      </c>
      <c r="C851" t="s">
        <v>70</v>
      </c>
      <c r="D851" s="10">
        <v>45962</v>
      </c>
      <c r="E851" s="11">
        <v>35.200000000000003</v>
      </c>
      <c r="F851" s="12">
        <v>2956800</v>
      </c>
      <c r="G851">
        <v>11</v>
      </c>
      <c r="H851" s="10">
        <v>46296</v>
      </c>
      <c r="I851" s="10">
        <v>46447</v>
      </c>
      <c r="J851" t="b">
        <v>0</v>
      </c>
      <c r="K851" s="11">
        <v>4.8499999999999996</v>
      </c>
    </row>
    <row r="852" spans="1:11" x14ac:dyDescent="0.3">
      <c r="A852" t="s">
        <v>897</v>
      </c>
      <c r="B852" t="s">
        <v>65</v>
      </c>
      <c r="C852" t="s">
        <v>70</v>
      </c>
      <c r="D852" s="10">
        <v>45962</v>
      </c>
      <c r="E852" s="11">
        <v>10.3</v>
      </c>
      <c r="F852" s="12">
        <v>865200.00000000012</v>
      </c>
      <c r="G852">
        <v>9</v>
      </c>
      <c r="H852" s="10">
        <v>46235</v>
      </c>
      <c r="I852" s="10">
        <v>46357</v>
      </c>
      <c r="J852" t="b">
        <v>0</v>
      </c>
      <c r="K852" s="11">
        <v>3.95</v>
      </c>
    </row>
    <row r="853" spans="1:11" x14ac:dyDescent="0.3">
      <c r="A853" t="s">
        <v>898</v>
      </c>
      <c r="B853" t="s">
        <v>72</v>
      </c>
      <c r="C853" t="s">
        <v>72</v>
      </c>
      <c r="D853" s="10">
        <v>45962</v>
      </c>
      <c r="E853" s="11">
        <v>8.8000000000000007</v>
      </c>
      <c r="F853" s="12">
        <v>695200</v>
      </c>
      <c r="G853">
        <v>5</v>
      </c>
      <c r="H853" s="10">
        <v>46113</v>
      </c>
      <c r="I853" s="10">
        <v>46174</v>
      </c>
      <c r="J853" t="b">
        <v>0</v>
      </c>
      <c r="K853" s="11">
        <v>2.0299999999999998</v>
      </c>
    </row>
    <row r="854" spans="1:11" x14ac:dyDescent="0.3">
      <c r="A854" t="s">
        <v>899</v>
      </c>
      <c r="B854" t="s">
        <v>72</v>
      </c>
      <c r="C854" t="s">
        <v>72</v>
      </c>
      <c r="D854" s="10">
        <v>45962</v>
      </c>
      <c r="E854" s="11">
        <v>18.100000000000001</v>
      </c>
      <c r="F854" s="12">
        <v>1429900</v>
      </c>
      <c r="G854">
        <v>7</v>
      </c>
      <c r="H854" s="10">
        <v>46174</v>
      </c>
      <c r="I854" s="10">
        <v>46174</v>
      </c>
      <c r="J854" t="b">
        <v>0</v>
      </c>
      <c r="K854" s="11">
        <v>0.36</v>
      </c>
    </row>
    <row r="855" spans="1:11" x14ac:dyDescent="0.3">
      <c r="A855" t="s">
        <v>900</v>
      </c>
      <c r="B855" t="s">
        <v>42</v>
      </c>
      <c r="C855" t="s">
        <v>43</v>
      </c>
      <c r="D855" s="10">
        <v>45992</v>
      </c>
      <c r="E855" s="11">
        <v>4.0999999999999996</v>
      </c>
      <c r="F855" s="12">
        <v>340299.99999999988</v>
      </c>
      <c r="G855">
        <v>8</v>
      </c>
      <c r="H855" s="10">
        <v>46235</v>
      </c>
      <c r="I855" s="10">
        <v>46235</v>
      </c>
      <c r="J855" t="b">
        <v>0</v>
      </c>
      <c r="K855" s="11">
        <v>0.08</v>
      </c>
    </row>
    <row r="856" spans="1:11" x14ac:dyDescent="0.3">
      <c r="A856" t="s">
        <v>901</v>
      </c>
      <c r="B856" t="s">
        <v>42</v>
      </c>
      <c r="C856" t="s">
        <v>43</v>
      </c>
      <c r="D856" s="10">
        <v>45992</v>
      </c>
      <c r="E856" s="11">
        <v>12.5</v>
      </c>
      <c r="F856" s="12">
        <v>1037500</v>
      </c>
      <c r="G856">
        <v>11</v>
      </c>
      <c r="H856" s="10">
        <v>46327</v>
      </c>
      <c r="I856" s="10">
        <v>46327</v>
      </c>
      <c r="J856" t="b">
        <v>0</v>
      </c>
      <c r="K856" s="11">
        <v>0</v>
      </c>
    </row>
    <row r="857" spans="1:11" x14ac:dyDescent="0.3">
      <c r="A857" t="s">
        <v>902</v>
      </c>
      <c r="B857" t="s">
        <v>42</v>
      </c>
      <c r="C857" t="s">
        <v>43</v>
      </c>
      <c r="D857" s="10">
        <v>45992</v>
      </c>
      <c r="E857" s="11">
        <v>23.6</v>
      </c>
      <c r="F857" s="12">
        <v>1958800</v>
      </c>
      <c r="G857">
        <v>7</v>
      </c>
      <c r="H857" s="10">
        <v>46204</v>
      </c>
      <c r="I857" s="10">
        <v>46204</v>
      </c>
      <c r="J857" t="b">
        <v>0</v>
      </c>
      <c r="K857" s="11">
        <v>0.02</v>
      </c>
    </row>
    <row r="858" spans="1:11" x14ac:dyDescent="0.3">
      <c r="A858" t="s">
        <v>903</v>
      </c>
      <c r="B858" t="s">
        <v>42</v>
      </c>
      <c r="C858" t="s">
        <v>43</v>
      </c>
      <c r="D858" s="10">
        <v>45992</v>
      </c>
      <c r="E858" s="11">
        <v>7.1</v>
      </c>
      <c r="F858" s="12">
        <v>589300</v>
      </c>
      <c r="G858">
        <v>6</v>
      </c>
      <c r="H858" s="10">
        <v>46174</v>
      </c>
      <c r="I858" s="10">
        <v>46174</v>
      </c>
      <c r="J858" t="b">
        <v>0</v>
      </c>
      <c r="K858" s="11">
        <v>0.01</v>
      </c>
    </row>
    <row r="859" spans="1:11" x14ac:dyDescent="0.3">
      <c r="A859" t="s">
        <v>904</v>
      </c>
      <c r="B859" t="s">
        <v>42</v>
      </c>
      <c r="C859" t="s">
        <v>43</v>
      </c>
      <c r="D859" s="10">
        <v>45992</v>
      </c>
      <c r="E859" s="11">
        <v>12.4</v>
      </c>
      <c r="F859" s="12">
        <v>1029200</v>
      </c>
      <c r="G859">
        <v>10</v>
      </c>
      <c r="H859" s="10">
        <v>46296</v>
      </c>
      <c r="I859" s="10">
        <v>46296</v>
      </c>
      <c r="J859" t="b">
        <v>0</v>
      </c>
      <c r="K859" s="11">
        <v>0.1</v>
      </c>
    </row>
    <row r="860" spans="1:11" x14ac:dyDescent="0.3">
      <c r="A860" t="s">
        <v>905</v>
      </c>
      <c r="B860" t="s">
        <v>42</v>
      </c>
      <c r="C860" t="s">
        <v>43</v>
      </c>
      <c r="D860" s="10">
        <v>45992</v>
      </c>
      <c r="E860" s="11">
        <v>4.5999999999999996</v>
      </c>
      <c r="F860" s="12">
        <v>381800</v>
      </c>
      <c r="G860">
        <v>9</v>
      </c>
      <c r="H860" s="10">
        <v>46266</v>
      </c>
      <c r="I860" s="10"/>
      <c r="J860" t="b">
        <v>1</v>
      </c>
      <c r="K860" s="11">
        <v>1.46</v>
      </c>
    </row>
    <row r="861" spans="1:11" x14ac:dyDescent="0.3">
      <c r="A861" t="s">
        <v>906</v>
      </c>
      <c r="B861" t="s">
        <v>42</v>
      </c>
      <c r="C861" t="s">
        <v>43</v>
      </c>
      <c r="D861" s="10">
        <v>45992</v>
      </c>
      <c r="E861" s="11">
        <v>3.2</v>
      </c>
      <c r="F861" s="12">
        <v>265600</v>
      </c>
      <c r="G861">
        <v>10</v>
      </c>
      <c r="H861" s="10">
        <v>46296</v>
      </c>
      <c r="I861" s="10">
        <v>46296</v>
      </c>
      <c r="J861" t="b">
        <v>0</v>
      </c>
      <c r="K861" s="11">
        <v>0</v>
      </c>
    </row>
    <row r="862" spans="1:11" x14ac:dyDescent="0.3">
      <c r="A862" t="s">
        <v>907</v>
      </c>
      <c r="B862" t="s">
        <v>42</v>
      </c>
      <c r="C862" t="s">
        <v>43</v>
      </c>
      <c r="D862" s="10">
        <v>45992</v>
      </c>
      <c r="E862" s="11">
        <v>13.8</v>
      </c>
      <c r="F862" s="12">
        <v>1145400</v>
      </c>
      <c r="G862">
        <v>11</v>
      </c>
      <c r="H862" s="10">
        <v>46327</v>
      </c>
      <c r="I862" s="10">
        <v>46327</v>
      </c>
      <c r="J862" t="b">
        <v>0</v>
      </c>
      <c r="K862" s="11">
        <v>0</v>
      </c>
    </row>
    <row r="863" spans="1:11" x14ac:dyDescent="0.3">
      <c r="A863" t="s">
        <v>908</v>
      </c>
      <c r="B863" t="s">
        <v>42</v>
      </c>
      <c r="C863" t="s">
        <v>43</v>
      </c>
      <c r="D863" s="10">
        <v>45992</v>
      </c>
      <c r="E863" s="11">
        <v>18.3</v>
      </c>
      <c r="F863" s="12">
        <v>1518900</v>
      </c>
      <c r="G863">
        <v>11</v>
      </c>
      <c r="H863" s="10">
        <v>46327</v>
      </c>
      <c r="I863" s="10">
        <v>46327</v>
      </c>
      <c r="J863" t="b">
        <v>0</v>
      </c>
      <c r="K863" s="11">
        <v>0</v>
      </c>
    </row>
    <row r="864" spans="1:11" x14ac:dyDescent="0.3">
      <c r="A864" t="s">
        <v>909</v>
      </c>
      <c r="B864" t="s">
        <v>42</v>
      </c>
      <c r="C864" t="s">
        <v>43</v>
      </c>
      <c r="D864" s="10">
        <v>45992</v>
      </c>
      <c r="E864" s="11">
        <v>13.4</v>
      </c>
      <c r="F864" s="12">
        <v>1112200</v>
      </c>
      <c r="G864">
        <v>10</v>
      </c>
      <c r="H864" s="10">
        <v>46296</v>
      </c>
      <c r="I864" s="10">
        <v>46327</v>
      </c>
      <c r="J864" t="b">
        <v>0</v>
      </c>
      <c r="K864" s="11">
        <v>0.81</v>
      </c>
    </row>
    <row r="865" spans="1:11" x14ac:dyDescent="0.3">
      <c r="A865" t="s">
        <v>910</v>
      </c>
      <c r="B865" t="s">
        <v>42</v>
      </c>
      <c r="C865" t="s">
        <v>43</v>
      </c>
      <c r="D865" s="10">
        <v>45992</v>
      </c>
      <c r="E865" s="11">
        <v>15.3</v>
      </c>
      <c r="F865" s="12">
        <v>1269900</v>
      </c>
      <c r="G865">
        <v>5</v>
      </c>
      <c r="H865" s="10">
        <v>46143</v>
      </c>
      <c r="I865" s="10">
        <v>46143</v>
      </c>
      <c r="J865" t="b">
        <v>0</v>
      </c>
      <c r="K865" s="11">
        <v>0.01</v>
      </c>
    </row>
    <row r="866" spans="1:11" x14ac:dyDescent="0.3">
      <c r="A866" t="s">
        <v>911</v>
      </c>
      <c r="B866" t="s">
        <v>42</v>
      </c>
      <c r="C866" t="s">
        <v>43</v>
      </c>
      <c r="D866" s="10">
        <v>45992</v>
      </c>
      <c r="E866" s="11">
        <v>17.3</v>
      </c>
      <c r="F866" s="12">
        <v>1435900</v>
      </c>
      <c r="G866">
        <v>8</v>
      </c>
      <c r="H866" s="10">
        <v>46235</v>
      </c>
      <c r="I866" s="10">
        <v>46266</v>
      </c>
      <c r="J866" t="b">
        <v>0</v>
      </c>
      <c r="K866" s="11">
        <v>1.1000000000000001</v>
      </c>
    </row>
    <row r="867" spans="1:11" x14ac:dyDescent="0.3">
      <c r="A867" t="s">
        <v>912</v>
      </c>
      <c r="B867" t="s">
        <v>42</v>
      </c>
      <c r="C867" t="s">
        <v>43</v>
      </c>
      <c r="D867" s="10">
        <v>45992</v>
      </c>
      <c r="E867" s="11">
        <v>3.4</v>
      </c>
      <c r="F867" s="12">
        <v>282200</v>
      </c>
      <c r="G867">
        <v>9</v>
      </c>
      <c r="H867" s="10">
        <v>46266</v>
      </c>
      <c r="I867" s="10">
        <v>46266</v>
      </c>
      <c r="J867" t="b">
        <v>0</v>
      </c>
      <c r="K867" s="11">
        <v>0</v>
      </c>
    </row>
    <row r="868" spans="1:11" x14ac:dyDescent="0.3">
      <c r="A868" t="s">
        <v>913</v>
      </c>
      <c r="B868" t="s">
        <v>42</v>
      </c>
      <c r="C868" t="s">
        <v>43</v>
      </c>
      <c r="D868" s="10">
        <v>45992</v>
      </c>
      <c r="E868" s="11">
        <v>53.4</v>
      </c>
      <c r="F868" s="12">
        <v>4432200</v>
      </c>
      <c r="G868">
        <v>9</v>
      </c>
      <c r="H868" s="10">
        <v>46266</v>
      </c>
      <c r="I868" s="10">
        <v>46266</v>
      </c>
      <c r="J868" t="b">
        <v>0</v>
      </c>
      <c r="K868" s="11">
        <v>0</v>
      </c>
    </row>
    <row r="869" spans="1:11" x14ac:dyDescent="0.3">
      <c r="A869" t="s">
        <v>914</v>
      </c>
      <c r="B869" t="s">
        <v>42</v>
      </c>
      <c r="C869" t="s">
        <v>43</v>
      </c>
      <c r="D869" s="10">
        <v>45992</v>
      </c>
      <c r="E869" s="11">
        <v>14.2</v>
      </c>
      <c r="F869" s="12">
        <v>1178600</v>
      </c>
      <c r="G869">
        <v>5</v>
      </c>
      <c r="H869" s="10">
        <v>46143</v>
      </c>
      <c r="I869" s="10">
        <v>46143</v>
      </c>
      <c r="J869" t="b">
        <v>0</v>
      </c>
      <c r="K869" s="11">
        <v>0.23</v>
      </c>
    </row>
    <row r="870" spans="1:11" x14ac:dyDescent="0.3">
      <c r="A870" t="s">
        <v>915</v>
      </c>
      <c r="B870" t="s">
        <v>42</v>
      </c>
      <c r="C870" t="s">
        <v>43</v>
      </c>
      <c r="D870" s="10">
        <v>45992</v>
      </c>
      <c r="E870" s="11">
        <v>23.9</v>
      </c>
      <c r="F870" s="12">
        <v>1983700</v>
      </c>
      <c r="G870">
        <v>10</v>
      </c>
      <c r="H870" s="10">
        <v>46296</v>
      </c>
      <c r="I870" s="10">
        <v>46296</v>
      </c>
      <c r="J870" t="b">
        <v>0</v>
      </c>
      <c r="K870" s="11">
        <v>0</v>
      </c>
    </row>
    <row r="871" spans="1:11" x14ac:dyDescent="0.3">
      <c r="A871" t="s">
        <v>916</v>
      </c>
      <c r="B871" t="s">
        <v>42</v>
      </c>
      <c r="C871" t="s">
        <v>43</v>
      </c>
      <c r="D871" s="10">
        <v>45992</v>
      </c>
      <c r="E871" s="11">
        <v>10.4</v>
      </c>
      <c r="F871" s="12">
        <v>863200</v>
      </c>
      <c r="G871">
        <v>10</v>
      </c>
      <c r="H871" s="10">
        <v>46296</v>
      </c>
      <c r="I871" s="10">
        <v>46296</v>
      </c>
      <c r="J871" t="b">
        <v>0</v>
      </c>
      <c r="K871" s="11">
        <v>0.03</v>
      </c>
    </row>
    <row r="872" spans="1:11" x14ac:dyDescent="0.3">
      <c r="A872" t="s">
        <v>917</v>
      </c>
      <c r="B872" t="s">
        <v>42</v>
      </c>
      <c r="C872" t="s">
        <v>43</v>
      </c>
      <c r="D872" s="10">
        <v>45992</v>
      </c>
      <c r="E872" s="11">
        <v>23.8</v>
      </c>
      <c r="F872" s="12">
        <v>1975400</v>
      </c>
      <c r="G872">
        <v>8</v>
      </c>
      <c r="H872" s="10">
        <v>46235</v>
      </c>
      <c r="I872" s="10">
        <v>46235</v>
      </c>
      <c r="J872" t="b">
        <v>0</v>
      </c>
      <c r="K872" s="11">
        <v>0.14000000000000001</v>
      </c>
    </row>
    <row r="873" spans="1:11" x14ac:dyDescent="0.3">
      <c r="A873" t="s">
        <v>918</v>
      </c>
      <c r="B873" t="s">
        <v>42</v>
      </c>
      <c r="C873" t="s">
        <v>43</v>
      </c>
      <c r="D873" s="10">
        <v>45992</v>
      </c>
      <c r="E873" s="11">
        <v>16.899999999999999</v>
      </c>
      <c r="F873" s="12">
        <v>1402700</v>
      </c>
      <c r="G873">
        <v>5</v>
      </c>
      <c r="H873" s="10">
        <v>46143</v>
      </c>
      <c r="I873" s="10">
        <v>46143</v>
      </c>
      <c r="J873" t="b">
        <v>0</v>
      </c>
      <c r="K873" s="11">
        <v>0.01</v>
      </c>
    </row>
    <row r="874" spans="1:11" x14ac:dyDescent="0.3">
      <c r="A874" t="s">
        <v>919</v>
      </c>
      <c r="B874" t="s">
        <v>42</v>
      </c>
      <c r="C874" t="s">
        <v>43</v>
      </c>
      <c r="D874" s="10">
        <v>45992</v>
      </c>
      <c r="E874" s="11">
        <v>7.5</v>
      </c>
      <c r="F874" s="12">
        <v>622500</v>
      </c>
      <c r="G874">
        <v>5</v>
      </c>
      <c r="H874" s="10">
        <v>46143</v>
      </c>
      <c r="I874" s="10">
        <v>46143</v>
      </c>
      <c r="J874" t="b">
        <v>0</v>
      </c>
      <c r="K874" s="11">
        <v>0.32</v>
      </c>
    </row>
    <row r="875" spans="1:11" x14ac:dyDescent="0.3">
      <c r="A875" t="s">
        <v>920</v>
      </c>
      <c r="B875" t="s">
        <v>42</v>
      </c>
      <c r="C875" t="s">
        <v>43</v>
      </c>
      <c r="D875" s="10">
        <v>45992</v>
      </c>
      <c r="E875" s="11">
        <v>40.4</v>
      </c>
      <c r="F875" s="12">
        <v>3353200</v>
      </c>
      <c r="G875">
        <v>5</v>
      </c>
      <c r="H875" s="10">
        <v>46143</v>
      </c>
      <c r="I875" s="10">
        <v>46174</v>
      </c>
      <c r="J875" t="b">
        <v>0</v>
      </c>
      <c r="K875" s="11">
        <v>0.54</v>
      </c>
    </row>
    <row r="876" spans="1:11" x14ac:dyDescent="0.3">
      <c r="A876" t="s">
        <v>921</v>
      </c>
      <c r="B876" t="s">
        <v>42</v>
      </c>
      <c r="C876" t="s">
        <v>43</v>
      </c>
      <c r="D876" s="10">
        <v>45992</v>
      </c>
      <c r="E876" s="11">
        <v>13.4</v>
      </c>
      <c r="F876" s="12">
        <v>1112200</v>
      </c>
      <c r="G876">
        <v>5</v>
      </c>
      <c r="H876" s="10">
        <v>46143</v>
      </c>
      <c r="I876" s="10">
        <v>46174</v>
      </c>
      <c r="J876" t="b">
        <v>0</v>
      </c>
      <c r="K876" s="11">
        <v>0.6</v>
      </c>
    </row>
    <row r="877" spans="1:11" x14ac:dyDescent="0.3">
      <c r="A877" t="s">
        <v>922</v>
      </c>
      <c r="B877" t="s">
        <v>42</v>
      </c>
      <c r="C877" t="s">
        <v>43</v>
      </c>
      <c r="D877" s="10">
        <v>45992</v>
      </c>
      <c r="E877" s="11">
        <v>17.7</v>
      </c>
      <c r="F877" s="12">
        <v>1469100</v>
      </c>
      <c r="G877">
        <v>7</v>
      </c>
      <c r="H877" s="10">
        <v>46204</v>
      </c>
      <c r="I877" s="10">
        <v>46204</v>
      </c>
      <c r="J877" t="b">
        <v>0</v>
      </c>
      <c r="K877" s="11">
        <v>0</v>
      </c>
    </row>
    <row r="878" spans="1:11" x14ac:dyDescent="0.3">
      <c r="A878" t="s">
        <v>923</v>
      </c>
      <c r="B878" t="s">
        <v>42</v>
      </c>
      <c r="C878" t="s">
        <v>43</v>
      </c>
      <c r="D878" s="10">
        <v>45992</v>
      </c>
      <c r="E878" s="11">
        <v>31</v>
      </c>
      <c r="F878" s="12">
        <v>2573000</v>
      </c>
      <c r="G878">
        <v>10</v>
      </c>
      <c r="H878" s="10">
        <v>46296</v>
      </c>
      <c r="I878" s="10">
        <v>46296</v>
      </c>
      <c r="J878" t="b">
        <v>0</v>
      </c>
      <c r="K878" s="11">
        <v>0.01</v>
      </c>
    </row>
    <row r="879" spans="1:11" x14ac:dyDescent="0.3">
      <c r="A879" t="s">
        <v>924</v>
      </c>
      <c r="B879" t="s">
        <v>42</v>
      </c>
      <c r="C879" t="s">
        <v>43</v>
      </c>
      <c r="D879" s="10">
        <v>45992</v>
      </c>
      <c r="E879" s="11">
        <v>3.7</v>
      </c>
      <c r="F879" s="12">
        <v>307100</v>
      </c>
      <c r="G879">
        <v>11</v>
      </c>
      <c r="H879" s="10">
        <v>46327</v>
      </c>
      <c r="I879" s="10">
        <v>46327</v>
      </c>
      <c r="J879" t="b">
        <v>0</v>
      </c>
      <c r="K879" s="11">
        <v>0</v>
      </c>
    </row>
    <row r="880" spans="1:11" x14ac:dyDescent="0.3">
      <c r="A880" t="s">
        <v>925</v>
      </c>
      <c r="B880" t="s">
        <v>42</v>
      </c>
      <c r="C880" t="s">
        <v>43</v>
      </c>
      <c r="D880" s="10">
        <v>45992</v>
      </c>
      <c r="E880" s="11">
        <v>16</v>
      </c>
      <c r="F880" s="12">
        <v>1328000</v>
      </c>
      <c r="G880">
        <v>8</v>
      </c>
      <c r="H880" s="10">
        <v>46235</v>
      </c>
      <c r="I880" s="10">
        <v>46266</v>
      </c>
      <c r="J880" t="b">
        <v>0</v>
      </c>
      <c r="K880" s="11">
        <v>1.22</v>
      </c>
    </row>
    <row r="881" spans="1:11" x14ac:dyDescent="0.3">
      <c r="A881" t="s">
        <v>926</v>
      </c>
      <c r="B881" t="s">
        <v>42</v>
      </c>
      <c r="C881" t="s">
        <v>43</v>
      </c>
      <c r="D881" s="10">
        <v>45992</v>
      </c>
      <c r="E881" s="11">
        <v>31.5</v>
      </c>
      <c r="F881" s="12">
        <v>2614500</v>
      </c>
      <c r="G881">
        <v>9</v>
      </c>
      <c r="H881" s="10">
        <v>46266</v>
      </c>
      <c r="I881" s="10">
        <v>46266</v>
      </c>
      <c r="J881" t="b">
        <v>0</v>
      </c>
      <c r="K881" s="11">
        <v>0</v>
      </c>
    </row>
    <row r="882" spans="1:11" x14ac:dyDescent="0.3">
      <c r="A882" t="s">
        <v>927</v>
      </c>
      <c r="B882" t="s">
        <v>42</v>
      </c>
      <c r="C882" t="s">
        <v>43</v>
      </c>
      <c r="D882" s="10">
        <v>45992</v>
      </c>
      <c r="E882" s="11">
        <v>52.9</v>
      </c>
      <c r="F882" s="12">
        <v>4390700</v>
      </c>
      <c r="G882">
        <v>11</v>
      </c>
      <c r="H882" s="10">
        <v>46327</v>
      </c>
      <c r="I882" s="10">
        <v>46327</v>
      </c>
      <c r="J882" t="b">
        <v>0</v>
      </c>
      <c r="K882" s="11">
        <v>0.12</v>
      </c>
    </row>
    <row r="883" spans="1:11" x14ac:dyDescent="0.3">
      <c r="A883" t="s">
        <v>928</v>
      </c>
      <c r="B883" t="s">
        <v>42</v>
      </c>
      <c r="C883" t="s">
        <v>43</v>
      </c>
      <c r="D883" s="10">
        <v>45992</v>
      </c>
      <c r="E883" s="11">
        <v>2.2999999999999998</v>
      </c>
      <c r="F883" s="12">
        <v>190900</v>
      </c>
      <c r="G883">
        <v>5</v>
      </c>
      <c r="H883" s="10">
        <v>46143</v>
      </c>
      <c r="I883" s="10">
        <v>46143</v>
      </c>
      <c r="J883" t="b">
        <v>0</v>
      </c>
      <c r="K883" s="11">
        <v>0</v>
      </c>
    </row>
    <row r="884" spans="1:11" x14ac:dyDescent="0.3">
      <c r="A884" t="s">
        <v>929</v>
      </c>
      <c r="B884" t="s">
        <v>42</v>
      </c>
      <c r="C884" t="s">
        <v>43</v>
      </c>
      <c r="D884" s="10">
        <v>45992</v>
      </c>
      <c r="E884" s="11">
        <v>35.700000000000003</v>
      </c>
      <c r="F884" s="12">
        <v>2963100</v>
      </c>
      <c r="G884">
        <v>10</v>
      </c>
      <c r="H884" s="10">
        <v>46296</v>
      </c>
      <c r="I884" s="10">
        <v>46296</v>
      </c>
      <c r="J884" t="b">
        <v>0</v>
      </c>
      <c r="K884" s="11">
        <v>0</v>
      </c>
    </row>
    <row r="885" spans="1:11" x14ac:dyDescent="0.3">
      <c r="A885" t="s">
        <v>930</v>
      </c>
      <c r="B885" t="s">
        <v>42</v>
      </c>
      <c r="C885" t="s">
        <v>43</v>
      </c>
      <c r="D885" s="10">
        <v>45992</v>
      </c>
      <c r="E885" s="11">
        <v>19.2</v>
      </c>
      <c r="F885" s="12">
        <v>1593600</v>
      </c>
      <c r="G885">
        <v>7</v>
      </c>
      <c r="H885" s="10">
        <v>46204</v>
      </c>
      <c r="I885" s="10">
        <v>46204</v>
      </c>
      <c r="J885" t="b">
        <v>0</v>
      </c>
      <c r="K885" s="11">
        <v>0.03</v>
      </c>
    </row>
    <row r="886" spans="1:11" x14ac:dyDescent="0.3">
      <c r="A886" t="s">
        <v>931</v>
      </c>
      <c r="B886" t="s">
        <v>42</v>
      </c>
      <c r="C886" t="s">
        <v>43</v>
      </c>
      <c r="D886" s="10">
        <v>45992</v>
      </c>
      <c r="E886" s="11">
        <v>18.100000000000001</v>
      </c>
      <c r="F886" s="12">
        <v>1502300</v>
      </c>
      <c r="G886">
        <v>6</v>
      </c>
      <c r="H886" s="10">
        <v>46174</v>
      </c>
      <c r="I886" s="10">
        <v>46174</v>
      </c>
      <c r="J886" t="b">
        <v>0</v>
      </c>
      <c r="K886" s="11">
        <v>0.03</v>
      </c>
    </row>
    <row r="887" spans="1:11" x14ac:dyDescent="0.3">
      <c r="A887" t="s">
        <v>932</v>
      </c>
      <c r="B887" t="s">
        <v>42</v>
      </c>
      <c r="C887" t="s">
        <v>43</v>
      </c>
      <c r="D887" s="10">
        <v>45992</v>
      </c>
      <c r="E887" s="11">
        <v>12.5</v>
      </c>
      <c r="F887" s="12">
        <v>1037500</v>
      </c>
      <c r="G887">
        <v>8</v>
      </c>
      <c r="H887" s="10">
        <v>46235</v>
      </c>
      <c r="I887" s="10">
        <v>46235</v>
      </c>
      <c r="J887" t="b">
        <v>0</v>
      </c>
      <c r="K887" s="11">
        <v>0.03</v>
      </c>
    </row>
    <row r="888" spans="1:11" x14ac:dyDescent="0.3">
      <c r="A888" t="s">
        <v>933</v>
      </c>
      <c r="B888" t="s">
        <v>56</v>
      </c>
      <c r="C888" t="s">
        <v>57</v>
      </c>
      <c r="D888" s="10">
        <v>45992</v>
      </c>
      <c r="E888" s="11">
        <v>19.5</v>
      </c>
      <c r="F888" s="12">
        <v>1716000</v>
      </c>
      <c r="G888">
        <v>9</v>
      </c>
      <c r="H888" s="10">
        <v>46266</v>
      </c>
      <c r="I888" s="10">
        <v>46266</v>
      </c>
      <c r="J888" t="b">
        <v>0</v>
      </c>
      <c r="K888" s="11">
        <v>0.01</v>
      </c>
    </row>
    <row r="889" spans="1:11" x14ac:dyDescent="0.3">
      <c r="A889" t="s">
        <v>934</v>
      </c>
      <c r="B889" t="s">
        <v>56</v>
      </c>
      <c r="C889" t="s">
        <v>57</v>
      </c>
      <c r="D889" s="10">
        <v>45992</v>
      </c>
      <c r="E889" s="11">
        <v>32.5</v>
      </c>
      <c r="F889" s="12">
        <v>2860000</v>
      </c>
      <c r="G889">
        <v>8</v>
      </c>
      <c r="H889" s="10">
        <v>46235</v>
      </c>
      <c r="I889" s="10">
        <v>46235</v>
      </c>
      <c r="J889" t="b">
        <v>0</v>
      </c>
      <c r="K889" s="11">
        <v>0.41</v>
      </c>
    </row>
    <row r="890" spans="1:11" x14ac:dyDescent="0.3">
      <c r="A890" t="s">
        <v>935</v>
      </c>
      <c r="B890" t="s">
        <v>56</v>
      </c>
      <c r="C890" t="s">
        <v>57</v>
      </c>
      <c r="D890" s="10">
        <v>45992</v>
      </c>
      <c r="E890" s="11">
        <v>5.7</v>
      </c>
      <c r="F890" s="12">
        <v>501600</v>
      </c>
      <c r="G890">
        <v>11</v>
      </c>
      <c r="H890" s="10">
        <v>46327</v>
      </c>
      <c r="I890" s="10">
        <v>46327</v>
      </c>
      <c r="J890" t="b">
        <v>0</v>
      </c>
      <c r="K890" s="11">
        <v>0.24</v>
      </c>
    </row>
    <row r="891" spans="1:11" x14ac:dyDescent="0.3">
      <c r="A891" t="s">
        <v>936</v>
      </c>
      <c r="B891" t="s">
        <v>56</v>
      </c>
      <c r="C891" t="s">
        <v>57</v>
      </c>
      <c r="D891" s="10">
        <v>45992</v>
      </c>
      <c r="E891" s="11">
        <v>47.9</v>
      </c>
      <c r="F891" s="12">
        <v>4215200</v>
      </c>
      <c r="G891">
        <v>5</v>
      </c>
      <c r="H891" s="10">
        <v>46143</v>
      </c>
      <c r="I891" s="10">
        <v>46204</v>
      </c>
      <c r="J891" t="b">
        <v>0</v>
      </c>
      <c r="K891" s="11">
        <v>2.46</v>
      </c>
    </row>
    <row r="892" spans="1:11" x14ac:dyDescent="0.3">
      <c r="A892" t="s">
        <v>937</v>
      </c>
      <c r="B892" t="s">
        <v>56</v>
      </c>
      <c r="C892" t="s">
        <v>57</v>
      </c>
      <c r="D892" s="10">
        <v>45992</v>
      </c>
      <c r="E892" s="11">
        <v>16.899999999999999</v>
      </c>
      <c r="F892" s="12">
        <v>1487200</v>
      </c>
      <c r="G892">
        <v>8</v>
      </c>
      <c r="H892" s="10">
        <v>46235</v>
      </c>
      <c r="I892" s="10">
        <v>46327</v>
      </c>
      <c r="J892" t="b">
        <v>0</v>
      </c>
      <c r="K892" s="11">
        <v>2.61</v>
      </c>
    </row>
    <row r="893" spans="1:11" x14ac:dyDescent="0.3">
      <c r="A893" t="s">
        <v>938</v>
      </c>
      <c r="B893" t="s">
        <v>56</v>
      </c>
      <c r="C893" t="s">
        <v>62</v>
      </c>
      <c r="D893" s="10">
        <v>45992</v>
      </c>
      <c r="E893" s="11">
        <v>12.1</v>
      </c>
      <c r="F893" s="12">
        <v>980100</v>
      </c>
      <c r="G893">
        <v>7</v>
      </c>
      <c r="H893" s="10">
        <v>46204</v>
      </c>
      <c r="I893" s="10">
        <v>46204</v>
      </c>
      <c r="J893" t="b">
        <v>0</v>
      </c>
      <c r="K893" s="11">
        <v>0.12</v>
      </c>
    </row>
    <row r="894" spans="1:11" x14ac:dyDescent="0.3">
      <c r="A894" t="s">
        <v>939</v>
      </c>
      <c r="B894" t="s">
        <v>65</v>
      </c>
      <c r="C894" t="s">
        <v>66</v>
      </c>
      <c r="D894" s="10">
        <v>45992</v>
      </c>
      <c r="E894" s="11">
        <v>16.5</v>
      </c>
      <c r="F894" s="12">
        <v>1171500</v>
      </c>
      <c r="G894">
        <v>8</v>
      </c>
      <c r="H894" s="10">
        <v>46235</v>
      </c>
      <c r="I894" s="10">
        <v>46266</v>
      </c>
      <c r="J894" t="b">
        <v>0</v>
      </c>
      <c r="K894" s="11">
        <v>1</v>
      </c>
    </row>
    <row r="895" spans="1:11" x14ac:dyDescent="0.3">
      <c r="A895" t="s">
        <v>940</v>
      </c>
      <c r="B895" t="s">
        <v>65</v>
      </c>
      <c r="C895" t="s">
        <v>66</v>
      </c>
      <c r="D895" s="10">
        <v>45992</v>
      </c>
      <c r="E895" s="11">
        <v>15.3</v>
      </c>
      <c r="F895" s="12">
        <v>1086300</v>
      </c>
      <c r="G895">
        <v>9</v>
      </c>
      <c r="H895" s="10">
        <v>46266</v>
      </c>
      <c r="I895" s="10">
        <v>46357</v>
      </c>
      <c r="J895" t="b">
        <v>0</v>
      </c>
      <c r="K895" s="11">
        <v>3.14</v>
      </c>
    </row>
    <row r="896" spans="1:11" x14ac:dyDescent="0.3">
      <c r="A896" t="s">
        <v>941</v>
      </c>
      <c r="B896" t="s">
        <v>65</v>
      </c>
      <c r="C896" t="s">
        <v>66</v>
      </c>
      <c r="D896" s="10">
        <v>45992</v>
      </c>
      <c r="E896" s="11">
        <v>9.8000000000000007</v>
      </c>
      <c r="F896" s="12">
        <v>695800</v>
      </c>
      <c r="G896">
        <v>11</v>
      </c>
      <c r="H896" s="10">
        <v>46327</v>
      </c>
      <c r="I896" s="10">
        <v>46388</v>
      </c>
      <c r="J896" t="b">
        <v>0</v>
      </c>
      <c r="K896" s="11">
        <v>1.87</v>
      </c>
    </row>
    <row r="897" spans="1:11" x14ac:dyDescent="0.3">
      <c r="A897" t="s">
        <v>942</v>
      </c>
      <c r="B897" t="s">
        <v>65</v>
      </c>
      <c r="C897" t="s">
        <v>66</v>
      </c>
      <c r="D897" s="10">
        <v>45992</v>
      </c>
      <c r="E897" s="11">
        <v>16.8</v>
      </c>
      <c r="F897" s="12">
        <v>1192800</v>
      </c>
      <c r="G897">
        <v>9</v>
      </c>
      <c r="H897" s="10">
        <v>46266</v>
      </c>
      <c r="I897" s="10">
        <v>46631</v>
      </c>
      <c r="J897" t="b">
        <v>0</v>
      </c>
      <c r="K897" s="11">
        <v>11.57</v>
      </c>
    </row>
    <row r="898" spans="1:11" x14ac:dyDescent="0.3">
      <c r="A898" t="s">
        <v>943</v>
      </c>
      <c r="B898" t="s">
        <v>72</v>
      </c>
      <c r="C898" t="s">
        <v>72</v>
      </c>
      <c r="D898" s="10">
        <v>45992</v>
      </c>
      <c r="E898" s="11">
        <v>50.5</v>
      </c>
      <c r="F898" s="12">
        <v>3989500</v>
      </c>
      <c r="G898">
        <v>9</v>
      </c>
      <c r="H898" s="10">
        <v>46266</v>
      </c>
      <c r="I898" s="10">
        <v>46266</v>
      </c>
      <c r="J898" t="b">
        <v>0</v>
      </c>
      <c r="K898" s="11">
        <v>0.21</v>
      </c>
    </row>
    <row r="899" spans="1:11" x14ac:dyDescent="0.3">
      <c r="A899" t="s">
        <v>944</v>
      </c>
      <c r="B899" t="s">
        <v>72</v>
      </c>
      <c r="C899" t="s">
        <v>72</v>
      </c>
      <c r="D899" s="10">
        <v>45992</v>
      </c>
      <c r="E899" s="11">
        <v>6.9</v>
      </c>
      <c r="F899" s="12">
        <v>545100</v>
      </c>
      <c r="G899">
        <v>6</v>
      </c>
      <c r="H899" s="10">
        <v>46174</v>
      </c>
      <c r="I899" s="10">
        <v>46174</v>
      </c>
      <c r="J899" t="b">
        <v>0</v>
      </c>
      <c r="K899" s="11">
        <v>0.21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99"/>
  <sheetViews>
    <sheetView showGridLines="0" workbookViewId="0">
      <pane ySplit="4" topLeftCell="A5" activePane="bottomLeft" state="frozen"/>
      <selection pane="bottomLeft"/>
    </sheetView>
  </sheetViews>
  <sheetFormatPr defaultRowHeight="14.4" x14ac:dyDescent="0.3"/>
  <cols>
    <col min="1" max="1" width="12" customWidth="1"/>
    <col min="2" max="3" width="15" customWidth="1"/>
    <col min="4" max="4" width="9" customWidth="1"/>
    <col min="5" max="5" width="14" customWidth="1"/>
    <col min="6" max="6" width="16" customWidth="1"/>
    <col min="7" max="8" width="18" customWidth="1"/>
    <col min="9" max="9" width="12" customWidth="1"/>
    <col min="10" max="10" width="18" customWidth="1"/>
    <col min="11" max="11" width="13" customWidth="1"/>
    <col min="12" max="12" width="15" customWidth="1"/>
  </cols>
  <sheetData>
    <row r="1" spans="1:12" ht="17.399999999999999" x14ac:dyDescent="0.35">
      <c r="A1" s="1" t="s">
        <v>945</v>
      </c>
    </row>
    <row r="3" spans="1:12" x14ac:dyDescent="0.3">
      <c r="F3" s="13" t="e">
        <f>order_value x material rate</f>
        <v>#NAME?</v>
      </c>
      <c r="J3" s="13" t="e">
        <f>whole months between expected and actual, a check on the supplied slip</f>
        <v>#NAME?</v>
      </c>
    </row>
    <row r="4" spans="1:12" ht="30" customHeight="1" x14ac:dyDescent="0.3">
      <c r="A4" s="2" t="s">
        <v>30</v>
      </c>
      <c r="B4" s="2" t="s">
        <v>31</v>
      </c>
      <c r="C4" s="2" t="s">
        <v>32</v>
      </c>
      <c r="D4" s="2" t="s">
        <v>34</v>
      </c>
      <c r="E4" s="2" t="s">
        <v>35</v>
      </c>
      <c r="F4" s="2" t="s">
        <v>946</v>
      </c>
      <c r="G4" s="2" t="s">
        <v>37</v>
      </c>
      <c r="H4" s="2" t="s">
        <v>38</v>
      </c>
      <c r="I4" s="2" t="s">
        <v>40</v>
      </c>
      <c r="J4" s="2" t="s">
        <v>947</v>
      </c>
      <c r="K4" s="2" t="s">
        <v>948</v>
      </c>
      <c r="L4" s="2" t="s">
        <v>949</v>
      </c>
    </row>
    <row r="5" spans="1:12" x14ac:dyDescent="0.3">
      <c r="A5" t="str">
        <f>'Raw Orders'!A5</f>
        <v>NX-00001</v>
      </c>
      <c r="B5" t="str">
        <f>'Raw Orders'!B5</f>
        <v>North America</v>
      </c>
      <c r="C5" t="str">
        <f>'Raw Orders'!C5</f>
        <v>US / Canada</v>
      </c>
      <c r="D5" s="11">
        <f>'Raw Orders'!E5</f>
        <v>31.5</v>
      </c>
      <c r="E5" s="12">
        <f>'Raw Orders'!F5</f>
        <v>2614500</v>
      </c>
      <c r="F5" s="12">
        <f>'Raw Orders'!F5*0.75</f>
        <v>1960875</v>
      </c>
      <c r="G5" s="10">
        <f>'Raw Orders'!H5</f>
        <v>45627</v>
      </c>
      <c r="H5" s="10">
        <f>'Raw Orders'!I5</f>
        <v>45717</v>
      </c>
      <c r="I5" s="11">
        <f>'Raw Orders'!K5</f>
        <v>2.72</v>
      </c>
      <c r="J5" s="11">
        <f>IF('Raw Orders'!J5,"",(YEAR('Raw Orders'!I5)-YEAR('Raw Orders'!H5))*12+MONTH('Raw Orders'!I5)-MONTH('Raw Orders'!H5))</f>
        <v>3</v>
      </c>
      <c r="K5" t="str">
        <f>IF('Raw Orders'!J5,"Cancelled",IF('Raw Orders'!K5&gt;=2,"Slipped","On plan"))</f>
        <v>Slipped</v>
      </c>
      <c r="L5" s="12">
        <f t="shared" ref="L5:L68" si="0">IF(K5="On plan",0,F5)</f>
        <v>1960875</v>
      </c>
    </row>
    <row r="6" spans="1:12" x14ac:dyDescent="0.3">
      <c r="A6" t="str">
        <f>'Raw Orders'!A6</f>
        <v>NX-00002</v>
      </c>
      <c r="B6" t="str">
        <f>'Raw Orders'!B6</f>
        <v>North America</v>
      </c>
      <c r="C6" t="str">
        <f>'Raw Orders'!C6</f>
        <v>US / Canada</v>
      </c>
      <c r="D6" s="11">
        <f>'Raw Orders'!E6</f>
        <v>23.5</v>
      </c>
      <c r="E6" s="12">
        <f>'Raw Orders'!F6</f>
        <v>1950500</v>
      </c>
      <c r="F6" s="12">
        <f>'Raw Orders'!F6*0.75</f>
        <v>1462875</v>
      </c>
      <c r="G6" s="10">
        <f>'Raw Orders'!H6</f>
        <v>45505</v>
      </c>
      <c r="H6" s="10">
        <f>'Raw Orders'!I6</f>
        <v>45536</v>
      </c>
      <c r="I6" s="11">
        <f>'Raw Orders'!K6</f>
        <v>1.33</v>
      </c>
      <c r="J6" s="11">
        <f>IF('Raw Orders'!J6,"",(YEAR('Raw Orders'!I6)-YEAR('Raw Orders'!H6))*12+MONTH('Raw Orders'!I6)-MONTH('Raw Orders'!H6))</f>
        <v>1</v>
      </c>
      <c r="K6" t="str">
        <f>IF('Raw Orders'!J6,"Cancelled",IF('Raw Orders'!K6&gt;=2,"Slipped","On plan"))</f>
        <v>On plan</v>
      </c>
      <c r="L6" s="12">
        <f t="shared" si="0"/>
        <v>0</v>
      </c>
    </row>
    <row r="7" spans="1:12" x14ac:dyDescent="0.3">
      <c r="A7" t="str">
        <f>'Raw Orders'!A7</f>
        <v>NX-00003</v>
      </c>
      <c r="B7" t="str">
        <f>'Raw Orders'!B7</f>
        <v>North America</v>
      </c>
      <c r="C7" t="str">
        <f>'Raw Orders'!C7</f>
        <v>US / Canada</v>
      </c>
      <c r="D7" s="11">
        <f>'Raw Orders'!E7</f>
        <v>58.2</v>
      </c>
      <c r="E7" s="12">
        <f>'Raw Orders'!F7</f>
        <v>4830600</v>
      </c>
      <c r="F7" s="12">
        <f>'Raw Orders'!F7*0.75</f>
        <v>3622950</v>
      </c>
      <c r="G7" s="10">
        <f>'Raw Orders'!H7</f>
        <v>45627</v>
      </c>
      <c r="H7" s="10">
        <f>'Raw Orders'!I7</f>
        <v>45627</v>
      </c>
      <c r="I7" s="11">
        <f>'Raw Orders'!K7</f>
        <v>7.0000000000000007E-2</v>
      </c>
      <c r="J7" s="11">
        <f>IF('Raw Orders'!J7,"",(YEAR('Raw Orders'!I7)-YEAR('Raw Orders'!H7))*12+MONTH('Raw Orders'!I7)-MONTH('Raw Orders'!H7))</f>
        <v>0</v>
      </c>
      <c r="K7" t="str">
        <f>IF('Raw Orders'!J7,"Cancelled",IF('Raw Orders'!K7&gt;=2,"Slipped","On plan"))</f>
        <v>On plan</v>
      </c>
      <c r="L7" s="12">
        <f t="shared" si="0"/>
        <v>0</v>
      </c>
    </row>
    <row r="8" spans="1:12" x14ac:dyDescent="0.3">
      <c r="A8" t="str">
        <f>'Raw Orders'!A8</f>
        <v>NX-00004</v>
      </c>
      <c r="B8" t="str">
        <f>'Raw Orders'!B8</f>
        <v>North America</v>
      </c>
      <c r="C8" t="str">
        <f>'Raw Orders'!C8</f>
        <v>US / Canada</v>
      </c>
      <c r="D8" s="11">
        <f>'Raw Orders'!E8</f>
        <v>7</v>
      </c>
      <c r="E8" s="12">
        <f>'Raw Orders'!F8</f>
        <v>581000</v>
      </c>
      <c r="F8" s="12">
        <f>'Raw Orders'!F8*0.75</f>
        <v>435750</v>
      </c>
      <c r="G8" s="10">
        <f>'Raw Orders'!H8</f>
        <v>45505</v>
      </c>
      <c r="H8" s="10">
        <f>'Raw Orders'!I8</f>
        <v>45597</v>
      </c>
      <c r="I8" s="11">
        <f>'Raw Orders'!K8</f>
        <v>2.58</v>
      </c>
      <c r="J8" s="11">
        <f>IF('Raw Orders'!J8,"",(YEAR('Raw Orders'!I8)-YEAR('Raw Orders'!H8))*12+MONTH('Raw Orders'!I8)-MONTH('Raw Orders'!H8))</f>
        <v>3</v>
      </c>
      <c r="K8" t="str">
        <f>IF('Raw Orders'!J8,"Cancelled",IF('Raw Orders'!K8&gt;=2,"Slipped","On plan"))</f>
        <v>Slipped</v>
      </c>
      <c r="L8" s="12">
        <f t="shared" si="0"/>
        <v>435750</v>
      </c>
    </row>
    <row r="9" spans="1:12" x14ac:dyDescent="0.3">
      <c r="A9" t="str">
        <f>'Raw Orders'!A9</f>
        <v>NX-00005</v>
      </c>
      <c r="B9" t="str">
        <f>'Raw Orders'!B9</f>
        <v>North America</v>
      </c>
      <c r="C9" t="str">
        <f>'Raw Orders'!C9</f>
        <v>US / Canada</v>
      </c>
      <c r="D9" s="11">
        <f>'Raw Orders'!E9</f>
        <v>6</v>
      </c>
      <c r="E9" s="12">
        <f>'Raw Orders'!F9</f>
        <v>498000</v>
      </c>
      <c r="F9" s="12">
        <f>'Raw Orders'!F9*0.75</f>
        <v>373500</v>
      </c>
      <c r="G9" s="10">
        <f>'Raw Orders'!H9</f>
        <v>45444</v>
      </c>
      <c r="H9" s="10">
        <f>'Raw Orders'!I9</f>
        <v>45444</v>
      </c>
      <c r="I9" s="11">
        <f>'Raw Orders'!K9</f>
        <v>0</v>
      </c>
      <c r="J9" s="11">
        <f>IF('Raw Orders'!J9,"",(YEAR('Raw Orders'!I9)-YEAR('Raw Orders'!H9))*12+MONTH('Raw Orders'!I9)-MONTH('Raw Orders'!H9))</f>
        <v>0</v>
      </c>
      <c r="K9" t="str">
        <f>IF('Raw Orders'!J9,"Cancelled",IF('Raw Orders'!K9&gt;=2,"Slipped","On plan"))</f>
        <v>On plan</v>
      </c>
      <c r="L9" s="12">
        <f t="shared" si="0"/>
        <v>0</v>
      </c>
    </row>
    <row r="10" spans="1:12" x14ac:dyDescent="0.3">
      <c r="A10" t="str">
        <f>'Raw Orders'!A10</f>
        <v>NX-00006</v>
      </c>
      <c r="B10" t="str">
        <f>'Raw Orders'!B10</f>
        <v>North America</v>
      </c>
      <c r="C10" t="str">
        <f>'Raw Orders'!C10</f>
        <v>US / Canada</v>
      </c>
      <c r="D10" s="11">
        <f>'Raw Orders'!E10</f>
        <v>38.4</v>
      </c>
      <c r="E10" s="12">
        <f>'Raw Orders'!F10</f>
        <v>3187200</v>
      </c>
      <c r="F10" s="12">
        <f>'Raw Orders'!F10*0.75</f>
        <v>2390400</v>
      </c>
      <c r="G10" s="10">
        <f>'Raw Orders'!H10</f>
        <v>45627</v>
      </c>
      <c r="H10" s="10">
        <f>'Raw Orders'!I10</f>
        <v>45627</v>
      </c>
      <c r="I10" s="11">
        <f>'Raw Orders'!K10</f>
        <v>0</v>
      </c>
      <c r="J10" s="11">
        <f>IF('Raw Orders'!J10,"",(YEAR('Raw Orders'!I10)-YEAR('Raw Orders'!H10))*12+MONTH('Raw Orders'!I10)-MONTH('Raw Orders'!H10))</f>
        <v>0</v>
      </c>
      <c r="K10" t="str">
        <f>IF('Raw Orders'!J10,"Cancelled",IF('Raw Orders'!K10&gt;=2,"Slipped","On plan"))</f>
        <v>On plan</v>
      </c>
      <c r="L10" s="12">
        <f t="shared" si="0"/>
        <v>0</v>
      </c>
    </row>
    <row r="11" spans="1:12" x14ac:dyDescent="0.3">
      <c r="A11" t="str">
        <f>'Raw Orders'!A11</f>
        <v>NX-00007</v>
      </c>
      <c r="B11" t="str">
        <f>'Raw Orders'!B11</f>
        <v>North America</v>
      </c>
      <c r="C11" t="str">
        <f>'Raw Orders'!C11</f>
        <v>US / Canada</v>
      </c>
      <c r="D11" s="11">
        <f>'Raw Orders'!E11</f>
        <v>5.8</v>
      </c>
      <c r="E11" s="12">
        <f>'Raw Orders'!F11</f>
        <v>481400</v>
      </c>
      <c r="F11" s="12">
        <f>'Raw Orders'!F11*0.75</f>
        <v>361050</v>
      </c>
      <c r="G11" s="10">
        <f>'Raw Orders'!H11</f>
        <v>45505</v>
      </c>
      <c r="H11" s="10">
        <f>'Raw Orders'!I11</f>
        <v>45505</v>
      </c>
      <c r="I11" s="11">
        <f>'Raw Orders'!K11</f>
        <v>0</v>
      </c>
      <c r="J11" s="11">
        <f>IF('Raw Orders'!J11,"",(YEAR('Raw Orders'!I11)-YEAR('Raw Orders'!H11))*12+MONTH('Raw Orders'!I11)-MONTH('Raw Orders'!H11))</f>
        <v>0</v>
      </c>
      <c r="K11" t="str">
        <f>IF('Raw Orders'!J11,"Cancelled",IF('Raw Orders'!K11&gt;=2,"Slipped","On plan"))</f>
        <v>On plan</v>
      </c>
      <c r="L11" s="12">
        <f t="shared" si="0"/>
        <v>0</v>
      </c>
    </row>
    <row r="12" spans="1:12" x14ac:dyDescent="0.3">
      <c r="A12" t="str">
        <f>'Raw Orders'!A12</f>
        <v>NX-00008</v>
      </c>
      <c r="B12" t="str">
        <f>'Raw Orders'!B12</f>
        <v>North America</v>
      </c>
      <c r="C12" t="str">
        <f>'Raw Orders'!C12</f>
        <v>US / Canada</v>
      </c>
      <c r="D12" s="11">
        <f>'Raw Orders'!E12</f>
        <v>9.9</v>
      </c>
      <c r="E12" s="12">
        <f>'Raw Orders'!F12</f>
        <v>821700</v>
      </c>
      <c r="F12" s="12">
        <f>'Raw Orders'!F12*0.75</f>
        <v>616275</v>
      </c>
      <c r="G12" s="10">
        <f>'Raw Orders'!H12</f>
        <v>45444</v>
      </c>
      <c r="H12" s="10">
        <f>'Raw Orders'!I12</f>
        <v>45566</v>
      </c>
      <c r="I12" s="11">
        <f>'Raw Orders'!K12</f>
        <v>3.62</v>
      </c>
      <c r="J12" s="11">
        <f>IF('Raw Orders'!J12,"",(YEAR('Raw Orders'!I12)-YEAR('Raw Orders'!H12))*12+MONTH('Raw Orders'!I12)-MONTH('Raw Orders'!H12))</f>
        <v>4</v>
      </c>
      <c r="K12" t="str">
        <f>IF('Raw Orders'!J12,"Cancelled",IF('Raw Orders'!K12&gt;=2,"Slipped","On plan"))</f>
        <v>Slipped</v>
      </c>
      <c r="L12" s="12">
        <f t="shared" si="0"/>
        <v>616275</v>
      </c>
    </row>
    <row r="13" spans="1:12" x14ac:dyDescent="0.3">
      <c r="A13" t="str">
        <f>'Raw Orders'!A13</f>
        <v>NX-00009</v>
      </c>
      <c r="B13" t="str">
        <f>'Raw Orders'!B13</f>
        <v>North America</v>
      </c>
      <c r="C13" t="str">
        <f>'Raw Orders'!C13</f>
        <v>US / Canada</v>
      </c>
      <c r="D13" s="11">
        <f>'Raw Orders'!E13</f>
        <v>4.5</v>
      </c>
      <c r="E13" s="12">
        <f>'Raw Orders'!F13</f>
        <v>373500</v>
      </c>
      <c r="F13" s="12">
        <f>'Raw Orders'!F13*0.75</f>
        <v>280125</v>
      </c>
      <c r="G13" s="10">
        <f>'Raw Orders'!H13</f>
        <v>45627</v>
      </c>
      <c r="H13" s="10">
        <f>'Raw Orders'!I13</f>
        <v>45658</v>
      </c>
      <c r="I13" s="11">
        <f>'Raw Orders'!K13</f>
        <v>0.52</v>
      </c>
      <c r="J13" s="11">
        <f>IF('Raw Orders'!J13,"",(YEAR('Raw Orders'!I13)-YEAR('Raw Orders'!H13))*12+MONTH('Raw Orders'!I13)-MONTH('Raw Orders'!H13))</f>
        <v>1</v>
      </c>
      <c r="K13" t="str">
        <f>IF('Raw Orders'!J13,"Cancelled",IF('Raw Orders'!K13&gt;=2,"Slipped","On plan"))</f>
        <v>On plan</v>
      </c>
      <c r="L13" s="12">
        <f t="shared" si="0"/>
        <v>0</v>
      </c>
    </row>
    <row r="14" spans="1:12" x14ac:dyDescent="0.3">
      <c r="A14" t="str">
        <f>'Raw Orders'!A14</f>
        <v>NX-00010</v>
      </c>
      <c r="B14" t="str">
        <f>'Raw Orders'!B14</f>
        <v>North America</v>
      </c>
      <c r="C14" t="str">
        <f>'Raw Orders'!C14</f>
        <v>US / Canada</v>
      </c>
      <c r="D14" s="11">
        <f>'Raw Orders'!E14</f>
        <v>25.5</v>
      </c>
      <c r="E14" s="12">
        <f>'Raw Orders'!F14</f>
        <v>2116500</v>
      </c>
      <c r="F14" s="12">
        <f>'Raw Orders'!F14*0.75</f>
        <v>1587375</v>
      </c>
      <c r="G14" s="10">
        <f>'Raw Orders'!H14</f>
        <v>45505</v>
      </c>
      <c r="H14" s="10">
        <f>'Raw Orders'!I14</f>
        <v>45597</v>
      </c>
      <c r="I14" s="11">
        <f>'Raw Orders'!K14</f>
        <v>2.5299999999999998</v>
      </c>
      <c r="J14" s="11">
        <f>IF('Raw Orders'!J14,"",(YEAR('Raw Orders'!I14)-YEAR('Raw Orders'!H14))*12+MONTH('Raw Orders'!I14)-MONTH('Raw Orders'!H14))</f>
        <v>3</v>
      </c>
      <c r="K14" t="str">
        <f>IF('Raw Orders'!J14,"Cancelled",IF('Raw Orders'!K14&gt;=2,"Slipped","On plan"))</f>
        <v>Slipped</v>
      </c>
      <c r="L14" s="12">
        <f t="shared" si="0"/>
        <v>1587375</v>
      </c>
    </row>
    <row r="15" spans="1:12" x14ac:dyDescent="0.3">
      <c r="A15" t="str">
        <f>'Raw Orders'!A15</f>
        <v>NX-00011</v>
      </c>
      <c r="B15" t="str">
        <f>'Raw Orders'!B15</f>
        <v>North America</v>
      </c>
      <c r="C15" t="str">
        <f>'Raw Orders'!C15</f>
        <v>US / Canada</v>
      </c>
      <c r="D15" s="11">
        <f>'Raw Orders'!E15</f>
        <v>14.3</v>
      </c>
      <c r="E15" s="12">
        <f>'Raw Orders'!F15</f>
        <v>1186900</v>
      </c>
      <c r="F15" s="12">
        <f>'Raw Orders'!F15*0.75</f>
        <v>890175</v>
      </c>
      <c r="G15" s="10">
        <f>'Raw Orders'!H15</f>
        <v>45627</v>
      </c>
      <c r="H15" s="10">
        <f>'Raw Orders'!I15</f>
        <v>45717</v>
      </c>
      <c r="I15" s="11">
        <f>'Raw Orders'!K15</f>
        <v>3.42</v>
      </c>
      <c r="J15" s="11">
        <f>IF('Raw Orders'!J15,"",(YEAR('Raw Orders'!I15)-YEAR('Raw Orders'!H15))*12+MONTH('Raw Orders'!I15)-MONTH('Raw Orders'!H15))</f>
        <v>3</v>
      </c>
      <c r="K15" t="str">
        <f>IF('Raw Orders'!J15,"Cancelled",IF('Raw Orders'!K15&gt;=2,"Slipped","On plan"))</f>
        <v>Slipped</v>
      </c>
      <c r="L15" s="12">
        <f t="shared" si="0"/>
        <v>890175</v>
      </c>
    </row>
    <row r="16" spans="1:12" x14ac:dyDescent="0.3">
      <c r="A16" t="str">
        <f>'Raw Orders'!A16</f>
        <v>NX-00012</v>
      </c>
      <c r="B16" t="str">
        <f>'Raw Orders'!B16</f>
        <v>North America</v>
      </c>
      <c r="C16" t="str">
        <f>'Raw Orders'!C16</f>
        <v>US / Canada</v>
      </c>
      <c r="D16" s="11">
        <f>'Raw Orders'!E16</f>
        <v>21.5</v>
      </c>
      <c r="E16" s="12">
        <f>'Raw Orders'!F16</f>
        <v>1784500</v>
      </c>
      <c r="F16" s="12">
        <f>'Raw Orders'!F16*0.75</f>
        <v>1338375</v>
      </c>
      <c r="G16" s="10">
        <f>'Raw Orders'!H16</f>
        <v>45566</v>
      </c>
      <c r="H16" s="10">
        <f>'Raw Orders'!I16</f>
        <v>45689</v>
      </c>
      <c r="I16" s="11">
        <f>'Raw Orders'!K16</f>
        <v>3.56</v>
      </c>
      <c r="J16" s="11">
        <f>IF('Raw Orders'!J16,"",(YEAR('Raw Orders'!I16)-YEAR('Raw Orders'!H16))*12+MONTH('Raw Orders'!I16)-MONTH('Raw Orders'!H16))</f>
        <v>4</v>
      </c>
      <c r="K16" t="str">
        <f>IF('Raw Orders'!J16,"Cancelled",IF('Raw Orders'!K16&gt;=2,"Slipped","On plan"))</f>
        <v>Slipped</v>
      </c>
      <c r="L16" s="12">
        <f t="shared" si="0"/>
        <v>1338375</v>
      </c>
    </row>
    <row r="17" spans="1:12" x14ac:dyDescent="0.3">
      <c r="A17" t="str">
        <f>'Raw Orders'!A17</f>
        <v>NX-00013</v>
      </c>
      <c r="B17" t="str">
        <f>'Raw Orders'!B17</f>
        <v>EMEA</v>
      </c>
      <c r="C17" t="str">
        <f>'Raw Orders'!C17</f>
        <v>Europe</v>
      </c>
      <c r="D17" s="11">
        <f>'Raw Orders'!E17</f>
        <v>5.8</v>
      </c>
      <c r="E17" s="12">
        <f>'Raw Orders'!F17</f>
        <v>510400</v>
      </c>
      <c r="F17" s="12">
        <f>'Raw Orders'!F17*0.75</f>
        <v>382800</v>
      </c>
      <c r="G17" s="10">
        <f>'Raw Orders'!H17</f>
        <v>45505</v>
      </c>
      <c r="H17" s="10">
        <f>'Raw Orders'!I17</f>
        <v>45505</v>
      </c>
      <c r="I17" s="11">
        <f>'Raw Orders'!K17</f>
        <v>0.49</v>
      </c>
      <c r="J17" s="11">
        <f>IF('Raw Orders'!J17,"",(YEAR('Raw Orders'!I17)-YEAR('Raw Orders'!H17))*12+MONTH('Raw Orders'!I17)-MONTH('Raw Orders'!H17))</f>
        <v>0</v>
      </c>
      <c r="K17" t="str">
        <f>IF('Raw Orders'!J17,"Cancelled",IF('Raw Orders'!K17&gt;=2,"Slipped","On plan"))</f>
        <v>On plan</v>
      </c>
      <c r="L17" s="12">
        <f t="shared" si="0"/>
        <v>0</v>
      </c>
    </row>
    <row r="18" spans="1:12" x14ac:dyDescent="0.3">
      <c r="A18" t="str">
        <f>'Raw Orders'!A18</f>
        <v>NX-00014</v>
      </c>
      <c r="B18" t="str">
        <f>'Raw Orders'!B18</f>
        <v>EMEA</v>
      </c>
      <c r="C18" t="str">
        <f>'Raw Orders'!C18</f>
        <v>Europe</v>
      </c>
      <c r="D18" s="11">
        <f>'Raw Orders'!E18</f>
        <v>19.899999999999999</v>
      </c>
      <c r="E18" s="12">
        <f>'Raw Orders'!F18</f>
        <v>1751200</v>
      </c>
      <c r="F18" s="12">
        <f>'Raw Orders'!F18*0.75</f>
        <v>1313400</v>
      </c>
      <c r="G18" s="10">
        <f>'Raw Orders'!H18</f>
        <v>45597</v>
      </c>
      <c r="H18" s="10">
        <f>'Raw Orders'!I18</f>
        <v>45658</v>
      </c>
      <c r="I18" s="11">
        <f>'Raw Orders'!K18</f>
        <v>1.5</v>
      </c>
      <c r="J18" s="11">
        <f>IF('Raw Orders'!J18,"",(YEAR('Raw Orders'!I18)-YEAR('Raw Orders'!H18))*12+MONTH('Raw Orders'!I18)-MONTH('Raw Orders'!H18))</f>
        <v>2</v>
      </c>
      <c r="K18" t="str">
        <f>IF('Raw Orders'!J18,"Cancelled",IF('Raw Orders'!K18&gt;=2,"Slipped","On plan"))</f>
        <v>On plan</v>
      </c>
      <c r="L18" s="12">
        <f t="shared" si="0"/>
        <v>0</v>
      </c>
    </row>
    <row r="19" spans="1:12" x14ac:dyDescent="0.3">
      <c r="A19" t="str">
        <f>'Raw Orders'!A19</f>
        <v>NX-00015</v>
      </c>
      <c r="B19" t="str">
        <f>'Raw Orders'!B19</f>
        <v>EMEA</v>
      </c>
      <c r="C19" t="str">
        <f>'Raw Orders'!C19</f>
        <v>Europe</v>
      </c>
      <c r="D19" s="11">
        <f>'Raw Orders'!E19</f>
        <v>30.7</v>
      </c>
      <c r="E19" s="12">
        <f>'Raw Orders'!F19</f>
        <v>2701600</v>
      </c>
      <c r="F19" s="12">
        <f>'Raw Orders'!F19*0.75</f>
        <v>2026200</v>
      </c>
      <c r="G19" s="10">
        <f>'Raw Orders'!H19</f>
        <v>45474</v>
      </c>
      <c r="H19" s="10">
        <f>'Raw Orders'!I19</f>
        <v>45536</v>
      </c>
      <c r="I19" s="11">
        <f>'Raw Orders'!K19</f>
        <v>2.46</v>
      </c>
      <c r="J19" s="11">
        <f>IF('Raw Orders'!J19,"",(YEAR('Raw Orders'!I19)-YEAR('Raw Orders'!H19))*12+MONTH('Raw Orders'!I19)-MONTH('Raw Orders'!H19))</f>
        <v>2</v>
      </c>
      <c r="K19" t="str">
        <f>IF('Raw Orders'!J19,"Cancelled",IF('Raw Orders'!K19&gt;=2,"Slipped","On plan"))</f>
        <v>Slipped</v>
      </c>
      <c r="L19" s="12">
        <f t="shared" si="0"/>
        <v>2026200</v>
      </c>
    </row>
    <row r="20" spans="1:12" x14ac:dyDescent="0.3">
      <c r="A20" t="str">
        <f>'Raw Orders'!A20</f>
        <v>NX-00016</v>
      </c>
      <c r="B20" t="str">
        <f>'Raw Orders'!B20</f>
        <v>EMEA</v>
      </c>
      <c r="C20" t="str">
        <f>'Raw Orders'!C20</f>
        <v>Europe</v>
      </c>
      <c r="D20" s="11">
        <f>'Raw Orders'!E20</f>
        <v>3.9</v>
      </c>
      <c r="E20" s="12">
        <f>'Raw Orders'!F20</f>
        <v>343200</v>
      </c>
      <c r="F20" s="12">
        <f>'Raw Orders'!F20*0.75</f>
        <v>257400</v>
      </c>
      <c r="G20" s="10">
        <f>'Raw Orders'!H20</f>
        <v>45536</v>
      </c>
      <c r="H20" s="10">
        <f>'Raw Orders'!I20</f>
        <v>45536</v>
      </c>
      <c r="I20" s="11">
        <f>'Raw Orders'!K20</f>
        <v>0.47</v>
      </c>
      <c r="J20" s="11">
        <f>IF('Raw Orders'!J20,"",(YEAR('Raw Orders'!I20)-YEAR('Raw Orders'!H20))*12+MONTH('Raw Orders'!I20)-MONTH('Raw Orders'!H20))</f>
        <v>0</v>
      </c>
      <c r="K20" t="str">
        <f>IF('Raw Orders'!J20,"Cancelled",IF('Raw Orders'!K20&gt;=2,"Slipped","On plan"))</f>
        <v>On plan</v>
      </c>
      <c r="L20" s="12">
        <f t="shared" si="0"/>
        <v>0</v>
      </c>
    </row>
    <row r="21" spans="1:12" x14ac:dyDescent="0.3">
      <c r="A21" t="str">
        <f>'Raw Orders'!A21</f>
        <v>NX-00017</v>
      </c>
      <c r="B21" t="str">
        <f>'Raw Orders'!B21</f>
        <v>EMEA</v>
      </c>
      <c r="C21" t="str">
        <f>'Raw Orders'!C21</f>
        <v>MENA</v>
      </c>
      <c r="D21" s="11">
        <f>'Raw Orders'!E21</f>
        <v>19</v>
      </c>
      <c r="E21" s="12">
        <f>'Raw Orders'!F21</f>
        <v>1539000</v>
      </c>
      <c r="F21" s="12">
        <f>'Raw Orders'!F21*0.75</f>
        <v>1154250</v>
      </c>
      <c r="G21" s="10">
        <f>'Raw Orders'!H21</f>
        <v>45597</v>
      </c>
      <c r="H21" s="10">
        <f>'Raw Orders'!I21</f>
        <v>45748</v>
      </c>
      <c r="I21" s="11">
        <f>'Raw Orders'!K21</f>
        <v>5.33</v>
      </c>
      <c r="J21" s="11">
        <f>IF('Raw Orders'!J21,"",(YEAR('Raw Orders'!I21)-YEAR('Raw Orders'!H21))*12+MONTH('Raw Orders'!I21)-MONTH('Raw Orders'!H21))</f>
        <v>5</v>
      </c>
      <c r="K21" t="str">
        <f>IF('Raw Orders'!J21,"Cancelled",IF('Raw Orders'!K21&gt;=2,"Slipped","On plan"))</f>
        <v>Slipped</v>
      </c>
      <c r="L21" s="12">
        <f t="shared" si="0"/>
        <v>1154250</v>
      </c>
    </row>
    <row r="22" spans="1:12" x14ac:dyDescent="0.3">
      <c r="A22" t="str">
        <f>'Raw Orders'!A22</f>
        <v>NX-00018</v>
      </c>
      <c r="B22" t="str">
        <f>'Raw Orders'!B22</f>
        <v>EMEA</v>
      </c>
      <c r="C22" t="str">
        <f>'Raw Orders'!C22</f>
        <v>MENA</v>
      </c>
      <c r="D22" s="11">
        <f>'Raw Orders'!E22</f>
        <v>53.8</v>
      </c>
      <c r="E22" s="12">
        <f>'Raw Orders'!F22</f>
        <v>4357800</v>
      </c>
      <c r="F22" s="12">
        <f>'Raw Orders'!F22*0.75</f>
        <v>3268350</v>
      </c>
      <c r="G22" s="10">
        <f>'Raw Orders'!H22</f>
        <v>45444</v>
      </c>
      <c r="H22" s="10">
        <f>'Raw Orders'!I22</f>
        <v>45778</v>
      </c>
      <c r="I22" s="11">
        <f>'Raw Orders'!K22</f>
        <v>11.23</v>
      </c>
      <c r="J22" s="11">
        <f>IF('Raw Orders'!J22,"",(YEAR('Raw Orders'!I22)-YEAR('Raw Orders'!H22))*12+MONTH('Raw Orders'!I22)-MONTH('Raw Orders'!H22))</f>
        <v>11</v>
      </c>
      <c r="K22" t="str">
        <f>IF('Raw Orders'!J22,"Cancelled",IF('Raw Orders'!K22&gt;=2,"Slipped","On plan"))</f>
        <v>Slipped</v>
      </c>
      <c r="L22" s="12">
        <f t="shared" si="0"/>
        <v>3268350</v>
      </c>
    </row>
    <row r="23" spans="1:12" x14ac:dyDescent="0.3">
      <c r="A23" t="str">
        <f>'Raw Orders'!A23</f>
        <v>NX-00019</v>
      </c>
      <c r="B23" t="str">
        <f>'Raw Orders'!B23</f>
        <v>APAC</v>
      </c>
      <c r="C23" t="str">
        <f>'Raw Orders'!C23</f>
        <v>India</v>
      </c>
      <c r="D23" s="11">
        <f>'Raw Orders'!E23</f>
        <v>14.5</v>
      </c>
      <c r="E23" s="12">
        <f>'Raw Orders'!F23</f>
        <v>1029500</v>
      </c>
      <c r="F23" s="12">
        <f>'Raw Orders'!F23*0.75</f>
        <v>772125</v>
      </c>
      <c r="G23" s="10">
        <f>'Raw Orders'!H23</f>
        <v>45474</v>
      </c>
      <c r="H23" s="10">
        <f>'Raw Orders'!I23</f>
        <v>45717</v>
      </c>
      <c r="I23" s="11">
        <f>'Raw Orders'!K23</f>
        <v>7.98</v>
      </c>
      <c r="J23" s="11">
        <f>IF('Raw Orders'!J23,"",(YEAR('Raw Orders'!I23)-YEAR('Raw Orders'!H23))*12+MONTH('Raw Orders'!I23)-MONTH('Raw Orders'!H23))</f>
        <v>8</v>
      </c>
      <c r="K23" t="str">
        <f>IF('Raw Orders'!J23,"Cancelled",IF('Raw Orders'!K23&gt;=2,"Slipped","On plan"))</f>
        <v>Slipped</v>
      </c>
      <c r="L23" s="12">
        <f t="shared" si="0"/>
        <v>772125</v>
      </c>
    </row>
    <row r="24" spans="1:12" x14ac:dyDescent="0.3">
      <c r="A24" t="str">
        <f>'Raw Orders'!A24</f>
        <v>NX-00020</v>
      </c>
      <c r="B24" t="str">
        <f>'Raw Orders'!B24</f>
        <v>APAC</v>
      </c>
      <c r="C24" t="str">
        <f>'Raw Orders'!C24</f>
        <v>India</v>
      </c>
      <c r="D24" s="11">
        <f>'Raw Orders'!E24</f>
        <v>14.7</v>
      </c>
      <c r="E24" s="12">
        <f>'Raw Orders'!F24</f>
        <v>1043700</v>
      </c>
      <c r="F24" s="12">
        <f>'Raw Orders'!F24*0.75</f>
        <v>782775</v>
      </c>
      <c r="G24" s="10">
        <f>'Raw Orders'!H24</f>
        <v>45536</v>
      </c>
      <c r="H24" s="10">
        <f>'Raw Orders'!I24</f>
        <v>45566</v>
      </c>
      <c r="I24" s="11">
        <f>'Raw Orders'!K24</f>
        <v>0.57999999999999996</v>
      </c>
      <c r="J24" s="11">
        <f>IF('Raw Orders'!J24,"",(YEAR('Raw Orders'!I24)-YEAR('Raw Orders'!H24))*12+MONTH('Raw Orders'!I24)-MONTH('Raw Orders'!H24))</f>
        <v>1</v>
      </c>
      <c r="K24" t="str">
        <f>IF('Raw Orders'!J24,"Cancelled",IF('Raw Orders'!K24&gt;=2,"Slipped","On plan"))</f>
        <v>On plan</v>
      </c>
      <c r="L24" s="12">
        <f t="shared" si="0"/>
        <v>0</v>
      </c>
    </row>
    <row r="25" spans="1:12" x14ac:dyDescent="0.3">
      <c r="A25" t="str">
        <f>'Raw Orders'!A25</f>
        <v>NX-00021</v>
      </c>
      <c r="B25" t="str">
        <f>'Raw Orders'!B25</f>
        <v>APAC</v>
      </c>
      <c r="C25" t="str">
        <f>'Raw Orders'!C25</f>
        <v>India</v>
      </c>
      <c r="D25" s="11">
        <f>'Raw Orders'!E25</f>
        <v>19.3</v>
      </c>
      <c r="E25" s="12">
        <f>'Raw Orders'!F25</f>
        <v>1370300</v>
      </c>
      <c r="F25" s="12">
        <f>'Raw Orders'!F25*0.75</f>
        <v>1027725</v>
      </c>
      <c r="G25" s="10">
        <f>'Raw Orders'!H25</f>
        <v>45474</v>
      </c>
      <c r="H25" s="10">
        <f>'Raw Orders'!I25</f>
        <v>45536</v>
      </c>
      <c r="I25" s="11">
        <f>'Raw Orders'!K25</f>
        <v>1.82</v>
      </c>
      <c r="J25" s="11">
        <f>IF('Raw Orders'!J25,"",(YEAR('Raw Orders'!I25)-YEAR('Raw Orders'!H25))*12+MONTH('Raw Orders'!I25)-MONTH('Raw Orders'!H25))</f>
        <v>2</v>
      </c>
      <c r="K25" t="str">
        <f>IF('Raw Orders'!J25,"Cancelled",IF('Raw Orders'!K25&gt;=2,"Slipped","On plan"))</f>
        <v>On plan</v>
      </c>
      <c r="L25" s="12">
        <f t="shared" si="0"/>
        <v>0</v>
      </c>
    </row>
    <row r="26" spans="1:12" x14ac:dyDescent="0.3">
      <c r="A26" t="str">
        <f>'Raw Orders'!A26</f>
        <v>NX-00022</v>
      </c>
      <c r="B26" t="str">
        <f>'Raw Orders'!B26</f>
        <v>APAC</v>
      </c>
      <c r="C26" t="str">
        <f>'Raw Orders'!C26</f>
        <v>Australia/SEA</v>
      </c>
      <c r="D26" s="11">
        <f>'Raw Orders'!E26</f>
        <v>25.5</v>
      </c>
      <c r="E26" s="12">
        <f>'Raw Orders'!F26</f>
        <v>2142000</v>
      </c>
      <c r="F26" s="12">
        <f>'Raw Orders'!F26*0.75</f>
        <v>1606500</v>
      </c>
      <c r="G26" s="10">
        <f>'Raw Orders'!H26</f>
        <v>45566</v>
      </c>
      <c r="H26" s="10">
        <f>'Raw Orders'!I26</f>
        <v>45566</v>
      </c>
      <c r="I26" s="11">
        <f>'Raw Orders'!K26</f>
        <v>0.32</v>
      </c>
      <c r="J26" s="11">
        <f>IF('Raw Orders'!J26,"",(YEAR('Raw Orders'!I26)-YEAR('Raw Orders'!H26))*12+MONTH('Raw Orders'!I26)-MONTH('Raw Orders'!H26))</f>
        <v>0</v>
      </c>
      <c r="K26" t="str">
        <f>IF('Raw Orders'!J26,"Cancelled",IF('Raw Orders'!K26&gt;=2,"Slipped","On plan"))</f>
        <v>On plan</v>
      </c>
      <c r="L26" s="12">
        <f t="shared" si="0"/>
        <v>0</v>
      </c>
    </row>
    <row r="27" spans="1:12" x14ac:dyDescent="0.3">
      <c r="A27" t="str">
        <f>'Raw Orders'!A27</f>
        <v>NX-00023</v>
      </c>
      <c r="B27" t="str">
        <f>'Raw Orders'!B27</f>
        <v>LATAM</v>
      </c>
      <c r="C27" t="str">
        <f>'Raw Orders'!C27</f>
        <v>LATAM</v>
      </c>
      <c r="D27" s="11">
        <f>'Raw Orders'!E27</f>
        <v>3.6</v>
      </c>
      <c r="E27" s="12">
        <f>'Raw Orders'!F27</f>
        <v>284400</v>
      </c>
      <c r="F27" s="12">
        <f>'Raw Orders'!F27*0.75</f>
        <v>213300</v>
      </c>
      <c r="G27" s="10">
        <f>'Raw Orders'!H27</f>
        <v>45597</v>
      </c>
      <c r="H27" s="10">
        <f>'Raw Orders'!I27</f>
        <v>45901</v>
      </c>
      <c r="I27" s="11">
        <f>'Raw Orders'!K27</f>
        <v>10.08</v>
      </c>
      <c r="J27" s="11">
        <f>IF('Raw Orders'!J27,"",(YEAR('Raw Orders'!I27)-YEAR('Raw Orders'!H27))*12+MONTH('Raw Orders'!I27)-MONTH('Raw Orders'!H27))</f>
        <v>10</v>
      </c>
      <c r="K27" t="str">
        <f>IF('Raw Orders'!J27,"Cancelled",IF('Raw Orders'!K27&gt;=2,"Slipped","On plan"))</f>
        <v>Slipped</v>
      </c>
      <c r="L27" s="12">
        <f t="shared" si="0"/>
        <v>213300</v>
      </c>
    </row>
    <row r="28" spans="1:12" x14ac:dyDescent="0.3">
      <c r="A28" t="str">
        <f>'Raw Orders'!A28</f>
        <v>NX-00024</v>
      </c>
      <c r="B28" t="str">
        <f>'Raw Orders'!B28</f>
        <v>LATAM</v>
      </c>
      <c r="C28" t="str">
        <f>'Raw Orders'!C28</f>
        <v>LATAM</v>
      </c>
      <c r="D28" s="11">
        <f>'Raw Orders'!E28</f>
        <v>30.1</v>
      </c>
      <c r="E28" s="12">
        <f>'Raw Orders'!F28</f>
        <v>2377900</v>
      </c>
      <c r="F28" s="12">
        <f>'Raw Orders'!F28*0.75</f>
        <v>1783425</v>
      </c>
      <c r="G28" s="10">
        <f>'Raw Orders'!H28</f>
        <v>45505</v>
      </c>
      <c r="H28" s="10">
        <f>'Raw Orders'!I28</f>
        <v>45597</v>
      </c>
      <c r="I28" s="11">
        <f>'Raw Orders'!K28</f>
        <v>3.27</v>
      </c>
      <c r="J28" s="11">
        <f>IF('Raw Orders'!J28,"",(YEAR('Raw Orders'!I28)-YEAR('Raw Orders'!H28))*12+MONTH('Raw Orders'!I28)-MONTH('Raw Orders'!H28))</f>
        <v>3</v>
      </c>
      <c r="K28" t="str">
        <f>IF('Raw Orders'!J28,"Cancelled",IF('Raw Orders'!K28&gt;=2,"Slipped","On plan"))</f>
        <v>Slipped</v>
      </c>
      <c r="L28" s="12">
        <f t="shared" si="0"/>
        <v>1783425</v>
      </c>
    </row>
    <row r="29" spans="1:12" x14ac:dyDescent="0.3">
      <c r="A29" t="str">
        <f>'Raw Orders'!A29</f>
        <v>NX-00025</v>
      </c>
      <c r="B29" t="str">
        <f>'Raw Orders'!B29</f>
        <v>North America</v>
      </c>
      <c r="C29" t="str">
        <f>'Raw Orders'!C29</f>
        <v>US / Canada</v>
      </c>
      <c r="D29" s="11">
        <f>'Raw Orders'!E29</f>
        <v>10.9</v>
      </c>
      <c r="E29" s="12">
        <f>'Raw Orders'!F29</f>
        <v>904700</v>
      </c>
      <c r="F29" s="12">
        <f>'Raw Orders'!F29*0.75</f>
        <v>678525</v>
      </c>
      <c r="G29" s="10">
        <f>'Raw Orders'!H29</f>
        <v>45505</v>
      </c>
      <c r="H29" s="10">
        <f>'Raw Orders'!I29</f>
        <v>45505</v>
      </c>
      <c r="I29" s="11">
        <f>'Raw Orders'!K29</f>
        <v>0.02</v>
      </c>
      <c r="J29" s="11">
        <f>IF('Raw Orders'!J29,"",(YEAR('Raw Orders'!I29)-YEAR('Raw Orders'!H29))*12+MONTH('Raw Orders'!I29)-MONTH('Raw Orders'!H29))</f>
        <v>0</v>
      </c>
      <c r="K29" t="str">
        <f>IF('Raw Orders'!J29,"Cancelled",IF('Raw Orders'!K29&gt;=2,"Slipped","On plan"))</f>
        <v>On plan</v>
      </c>
      <c r="L29" s="12">
        <f t="shared" si="0"/>
        <v>0</v>
      </c>
    </row>
    <row r="30" spans="1:12" x14ac:dyDescent="0.3">
      <c r="A30" t="str">
        <f>'Raw Orders'!A30</f>
        <v>NX-00026</v>
      </c>
      <c r="B30" t="str">
        <f>'Raw Orders'!B30</f>
        <v>North America</v>
      </c>
      <c r="C30" t="str">
        <f>'Raw Orders'!C30</f>
        <v>US / Canada</v>
      </c>
      <c r="D30" s="11">
        <f>'Raw Orders'!E30</f>
        <v>8.6999999999999993</v>
      </c>
      <c r="E30" s="12">
        <f>'Raw Orders'!F30</f>
        <v>722099.99999999988</v>
      </c>
      <c r="F30" s="12">
        <f>'Raw Orders'!F30*0.75</f>
        <v>541574.99999999988</v>
      </c>
      <c r="G30" s="10">
        <f>'Raw Orders'!H30</f>
        <v>45597</v>
      </c>
      <c r="H30" s="10">
        <f>'Raw Orders'!I30</f>
        <v>45597</v>
      </c>
      <c r="I30" s="11">
        <f>'Raw Orders'!K30</f>
        <v>0.01</v>
      </c>
      <c r="J30" s="11">
        <f>IF('Raw Orders'!J30,"",(YEAR('Raw Orders'!I30)-YEAR('Raw Orders'!H30))*12+MONTH('Raw Orders'!I30)-MONTH('Raw Orders'!H30))</f>
        <v>0</v>
      </c>
      <c r="K30" t="str">
        <f>IF('Raw Orders'!J30,"Cancelled",IF('Raw Orders'!K30&gt;=2,"Slipped","On plan"))</f>
        <v>On plan</v>
      </c>
      <c r="L30" s="12">
        <f t="shared" si="0"/>
        <v>0</v>
      </c>
    </row>
    <row r="31" spans="1:12" x14ac:dyDescent="0.3">
      <c r="A31" t="str">
        <f>'Raw Orders'!A31</f>
        <v>NX-00027</v>
      </c>
      <c r="B31" t="str">
        <f>'Raw Orders'!B31</f>
        <v>North America</v>
      </c>
      <c r="C31" t="str">
        <f>'Raw Orders'!C31</f>
        <v>US / Canada</v>
      </c>
      <c r="D31" s="11">
        <f>'Raw Orders'!E31</f>
        <v>5.4</v>
      </c>
      <c r="E31" s="12">
        <f>'Raw Orders'!F31</f>
        <v>448200.00000000012</v>
      </c>
      <c r="F31" s="12">
        <f>'Raw Orders'!F31*0.75</f>
        <v>336150.00000000012</v>
      </c>
      <c r="G31" s="10">
        <f>'Raw Orders'!H31</f>
        <v>45474</v>
      </c>
      <c r="H31" s="10">
        <f>'Raw Orders'!I31</f>
        <v>45505</v>
      </c>
      <c r="I31" s="11">
        <f>'Raw Orders'!K31</f>
        <v>0.95</v>
      </c>
      <c r="J31" s="11">
        <f>IF('Raw Orders'!J31,"",(YEAR('Raw Orders'!I31)-YEAR('Raw Orders'!H31))*12+MONTH('Raw Orders'!I31)-MONTH('Raw Orders'!H31))</f>
        <v>1</v>
      </c>
      <c r="K31" t="str">
        <f>IF('Raw Orders'!J31,"Cancelled",IF('Raw Orders'!K31&gt;=2,"Slipped","On plan"))</f>
        <v>On plan</v>
      </c>
      <c r="L31" s="12">
        <f t="shared" si="0"/>
        <v>0</v>
      </c>
    </row>
    <row r="32" spans="1:12" x14ac:dyDescent="0.3">
      <c r="A32" t="str">
        <f>'Raw Orders'!A32</f>
        <v>NX-00028</v>
      </c>
      <c r="B32" t="str">
        <f>'Raw Orders'!B32</f>
        <v>North America</v>
      </c>
      <c r="C32" t="str">
        <f>'Raw Orders'!C32</f>
        <v>US / Canada</v>
      </c>
      <c r="D32" s="11">
        <f>'Raw Orders'!E32</f>
        <v>30.9</v>
      </c>
      <c r="E32" s="12">
        <f>'Raw Orders'!F32</f>
        <v>2564700</v>
      </c>
      <c r="F32" s="12">
        <f>'Raw Orders'!F32*0.75</f>
        <v>1923525</v>
      </c>
      <c r="G32" s="10">
        <f>'Raw Orders'!H32</f>
        <v>45505</v>
      </c>
      <c r="H32" s="10">
        <f>'Raw Orders'!I32</f>
        <v>45536</v>
      </c>
      <c r="I32" s="11">
        <f>'Raw Orders'!K32</f>
        <v>0.65</v>
      </c>
      <c r="J32" s="11">
        <f>IF('Raw Orders'!J32,"",(YEAR('Raw Orders'!I32)-YEAR('Raw Orders'!H32))*12+MONTH('Raw Orders'!I32)-MONTH('Raw Orders'!H32))</f>
        <v>1</v>
      </c>
      <c r="K32" t="str">
        <f>IF('Raw Orders'!J32,"Cancelled",IF('Raw Orders'!K32&gt;=2,"Slipped","On plan"))</f>
        <v>On plan</v>
      </c>
      <c r="L32" s="12">
        <f t="shared" si="0"/>
        <v>0</v>
      </c>
    </row>
    <row r="33" spans="1:12" x14ac:dyDescent="0.3">
      <c r="A33" t="str">
        <f>'Raw Orders'!A33</f>
        <v>NX-00029</v>
      </c>
      <c r="B33" t="str">
        <f>'Raw Orders'!B33</f>
        <v>North America</v>
      </c>
      <c r="C33" t="str">
        <f>'Raw Orders'!C33</f>
        <v>US / Canada</v>
      </c>
      <c r="D33" s="11">
        <f>'Raw Orders'!E33</f>
        <v>5.8</v>
      </c>
      <c r="E33" s="12">
        <f>'Raw Orders'!F33</f>
        <v>481400</v>
      </c>
      <c r="F33" s="12">
        <f>'Raw Orders'!F33*0.75</f>
        <v>361050</v>
      </c>
      <c r="G33" s="10">
        <f>'Raw Orders'!H33</f>
        <v>45597</v>
      </c>
      <c r="H33" s="10">
        <f>'Raw Orders'!I33</f>
        <v>45597</v>
      </c>
      <c r="I33" s="11">
        <f>'Raw Orders'!K33</f>
        <v>0.02</v>
      </c>
      <c r="J33" s="11">
        <f>IF('Raw Orders'!J33,"",(YEAR('Raw Orders'!I33)-YEAR('Raw Orders'!H33))*12+MONTH('Raw Orders'!I33)-MONTH('Raw Orders'!H33))</f>
        <v>0</v>
      </c>
      <c r="K33" t="str">
        <f>IF('Raw Orders'!J33,"Cancelled",IF('Raw Orders'!K33&gt;=2,"Slipped","On plan"))</f>
        <v>On plan</v>
      </c>
      <c r="L33" s="12">
        <f t="shared" si="0"/>
        <v>0</v>
      </c>
    </row>
    <row r="34" spans="1:12" x14ac:dyDescent="0.3">
      <c r="A34" t="str">
        <f>'Raw Orders'!A34</f>
        <v>NX-00030</v>
      </c>
      <c r="B34" t="str">
        <f>'Raw Orders'!B34</f>
        <v>North America</v>
      </c>
      <c r="C34" t="str">
        <f>'Raw Orders'!C34</f>
        <v>US / Canada</v>
      </c>
      <c r="D34" s="11">
        <f>'Raw Orders'!E34</f>
        <v>4.8</v>
      </c>
      <c r="E34" s="12">
        <f>'Raw Orders'!F34</f>
        <v>398400</v>
      </c>
      <c r="F34" s="12">
        <f>'Raw Orders'!F34*0.75</f>
        <v>298800</v>
      </c>
      <c r="G34" s="10">
        <f>'Raw Orders'!H34</f>
        <v>45536</v>
      </c>
      <c r="H34" s="10">
        <f>'Raw Orders'!I34</f>
        <v>45566</v>
      </c>
      <c r="I34" s="11">
        <f>'Raw Orders'!K34</f>
        <v>0.97</v>
      </c>
      <c r="J34" s="11">
        <f>IF('Raw Orders'!J34,"",(YEAR('Raw Orders'!I34)-YEAR('Raw Orders'!H34))*12+MONTH('Raw Orders'!I34)-MONTH('Raw Orders'!H34))</f>
        <v>1</v>
      </c>
      <c r="K34" t="str">
        <f>IF('Raw Orders'!J34,"Cancelled",IF('Raw Orders'!K34&gt;=2,"Slipped","On plan"))</f>
        <v>On plan</v>
      </c>
      <c r="L34" s="12">
        <f t="shared" si="0"/>
        <v>0</v>
      </c>
    </row>
    <row r="35" spans="1:12" x14ac:dyDescent="0.3">
      <c r="A35" t="str">
        <f>'Raw Orders'!A35</f>
        <v>NX-00031</v>
      </c>
      <c r="B35" t="str">
        <f>'Raw Orders'!B35</f>
        <v>North America</v>
      </c>
      <c r="C35" t="str">
        <f>'Raw Orders'!C35</f>
        <v>US / Canada</v>
      </c>
      <c r="D35" s="11">
        <f>'Raw Orders'!E35</f>
        <v>8.8000000000000007</v>
      </c>
      <c r="E35" s="12">
        <f>'Raw Orders'!F35</f>
        <v>730400.00000000012</v>
      </c>
      <c r="F35" s="12">
        <f>'Raw Orders'!F35*0.75</f>
        <v>547800.00000000012</v>
      </c>
      <c r="G35" s="10">
        <f>'Raw Orders'!H35</f>
        <v>45474</v>
      </c>
      <c r="H35" s="10">
        <f>'Raw Orders'!I35</f>
        <v>45474</v>
      </c>
      <c r="I35" s="11">
        <f>'Raw Orders'!K35</f>
        <v>0.06</v>
      </c>
      <c r="J35" s="11">
        <f>IF('Raw Orders'!J35,"",(YEAR('Raw Orders'!I35)-YEAR('Raw Orders'!H35))*12+MONTH('Raw Orders'!I35)-MONTH('Raw Orders'!H35))</f>
        <v>0</v>
      </c>
      <c r="K35" t="str">
        <f>IF('Raw Orders'!J35,"Cancelled",IF('Raw Orders'!K35&gt;=2,"Slipped","On plan"))</f>
        <v>On plan</v>
      </c>
      <c r="L35" s="12">
        <f t="shared" si="0"/>
        <v>0</v>
      </c>
    </row>
    <row r="36" spans="1:12" x14ac:dyDescent="0.3">
      <c r="A36" t="str">
        <f>'Raw Orders'!A36</f>
        <v>NX-00032</v>
      </c>
      <c r="B36" t="str">
        <f>'Raw Orders'!B36</f>
        <v>North America</v>
      </c>
      <c r="C36" t="str">
        <f>'Raw Orders'!C36</f>
        <v>US / Canada</v>
      </c>
      <c r="D36" s="11">
        <f>'Raw Orders'!E36</f>
        <v>15.3</v>
      </c>
      <c r="E36" s="12">
        <f>'Raw Orders'!F36</f>
        <v>1269900</v>
      </c>
      <c r="F36" s="12">
        <f>'Raw Orders'!F36*0.75</f>
        <v>952425</v>
      </c>
      <c r="G36" s="10">
        <f>'Raw Orders'!H36</f>
        <v>45658</v>
      </c>
      <c r="H36" s="10">
        <f>'Raw Orders'!I36</f>
        <v>45689</v>
      </c>
      <c r="I36" s="11">
        <f>'Raw Orders'!K36</f>
        <v>0.95</v>
      </c>
      <c r="J36" s="11">
        <f>IF('Raw Orders'!J36,"",(YEAR('Raw Orders'!I36)-YEAR('Raw Orders'!H36))*12+MONTH('Raw Orders'!I36)-MONTH('Raw Orders'!H36))</f>
        <v>1</v>
      </c>
      <c r="K36" t="str">
        <f>IF('Raw Orders'!J36,"Cancelled",IF('Raw Orders'!K36&gt;=2,"Slipped","On plan"))</f>
        <v>On plan</v>
      </c>
      <c r="L36" s="12">
        <f t="shared" si="0"/>
        <v>0</v>
      </c>
    </row>
    <row r="37" spans="1:12" x14ac:dyDescent="0.3">
      <c r="A37" t="str">
        <f>'Raw Orders'!A37</f>
        <v>NX-00033</v>
      </c>
      <c r="B37" t="str">
        <f>'Raw Orders'!B37</f>
        <v>North America</v>
      </c>
      <c r="C37" t="str">
        <f>'Raw Orders'!C37</f>
        <v>US / Canada</v>
      </c>
      <c r="D37" s="11">
        <f>'Raw Orders'!E37</f>
        <v>12.2</v>
      </c>
      <c r="E37" s="12">
        <f>'Raw Orders'!F37</f>
        <v>1012600</v>
      </c>
      <c r="F37" s="12">
        <f>'Raw Orders'!F37*0.75</f>
        <v>759450</v>
      </c>
      <c r="G37" s="10">
        <f>'Raw Orders'!H37</f>
        <v>45505</v>
      </c>
      <c r="H37" s="10">
        <f>'Raw Orders'!I37</f>
        <v>45505</v>
      </c>
      <c r="I37" s="11">
        <f>'Raw Orders'!K37</f>
        <v>0</v>
      </c>
      <c r="J37" s="11">
        <f>IF('Raw Orders'!J37,"",(YEAR('Raw Orders'!I37)-YEAR('Raw Orders'!H37))*12+MONTH('Raw Orders'!I37)-MONTH('Raw Orders'!H37))</f>
        <v>0</v>
      </c>
      <c r="K37" t="str">
        <f>IF('Raw Orders'!J37,"Cancelled",IF('Raw Orders'!K37&gt;=2,"Slipped","On plan"))</f>
        <v>On plan</v>
      </c>
      <c r="L37" s="12">
        <f t="shared" si="0"/>
        <v>0</v>
      </c>
    </row>
    <row r="38" spans="1:12" x14ac:dyDescent="0.3">
      <c r="A38" t="str">
        <f>'Raw Orders'!A38</f>
        <v>NX-00034</v>
      </c>
      <c r="B38" t="str">
        <f>'Raw Orders'!B38</f>
        <v>North America</v>
      </c>
      <c r="C38" t="str">
        <f>'Raw Orders'!C38</f>
        <v>US / Canada</v>
      </c>
      <c r="D38" s="11">
        <f>'Raw Orders'!E38</f>
        <v>15.6</v>
      </c>
      <c r="E38" s="12">
        <f>'Raw Orders'!F38</f>
        <v>1294800</v>
      </c>
      <c r="F38" s="12">
        <f>'Raw Orders'!F38*0.75</f>
        <v>971100</v>
      </c>
      <c r="G38" s="10">
        <f>'Raw Orders'!H38</f>
        <v>45627</v>
      </c>
      <c r="H38" s="10">
        <f>'Raw Orders'!I38</f>
        <v>45627</v>
      </c>
      <c r="I38" s="11">
        <f>'Raw Orders'!K38</f>
        <v>0.02</v>
      </c>
      <c r="J38" s="11">
        <f>IF('Raw Orders'!J38,"",(YEAR('Raw Orders'!I38)-YEAR('Raw Orders'!H38))*12+MONTH('Raw Orders'!I38)-MONTH('Raw Orders'!H38))</f>
        <v>0</v>
      </c>
      <c r="K38" t="str">
        <f>IF('Raw Orders'!J38,"Cancelled",IF('Raw Orders'!K38&gt;=2,"Slipped","On plan"))</f>
        <v>On plan</v>
      </c>
      <c r="L38" s="12">
        <f t="shared" si="0"/>
        <v>0</v>
      </c>
    </row>
    <row r="39" spans="1:12" x14ac:dyDescent="0.3">
      <c r="A39" t="str">
        <f>'Raw Orders'!A39</f>
        <v>NX-00035</v>
      </c>
      <c r="B39" t="str">
        <f>'Raw Orders'!B39</f>
        <v>North America</v>
      </c>
      <c r="C39" t="str">
        <f>'Raw Orders'!C39</f>
        <v>US / Canada</v>
      </c>
      <c r="D39" s="11">
        <f>'Raw Orders'!E39</f>
        <v>6.1</v>
      </c>
      <c r="E39" s="12">
        <f>'Raw Orders'!F39</f>
        <v>506300</v>
      </c>
      <c r="F39" s="12">
        <f>'Raw Orders'!F39*0.75</f>
        <v>379725</v>
      </c>
      <c r="G39" s="10">
        <f>'Raw Orders'!H39</f>
        <v>45566</v>
      </c>
      <c r="H39" s="10">
        <f>'Raw Orders'!I39</f>
        <v>45566</v>
      </c>
      <c r="I39" s="11">
        <f>'Raw Orders'!K39</f>
        <v>0.39</v>
      </c>
      <c r="J39" s="11">
        <f>IF('Raw Orders'!J39,"",(YEAR('Raw Orders'!I39)-YEAR('Raw Orders'!H39))*12+MONTH('Raw Orders'!I39)-MONTH('Raw Orders'!H39))</f>
        <v>0</v>
      </c>
      <c r="K39" t="str">
        <f>IF('Raw Orders'!J39,"Cancelled",IF('Raw Orders'!K39&gt;=2,"Slipped","On plan"))</f>
        <v>On plan</v>
      </c>
      <c r="L39" s="12">
        <f t="shared" si="0"/>
        <v>0</v>
      </c>
    </row>
    <row r="40" spans="1:12" x14ac:dyDescent="0.3">
      <c r="A40" t="str">
        <f>'Raw Orders'!A40</f>
        <v>NX-00036</v>
      </c>
      <c r="B40" t="str">
        <f>'Raw Orders'!B40</f>
        <v>North America</v>
      </c>
      <c r="C40" t="str">
        <f>'Raw Orders'!C40</f>
        <v>US / Canada</v>
      </c>
      <c r="D40" s="11">
        <f>'Raw Orders'!E40</f>
        <v>21.3</v>
      </c>
      <c r="E40" s="12">
        <f>'Raw Orders'!F40</f>
        <v>1767900</v>
      </c>
      <c r="F40" s="12">
        <f>'Raw Orders'!F40*0.75</f>
        <v>1325925</v>
      </c>
      <c r="G40" s="10">
        <f>'Raw Orders'!H40</f>
        <v>45597</v>
      </c>
      <c r="H40" s="10">
        <f>'Raw Orders'!I40</f>
        <v>45597</v>
      </c>
      <c r="I40" s="11">
        <f>'Raw Orders'!K40</f>
        <v>0.17</v>
      </c>
      <c r="J40" s="11">
        <f>IF('Raw Orders'!J40,"",(YEAR('Raw Orders'!I40)-YEAR('Raw Orders'!H40))*12+MONTH('Raw Orders'!I40)-MONTH('Raw Orders'!H40))</f>
        <v>0</v>
      </c>
      <c r="K40" t="str">
        <f>IF('Raw Orders'!J40,"Cancelled",IF('Raw Orders'!K40&gt;=2,"Slipped","On plan"))</f>
        <v>On plan</v>
      </c>
      <c r="L40" s="12">
        <f t="shared" si="0"/>
        <v>0</v>
      </c>
    </row>
    <row r="41" spans="1:12" x14ac:dyDescent="0.3">
      <c r="A41" t="str">
        <f>'Raw Orders'!A41</f>
        <v>NX-00037</v>
      </c>
      <c r="B41" t="str">
        <f>'Raw Orders'!B41</f>
        <v>North America</v>
      </c>
      <c r="C41" t="str">
        <f>'Raw Orders'!C41</f>
        <v>US / Canada</v>
      </c>
      <c r="D41" s="11">
        <f>'Raw Orders'!E41</f>
        <v>9.9</v>
      </c>
      <c r="E41" s="12">
        <f>'Raw Orders'!F41</f>
        <v>821700</v>
      </c>
      <c r="F41" s="12">
        <f>'Raw Orders'!F41*0.75</f>
        <v>616275</v>
      </c>
      <c r="G41" s="10">
        <f>'Raw Orders'!H41</f>
        <v>45536</v>
      </c>
      <c r="H41" s="10">
        <f>'Raw Orders'!I41</f>
        <v>45536</v>
      </c>
      <c r="I41" s="11">
        <f>'Raw Orders'!K41</f>
        <v>0.16</v>
      </c>
      <c r="J41" s="11">
        <f>IF('Raw Orders'!J41,"",(YEAR('Raw Orders'!I41)-YEAR('Raw Orders'!H41))*12+MONTH('Raw Orders'!I41)-MONTH('Raw Orders'!H41))</f>
        <v>0</v>
      </c>
      <c r="K41" t="str">
        <f>IF('Raw Orders'!J41,"Cancelled",IF('Raw Orders'!K41&gt;=2,"Slipped","On plan"))</f>
        <v>On plan</v>
      </c>
      <c r="L41" s="12">
        <f t="shared" si="0"/>
        <v>0</v>
      </c>
    </row>
    <row r="42" spans="1:12" x14ac:dyDescent="0.3">
      <c r="A42" t="str">
        <f>'Raw Orders'!A42</f>
        <v>NX-00038</v>
      </c>
      <c r="B42" t="str">
        <f>'Raw Orders'!B42</f>
        <v>North America</v>
      </c>
      <c r="C42" t="str">
        <f>'Raw Orders'!C42</f>
        <v>US / Canada</v>
      </c>
      <c r="D42" s="11">
        <f>'Raw Orders'!E42</f>
        <v>16.5</v>
      </c>
      <c r="E42" s="12">
        <f>'Raw Orders'!F42</f>
        <v>1369500</v>
      </c>
      <c r="F42" s="12">
        <f>'Raw Orders'!F42*0.75</f>
        <v>1027125</v>
      </c>
      <c r="G42" s="10">
        <f>'Raw Orders'!H42</f>
        <v>45597</v>
      </c>
      <c r="H42" s="10">
        <f>'Raw Orders'!I42</f>
        <v>45597</v>
      </c>
      <c r="I42" s="11">
        <f>'Raw Orders'!K42</f>
        <v>0</v>
      </c>
      <c r="J42" s="11">
        <f>IF('Raw Orders'!J42,"",(YEAR('Raw Orders'!I42)-YEAR('Raw Orders'!H42))*12+MONTH('Raw Orders'!I42)-MONTH('Raw Orders'!H42))</f>
        <v>0</v>
      </c>
      <c r="K42" t="str">
        <f>IF('Raw Orders'!J42,"Cancelled",IF('Raw Orders'!K42&gt;=2,"Slipped","On plan"))</f>
        <v>On plan</v>
      </c>
      <c r="L42" s="12">
        <f t="shared" si="0"/>
        <v>0</v>
      </c>
    </row>
    <row r="43" spans="1:12" x14ac:dyDescent="0.3">
      <c r="A43" t="str">
        <f>'Raw Orders'!A43</f>
        <v>NX-00039</v>
      </c>
      <c r="B43" t="str">
        <f>'Raw Orders'!B43</f>
        <v>North America</v>
      </c>
      <c r="C43" t="str">
        <f>'Raw Orders'!C43</f>
        <v>US / Canada</v>
      </c>
      <c r="D43" s="11">
        <f>'Raw Orders'!E43</f>
        <v>26.6</v>
      </c>
      <c r="E43" s="12">
        <f>'Raw Orders'!F43</f>
        <v>2207800</v>
      </c>
      <c r="F43" s="12">
        <f>'Raw Orders'!F43*0.75</f>
        <v>1655850</v>
      </c>
      <c r="G43" s="10">
        <f>'Raw Orders'!H43</f>
        <v>45658</v>
      </c>
      <c r="H43" s="10">
        <f>'Raw Orders'!I43</f>
        <v>45658</v>
      </c>
      <c r="I43" s="11">
        <f>'Raw Orders'!K43</f>
        <v>0.05</v>
      </c>
      <c r="J43" s="11">
        <f>IF('Raw Orders'!J43,"",(YEAR('Raw Orders'!I43)-YEAR('Raw Orders'!H43))*12+MONTH('Raw Orders'!I43)-MONTH('Raw Orders'!H43))</f>
        <v>0</v>
      </c>
      <c r="K43" t="str">
        <f>IF('Raw Orders'!J43,"Cancelled",IF('Raw Orders'!K43&gt;=2,"Slipped","On plan"))</f>
        <v>On plan</v>
      </c>
      <c r="L43" s="12">
        <f t="shared" si="0"/>
        <v>0</v>
      </c>
    </row>
    <row r="44" spans="1:12" x14ac:dyDescent="0.3">
      <c r="A44" t="str">
        <f>'Raw Orders'!A44</f>
        <v>NX-00040</v>
      </c>
      <c r="B44" t="str">
        <f>'Raw Orders'!B44</f>
        <v>North America</v>
      </c>
      <c r="C44" t="str">
        <f>'Raw Orders'!C44</f>
        <v>US / Canada</v>
      </c>
      <c r="D44" s="11">
        <f>'Raw Orders'!E44</f>
        <v>7.2</v>
      </c>
      <c r="E44" s="12">
        <f>'Raw Orders'!F44</f>
        <v>597600</v>
      </c>
      <c r="F44" s="12">
        <f>'Raw Orders'!F44*0.75</f>
        <v>448200</v>
      </c>
      <c r="G44" s="10">
        <f>'Raw Orders'!H44</f>
        <v>45505</v>
      </c>
      <c r="H44" s="10">
        <f>'Raw Orders'!I44</f>
        <v>45505</v>
      </c>
      <c r="I44" s="11">
        <f>'Raw Orders'!K44</f>
        <v>0</v>
      </c>
      <c r="J44" s="11">
        <f>IF('Raw Orders'!J44,"",(YEAR('Raw Orders'!I44)-YEAR('Raw Orders'!H44))*12+MONTH('Raw Orders'!I44)-MONTH('Raw Orders'!H44))</f>
        <v>0</v>
      </c>
      <c r="K44" t="str">
        <f>IF('Raw Orders'!J44,"Cancelled",IF('Raw Orders'!K44&gt;=2,"Slipped","On plan"))</f>
        <v>On plan</v>
      </c>
      <c r="L44" s="12">
        <f t="shared" si="0"/>
        <v>0</v>
      </c>
    </row>
    <row r="45" spans="1:12" x14ac:dyDescent="0.3">
      <c r="A45" t="str">
        <f>'Raw Orders'!A45</f>
        <v>NX-00041</v>
      </c>
      <c r="B45" t="str">
        <f>'Raw Orders'!B45</f>
        <v>North America</v>
      </c>
      <c r="C45" t="str">
        <f>'Raw Orders'!C45</f>
        <v>US / Canada</v>
      </c>
      <c r="D45" s="11">
        <f>'Raw Orders'!E45</f>
        <v>27.6</v>
      </c>
      <c r="E45" s="12">
        <f>'Raw Orders'!F45</f>
        <v>2290800</v>
      </c>
      <c r="F45" s="12">
        <f>'Raw Orders'!F45*0.75</f>
        <v>1718100</v>
      </c>
      <c r="G45" s="10">
        <f>'Raw Orders'!H45</f>
        <v>45658</v>
      </c>
      <c r="H45" s="10">
        <f>'Raw Orders'!I45</f>
        <v>45658</v>
      </c>
      <c r="I45" s="11">
        <f>'Raw Orders'!K45</f>
        <v>0</v>
      </c>
      <c r="J45" s="11">
        <f>IF('Raw Orders'!J45,"",(YEAR('Raw Orders'!I45)-YEAR('Raw Orders'!H45))*12+MONTH('Raw Orders'!I45)-MONTH('Raw Orders'!H45))</f>
        <v>0</v>
      </c>
      <c r="K45" t="str">
        <f>IF('Raw Orders'!J45,"Cancelled",IF('Raw Orders'!K45&gt;=2,"Slipped","On plan"))</f>
        <v>On plan</v>
      </c>
      <c r="L45" s="12">
        <f t="shared" si="0"/>
        <v>0</v>
      </c>
    </row>
    <row r="46" spans="1:12" x14ac:dyDescent="0.3">
      <c r="A46" t="str">
        <f>'Raw Orders'!A46</f>
        <v>NX-00042</v>
      </c>
      <c r="B46" t="str">
        <f>'Raw Orders'!B46</f>
        <v>North America</v>
      </c>
      <c r="C46" t="str">
        <f>'Raw Orders'!C46</f>
        <v>US / Canada</v>
      </c>
      <c r="D46" s="11">
        <f>'Raw Orders'!E46</f>
        <v>20.5</v>
      </c>
      <c r="E46" s="12">
        <f>'Raw Orders'!F46</f>
        <v>1701500</v>
      </c>
      <c r="F46" s="12">
        <f>'Raw Orders'!F46*0.75</f>
        <v>1276125</v>
      </c>
      <c r="G46" s="10">
        <f>'Raw Orders'!H46</f>
        <v>45627</v>
      </c>
      <c r="H46" s="10">
        <f>'Raw Orders'!I46</f>
        <v>45627</v>
      </c>
      <c r="I46" s="11">
        <f>'Raw Orders'!K46</f>
        <v>0.03</v>
      </c>
      <c r="J46" s="11">
        <f>IF('Raw Orders'!J46,"",(YEAR('Raw Orders'!I46)-YEAR('Raw Orders'!H46))*12+MONTH('Raw Orders'!I46)-MONTH('Raw Orders'!H46))</f>
        <v>0</v>
      </c>
      <c r="K46" t="str">
        <f>IF('Raw Orders'!J46,"Cancelled",IF('Raw Orders'!K46&gt;=2,"Slipped","On plan"))</f>
        <v>On plan</v>
      </c>
      <c r="L46" s="12">
        <f t="shared" si="0"/>
        <v>0</v>
      </c>
    </row>
    <row r="47" spans="1:12" x14ac:dyDescent="0.3">
      <c r="A47" t="str">
        <f>'Raw Orders'!A47</f>
        <v>NX-00043</v>
      </c>
      <c r="B47" t="str">
        <f>'Raw Orders'!B47</f>
        <v>EMEA</v>
      </c>
      <c r="C47" t="str">
        <f>'Raw Orders'!C47</f>
        <v>Europe</v>
      </c>
      <c r="D47" s="11">
        <f>'Raw Orders'!E47</f>
        <v>14.9</v>
      </c>
      <c r="E47" s="12">
        <f>'Raw Orders'!F47</f>
        <v>1311200</v>
      </c>
      <c r="F47" s="12">
        <f>'Raw Orders'!F47*0.75</f>
        <v>983400</v>
      </c>
      <c r="G47" s="10">
        <f>'Raw Orders'!H47</f>
        <v>45597</v>
      </c>
      <c r="H47" s="10">
        <f>'Raw Orders'!I47</f>
        <v>45597</v>
      </c>
      <c r="I47" s="11">
        <f>'Raw Orders'!K47</f>
        <v>0.23</v>
      </c>
      <c r="J47" s="11">
        <f>IF('Raw Orders'!J47,"",(YEAR('Raw Orders'!I47)-YEAR('Raw Orders'!H47))*12+MONTH('Raw Orders'!I47)-MONTH('Raw Orders'!H47))</f>
        <v>0</v>
      </c>
      <c r="K47" t="str">
        <f>IF('Raw Orders'!J47,"Cancelled",IF('Raw Orders'!K47&gt;=2,"Slipped","On plan"))</f>
        <v>On plan</v>
      </c>
      <c r="L47" s="12">
        <f t="shared" si="0"/>
        <v>0</v>
      </c>
    </row>
    <row r="48" spans="1:12" x14ac:dyDescent="0.3">
      <c r="A48" t="str">
        <f>'Raw Orders'!A48</f>
        <v>NX-00044</v>
      </c>
      <c r="B48" t="str">
        <f>'Raw Orders'!B48</f>
        <v>EMEA</v>
      </c>
      <c r="C48" t="str">
        <f>'Raw Orders'!C48</f>
        <v>Europe</v>
      </c>
      <c r="D48" s="11">
        <f>'Raw Orders'!E48</f>
        <v>14.2</v>
      </c>
      <c r="E48" s="12">
        <f>'Raw Orders'!F48</f>
        <v>1249600</v>
      </c>
      <c r="F48" s="12">
        <f>'Raw Orders'!F48*0.75</f>
        <v>937200</v>
      </c>
      <c r="G48" s="10">
        <f>'Raw Orders'!H48</f>
        <v>45566</v>
      </c>
      <c r="H48" s="10">
        <f>'Raw Orders'!I48</f>
        <v>45597</v>
      </c>
      <c r="I48" s="11">
        <f>'Raw Orders'!K48</f>
        <v>0.6</v>
      </c>
      <c r="J48" s="11">
        <f>IF('Raw Orders'!J48,"",(YEAR('Raw Orders'!I48)-YEAR('Raw Orders'!H48))*12+MONTH('Raw Orders'!I48)-MONTH('Raw Orders'!H48))</f>
        <v>1</v>
      </c>
      <c r="K48" t="str">
        <f>IF('Raw Orders'!J48,"Cancelled",IF('Raw Orders'!K48&gt;=2,"Slipped","On plan"))</f>
        <v>On plan</v>
      </c>
      <c r="L48" s="12">
        <f t="shared" si="0"/>
        <v>0</v>
      </c>
    </row>
    <row r="49" spans="1:12" x14ac:dyDescent="0.3">
      <c r="A49" t="str">
        <f>'Raw Orders'!A49</f>
        <v>NX-00045</v>
      </c>
      <c r="B49" t="str">
        <f>'Raw Orders'!B49</f>
        <v>EMEA</v>
      </c>
      <c r="C49" t="str">
        <f>'Raw Orders'!C49</f>
        <v>Europe</v>
      </c>
      <c r="D49" s="11">
        <f>'Raw Orders'!E49</f>
        <v>6.9</v>
      </c>
      <c r="E49" s="12">
        <f>'Raw Orders'!F49</f>
        <v>607200</v>
      </c>
      <c r="F49" s="12">
        <f>'Raw Orders'!F49*0.75</f>
        <v>455400</v>
      </c>
      <c r="G49" s="10">
        <f>'Raw Orders'!H49</f>
        <v>45658</v>
      </c>
      <c r="H49" s="10">
        <f>'Raw Orders'!I49</f>
        <v>45809</v>
      </c>
      <c r="I49" s="11">
        <f>'Raw Orders'!K49</f>
        <v>4.6900000000000004</v>
      </c>
      <c r="J49" s="11">
        <f>IF('Raw Orders'!J49,"",(YEAR('Raw Orders'!I49)-YEAR('Raw Orders'!H49))*12+MONTH('Raw Orders'!I49)-MONTH('Raw Orders'!H49))</f>
        <v>5</v>
      </c>
      <c r="K49" t="str">
        <f>IF('Raw Orders'!J49,"Cancelled",IF('Raw Orders'!K49&gt;=2,"Slipped","On plan"))</f>
        <v>Slipped</v>
      </c>
      <c r="L49" s="12">
        <f t="shared" si="0"/>
        <v>455400</v>
      </c>
    </row>
    <row r="50" spans="1:12" x14ac:dyDescent="0.3">
      <c r="A50" t="str">
        <f>'Raw Orders'!A50</f>
        <v>NX-00046</v>
      </c>
      <c r="B50" t="str">
        <f>'Raw Orders'!B50</f>
        <v>EMEA</v>
      </c>
      <c r="C50" t="str">
        <f>'Raw Orders'!C50</f>
        <v>Europe</v>
      </c>
      <c r="D50" s="11">
        <f>'Raw Orders'!E50</f>
        <v>18.2</v>
      </c>
      <c r="E50" s="12">
        <f>'Raw Orders'!F50</f>
        <v>1601600</v>
      </c>
      <c r="F50" s="12">
        <f>'Raw Orders'!F50*0.75</f>
        <v>1201200</v>
      </c>
      <c r="G50" s="10">
        <f>'Raw Orders'!H50</f>
        <v>45474</v>
      </c>
      <c r="H50" s="10">
        <f>'Raw Orders'!I50</f>
        <v>45658</v>
      </c>
      <c r="I50" s="11">
        <f>'Raw Orders'!K50</f>
        <v>5.67</v>
      </c>
      <c r="J50" s="11">
        <f>IF('Raw Orders'!J50,"",(YEAR('Raw Orders'!I50)-YEAR('Raw Orders'!H50))*12+MONTH('Raw Orders'!I50)-MONTH('Raw Orders'!H50))</f>
        <v>6</v>
      </c>
      <c r="K50" t="str">
        <f>IF('Raw Orders'!J50,"Cancelled",IF('Raw Orders'!K50&gt;=2,"Slipped","On plan"))</f>
        <v>Slipped</v>
      </c>
      <c r="L50" s="12">
        <f t="shared" si="0"/>
        <v>1201200</v>
      </c>
    </row>
    <row r="51" spans="1:12" x14ac:dyDescent="0.3">
      <c r="A51" t="str">
        <f>'Raw Orders'!A51</f>
        <v>NX-00047</v>
      </c>
      <c r="B51" t="str">
        <f>'Raw Orders'!B51</f>
        <v>EMEA</v>
      </c>
      <c r="C51" t="str">
        <f>'Raw Orders'!C51</f>
        <v>Europe</v>
      </c>
      <c r="D51" s="11">
        <f>'Raw Orders'!E51</f>
        <v>1.7</v>
      </c>
      <c r="E51" s="12">
        <f>'Raw Orders'!F51</f>
        <v>149600</v>
      </c>
      <c r="F51" s="12">
        <f>'Raw Orders'!F51*0.75</f>
        <v>112200</v>
      </c>
      <c r="G51" s="10">
        <f>'Raw Orders'!H51</f>
        <v>45597</v>
      </c>
      <c r="H51" s="10">
        <f>'Raw Orders'!I51</f>
        <v>45689</v>
      </c>
      <c r="I51" s="11">
        <f>'Raw Orders'!K51</f>
        <v>3.45</v>
      </c>
      <c r="J51" s="11">
        <f>IF('Raw Orders'!J51,"",(YEAR('Raw Orders'!I51)-YEAR('Raw Orders'!H51))*12+MONTH('Raw Orders'!I51)-MONTH('Raw Orders'!H51))</f>
        <v>3</v>
      </c>
      <c r="K51" t="str">
        <f>IF('Raw Orders'!J51,"Cancelled",IF('Raw Orders'!K51&gt;=2,"Slipped","On plan"))</f>
        <v>Slipped</v>
      </c>
      <c r="L51" s="12">
        <f t="shared" si="0"/>
        <v>112200</v>
      </c>
    </row>
    <row r="52" spans="1:12" x14ac:dyDescent="0.3">
      <c r="A52" t="str">
        <f>'Raw Orders'!A52</f>
        <v>NX-00048</v>
      </c>
      <c r="B52" t="str">
        <f>'Raw Orders'!B52</f>
        <v>EMEA</v>
      </c>
      <c r="C52" t="str">
        <f>'Raw Orders'!C52</f>
        <v>Europe</v>
      </c>
      <c r="D52" s="11">
        <f>'Raw Orders'!E52</f>
        <v>10.8</v>
      </c>
      <c r="E52" s="12">
        <f>'Raw Orders'!F52</f>
        <v>950400</v>
      </c>
      <c r="F52" s="12">
        <f>'Raw Orders'!F52*0.75</f>
        <v>712800</v>
      </c>
      <c r="G52" s="10">
        <f>'Raw Orders'!H52</f>
        <v>45474</v>
      </c>
      <c r="H52" s="10">
        <f>'Raw Orders'!I52</f>
        <v>45627</v>
      </c>
      <c r="I52" s="11">
        <f>'Raw Orders'!K52</f>
        <v>4.96</v>
      </c>
      <c r="J52" s="11">
        <f>IF('Raw Orders'!J52,"",(YEAR('Raw Orders'!I52)-YEAR('Raw Orders'!H52))*12+MONTH('Raw Orders'!I52)-MONTH('Raw Orders'!H52))</f>
        <v>5</v>
      </c>
      <c r="K52" t="str">
        <f>IF('Raw Orders'!J52,"Cancelled",IF('Raw Orders'!K52&gt;=2,"Slipped","On plan"))</f>
        <v>Slipped</v>
      </c>
      <c r="L52" s="12">
        <f t="shared" si="0"/>
        <v>712800</v>
      </c>
    </row>
    <row r="53" spans="1:12" x14ac:dyDescent="0.3">
      <c r="A53" t="str">
        <f>'Raw Orders'!A53</f>
        <v>NX-00049</v>
      </c>
      <c r="B53" t="str">
        <f>'Raw Orders'!B53</f>
        <v>EMEA</v>
      </c>
      <c r="C53" t="str">
        <f>'Raw Orders'!C53</f>
        <v>MENA</v>
      </c>
      <c r="D53" s="11">
        <f>'Raw Orders'!E53</f>
        <v>12.4</v>
      </c>
      <c r="E53" s="12">
        <f>'Raw Orders'!F53</f>
        <v>1004400</v>
      </c>
      <c r="F53" s="12">
        <f>'Raw Orders'!F53*0.75</f>
        <v>753300</v>
      </c>
      <c r="G53" s="10">
        <f>'Raw Orders'!H53</f>
        <v>45627</v>
      </c>
      <c r="H53" s="10">
        <f>'Raw Orders'!I53</f>
        <v>46054</v>
      </c>
      <c r="I53" s="11">
        <f>'Raw Orders'!K53</f>
        <v>13.85</v>
      </c>
      <c r="J53" s="11">
        <f>IF('Raw Orders'!J53,"",(YEAR('Raw Orders'!I53)-YEAR('Raw Orders'!H53))*12+MONTH('Raw Orders'!I53)-MONTH('Raw Orders'!H53))</f>
        <v>14</v>
      </c>
      <c r="K53" t="str">
        <f>IF('Raw Orders'!J53,"Cancelled",IF('Raw Orders'!K53&gt;=2,"Slipped","On plan"))</f>
        <v>Slipped</v>
      </c>
      <c r="L53" s="12">
        <f t="shared" si="0"/>
        <v>753300</v>
      </c>
    </row>
    <row r="54" spans="1:12" x14ac:dyDescent="0.3">
      <c r="A54" t="str">
        <f>'Raw Orders'!A54</f>
        <v>NX-00050</v>
      </c>
      <c r="B54" t="str">
        <f>'Raw Orders'!B54</f>
        <v>EMEA</v>
      </c>
      <c r="C54" t="str">
        <f>'Raw Orders'!C54</f>
        <v>MENA</v>
      </c>
      <c r="D54" s="11">
        <f>'Raw Orders'!E54</f>
        <v>14.1</v>
      </c>
      <c r="E54" s="12">
        <f>'Raw Orders'!F54</f>
        <v>1142100</v>
      </c>
      <c r="F54" s="12">
        <f>'Raw Orders'!F54*0.75</f>
        <v>856575</v>
      </c>
      <c r="G54" s="10">
        <f>'Raw Orders'!H54</f>
        <v>45505</v>
      </c>
      <c r="H54" s="10">
        <f>'Raw Orders'!I54</f>
        <v>45505</v>
      </c>
      <c r="I54" s="11">
        <f>'Raw Orders'!K54</f>
        <v>0.1</v>
      </c>
      <c r="J54" s="11">
        <f>IF('Raw Orders'!J54,"",(YEAR('Raw Orders'!I54)-YEAR('Raw Orders'!H54))*12+MONTH('Raw Orders'!I54)-MONTH('Raw Orders'!H54))</f>
        <v>0</v>
      </c>
      <c r="K54" t="str">
        <f>IF('Raw Orders'!J54,"Cancelled",IF('Raw Orders'!K54&gt;=2,"Slipped","On plan"))</f>
        <v>On plan</v>
      </c>
      <c r="L54" s="12">
        <f t="shared" si="0"/>
        <v>0</v>
      </c>
    </row>
    <row r="55" spans="1:12" x14ac:dyDescent="0.3">
      <c r="A55" t="str">
        <f>'Raw Orders'!A55</f>
        <v>NX-00051</v>
      </c>
      <c r="B55" t="str">
        <f>'Raw Orders'!B55</f>
        <v>EMEA</v>
      </c>
      <c r="C55" t="str">
        <f>'Raw Orders'!C55</f>
        <v>MENA</v>
      </c>
      <c r="D55" s="11">
        <f>'Raw Orders'!E55</f>
        <v>10.7</v>
      </c>
      <c r="E55" s="12">
        <f>'Raw Orders'!F55</f>
        <v>866700</v>
      </c>
      <c r="F55" s="12">
        <f>'Raw Orders'!F55*0.75</f>
        <v>650025</v>
      </c>
      <c r="G55" s="10">
        <f>'Raw Orders'!H55</f>
        <v>45505</v>
      </c>
      <c r="H55" s="10">
        <f>'Raw Orders'!I55</f>
        <v>45505</v>
      </c>
      <c r="I55" s="11">
        <f>'Raw Orders'!K55</f>
        <v>0.1</v>
      </c>
      <c r="J55" s="11">
        <f>IF('Raw Orders'!J55,"",(YEAR('Raw Orders'!I55)-YEAR('Raw Orders'!H55))*12+MONTH('Raw Orders'!I55)-MONTH('Raw Orders'!H55))</f>
        <v>0</v>
      </c>
      <c r="K55" t="str">
        <f>IF('Raw Orders'!J55,"Cancelled",IF('Raw Orders'!K55&gt;=2,"Slipped","On plan"))</f>
        <v>On plan</v>
      </c>
      <c r="L55" s="12">
        <f t="shared" si="0"/>
        <v>0</v>
      </c>
    </row>
    <row r="56" spans="1:12" x14ac:dyDescent="0.3">
      <c r="A56" t="str">
        <f>'Raw Orders'!A56</f>
        <v>NX-00052</v>
      </c>
      <c r="B56" t="str">
        <f>'Raw Orders'!B56</f>
        <v>EMEA</v>
      </c>
      <c r="C56" t="str">
        <f>'Raw Orders'!C56</f>
        <v>MENA</v>
      </c>
      <c r="D56" s="11">
        <f>'Raw Orders'!E56</f>
        <v>12.2</v>
      </c>
      <c r="E56" s="12">
        <f>'Raw Orders'!F56</f>
        <v>988200</v>
      </c>
      <c r="F56" s="12">
        <f>'Raw Orders'!F56*0.75</f>
        <v>741150</v>
      </c>
      <c r="G56" s="10">
        <f>'Raw Orders'!H56</f>
        <v>45474</v>
      </c>
      <c r="H56" s="10">
        <f>'Raw Orders'!I56</f>
        <v>45627</v>
      </c>
      <c r="I56" s="11">
        <f>'Raw Orders'!K56</f>
        <v>4.54</v>
      </c>
      <c r="J56" s="11">
        <f>IF('Raw Orders'!J56,"",(YEAR('Raw Orders'!I56)-YEAR('Raw Orders'!H56))*12+MONTH('Raw Orders'!I56)-MONTH('Raw Orders'!H56))</f>
        <v>5</v>
      </c>
      <c r="K56" t="str">
        <f>IF('Raw Orders'!J56,"Cancelled",IF('Raw Orders'!K56&gt;=2,"Slipped","On plan"))</f>
        <v>Slipped</v>
      </c>
      <c r="L56" s="12">
        <f t="shared" si="0"/>
        <v>741150</v>
      </c>
    </row>
    <row r="57" spans="1:12" x14ac:dyDescent="0.3">
      <c r="A57" t="str">
        <f>'Raw Orders'!A57</f>
        <v>NX-00053</v>
      </c>
      <c r="B57" t="str">
        <f>'Raw Orders'!B57</f>
        <v>APAC</v>
      </c>
      <c r="C57" t="str">
        <f>'Raw Orders'!C57</f>
        <v>India</v>
      </c>
      <c r="D57" s="11">
        <f>'Raw Orders'!E57</f>
        <v>69.7</v>
      </c>
      <c r="E57" s="12">
        <f>'Raw Orders'!F57</f>
        <v>4948700</v>
      </c>
      <c r="F57" s="12">
        <f>'Raw Orders'!F57*0.75</f>
        <v>3711525</v>
      </c>
      <c r="G57" s="10">
        <f>'Raw Orders'!H57</f>
        <v>45658</v>
      </c>
      <c r="H57" s="10">
        <f>'Raw Orders'!I57</f>
        <v>45778</v>
      </c>
      <c r="I57" s="11">
        <f>'Raw Orders'!K57</f>
        <v>3.76</v>
      </c>
      <c r="J57" s="11">
        <f>IF('Raw Orders'!J57,"",(YEAR('Raw Orders'!I57)-YEAR('Raw Orders'!H57))*12+MONTH('Raw Orders'!I57)-MONTH('Raw Orders'!H57))</f>
        <v>4</v>
      </c>
      <c r="K57" t="str">
        <f>IF('Raw Orders'!J57,"Cancelled",IF('Raw Orders'!K57&gt;=2,"Slipped","On plan"))</f>
        <v>Slipped</v>
      </c>
      <c r="L57" s="12">
        <f t="shared" si="0"/>
        <v>3711525</v>
      </c>
    </row>
    <row r="58" spans="1:12" x14ac:dyDescent="0.3">
      <c r="A58" t="str">
        <f>'Raw Orders'!A58</f>
        <v>NX-00054</v>
      </c>
      <c r="B58" t="str">
        <f>'Raw Orders'!B58</f>
        <v>APAC</v>
      </c>
      <c r="C58" t="str">
        <f>'Raw Orders'!C58</f>
        <v>India</v>
      </c>
      <c r="D58" s="11">
        <f>'Raw Orders'!E58</f>
        <v>4.5</v>
      </c>
      <c r="E58" s="12">
        <f>'Raw Orders'!F58</f>
        <v>319500</v>
      </c>
      <c r="F58" s="12">
        <f>'Raw Orders'!F58*0.75</f>
        <v>239625</v>
      </c>
      <c r="G58" s="10">
        <f>'Raw Orders'!H58</f>
        <v>45658</v>
      </c>
      <c r="H58" s="10">
        <f>'Raw Orders'!I58</f>
        <v>45658</v>
      </c>
      <c r="I58" s="11">
        <f>'Raw Orders'!K58</f>
        <v>0.22</v>
      </c>
      <c r="J58" s="11">
        <f>IF('Raw Orders'!J58,"",(YEAR('Raw Orders'!I58)-YEAR('Raw Orders'!H58))*12+MONTH('Raw Orders'!I58)-MONTH('Raw Orders'!H58))</f>
        <v>0</v>
      </c>
      <c r="K58" t="str">
        <f>IF('Raw Orders'!J58,"Cancelled",IF('Raw Orders'!K58&gt;=2,"Slipped","On plan"))</f>
        <v>On plan</v>
      </c>
      <c r="L58" s="12">
        <f t="shared" si="0"/>
        <v>0</v>
      </c>
    </row>
    <row r="59" spans="1:12" x14ac:dyDescent="0.3">
      <c r="A59" t="str">
        <f>'Raw Orders'!A59</f>
        <v>NX-00055</v>
      </c>
      <c r="B59" t="str">
        <f>'Raw Orders'!B59</f>
        <v>APAC</v>
      </c>
      <c r="C59" t="str">
        <f>'Raw Orders'!C59</f>
        <v>India</v>
      </c>
      <c r="D59" s="11">
        <f>'Raw Orders'!E59</f>
        <v>17.600000000000001</v>
      </c>
      <c r="E59" s="12">
        <f>'Raw Orders'!F59</f>
        <v>1249600</v>
      </c>
      <c r="F59" s="12">
        <f>'Raw Orders'!F59*0.75</f>
        <v>937200</v>
      </c>
      <c r="G59" s="10">
        <f>'Raw Orders'!H59</f>
        <v>45536</v>
      </c>
      <c r="H59" s="10">
        <f>'Raw Orders'!I59</f>
        <v>46082</v>
      </c>
      <c r="I59" s="11">
        <f>'Raw Orders'!K59</f>
        <v>18</v>
      </c>
      <c r="J59" s="11">
        <f>IF('Raw Orders'!J59,"",(YEAR('Raw Orders'!I59)-YEAR('Raw Orders'!H59))*12+MONTH('Raw Orders'!I59)-MONTH('Raw Orders'!H59))</f>
        <v>18</v>
      </c>
      <c r="K59" t="str">
        <f>IF('Raw Orders'!J59,"Cancelled",IF('Raw Orders'!K59&gt;=2,"Slipped","On plan"))</f>
        <v>Slipped</v>
      </c>
      <c r="L59" s="12">
        <f t="shared" si="0"/>
        <v>937200</v>
      </c>
    </row>
    <row r="60" spans="1:12" x14ac:dyDescent="0.3">
      <c r="A60" t="str">
        <f>'Raw Orders'!A60</f>
        <v>NX-00056</v>
      </c>
      <c r="B60" t="str">
        <f>'Raw Orders'!B60</f>
        <v>APAC</v>
      </c>
      <c r="C60" t="str">
        <f>'Raw Orders'!C60</f>
        <v>Australia/SEA</v>
      </c>
      <c r="D60" s="11">
        <f>'Raw Orders'!E60</f>
        <v>12.5</v>
      </c>
      <c r="E60" s="12">
        <f>'Raw Orders'!F60</f>
        <v>1050000</v>
      </c>
      <c r="F60" s="12">
        <f>'Raw Orders'!F60*0.75</f>
        <v>787500</v>
      </c>
      <c r="G60" s="10">
        <f>'Raw Orders'!H60</f>
        <v>45597</v>
      </c>
      <c r="H60" s="10">
        <f>'Raw Orders'!I60</f>
        <v>45627</v>
      </c>
      <c r="I60" s="11">
        <f>'Raw Orders'!K60</f>
        <v>1.03</v>
      </c>
      <c r="J60" s="11">
        <f>IF('Raw Orders'!J60,"",(YEAR('Raw Orders'!I60)-YEAR('Raw Orders'!H60))*12+MONTH('Raw Orders'!I60)-MONTH('Raw Orders'!H60))</f>
        <v>1</v>
      </c>
      <c r="K60" t="str">
        <f>IF('Raw Orders'!J60,"Cancelled",IF('Raw Orders'!K60&gt;=2,"Slipped","On plan"))</f>
        <v>On plan</v>
      </c>
      <c r="L60" s="12">
        <f t="shared" si="0"/>
        <v>0</v>
      </c>
    </row>
    <row r="61" spans="1:12" x14ac:dyDescent="0.3">
      <c r="A61" t="str">
        <f>'Raw Orders'!A61</f>
        <v>NX-00057</v>
      </c>
      <c r="B61" t="str">
        <f>'Raw Orders'!B61</f>
        <v>APAC</v>
      </c>
      <c r="C61" t="str">
        <f>'Raw Orders'!C61</f>
        <v>Australia/SEA</v>
      </c>
      <c r="D61" s="11">
        <f>'Raw Orders'!E61</f>
        <v>33.4</v>
      </c>
      <c r="E61" s="12">
        <f>'Raw Orders'!F61</f>
        <v>2805600</v>
      </c>
      <c r="F61" s="12">
        <f>'Raw Orders'!F61*0.75</f>
        <v>2104200</v>
      </c>
      <c r="G61" s="10">
        <f>'Raw Orders'!H61</f>
        <v>45536</v>
      </c>
      <c r="H61" s="10">
        <f>'Raw Orders'!I61</f>
        <v>45597</v>
      </c>
      <c r="I61" s="11">
        <f>'Raw Orders'!K61</f>
        <v>1.77</v>
      </c>
      <c r="J61" s="11">
        <f>IF('Raw Orders'!J61,"",(YEAR('Raw Orders'!I61)-YEAR('Raw Orders'!H61))*12+MONTH('Raw Orders'!I61)-MONTH('Raw Orders'!H61))</f>
        <v>2</v>
      </c>
      <c r="K61" t="str">
        <f>IF('Raw Orders'!J61,"Cancelled",IF('Raw Orders'!K61&gt;=2,"Slipped","On plan"))</f>
        <v>On plan</v>
      </c>
      <c r="L61" s="12">
        <f t="shared" si="0"/>
        <v>0</v>
      </c>
    </row>
    <row r="62" spans="1:12" x14ac:dyDescent="0.3">
      <c r="A62" t="str">
        <f>'Raw Orders'!A62</f>
        <v>NX-00058</v>
      </c>
      <c r="B62" t="str">
        <f>'Raw Orders'!B62</f>
        <v>LATAM</v>
      </c>
      <c r="C62" t="str">
        <f>'Raw Orders'!C62</f>
        <v>LATAM</v>
      </c>
      <c r="D62" s="11">
        <f>'Raw Orders'!E62</f>
        <v>13.6</v>
      </c>
      <c r="E62" s="12">
        <f>'Raw Orders'!F62</f>
        <v>1074400</v>
      </c>
      <c r="F62" s="12">
        <f>'Raw Orders'!F62*0.75</f>
        <v>805800</v>
      </c>
      <c r="G62" s="10">
        <f>'Raw Orders'!H62</f>
        <v>45658</v>
      </c>
      <c r="H62" s="10">
        <f>'Raw Orders'!I62</f>
        <v>45658</v>
      </c>
      <c r="I62" s="11">
        <f>'Raw Orders'!K62</f>
        <v>0.15</v>
      </c>
      <c r="J62" s="11">
        <f>IF('Raw Orders'!J62,"",(YEAR('Raw Orders'!I62)-YEAR('Raw Orders'!H62))*12+MONTH('Raw Orders'!I62)-MONTH('Raw Orders'!H62))</f>
        <v>0</v>
      </c>
      <c r="K62" t="str">
        <f>IF('Raw Orders'!J62,"Cancelled",IF('Raw Orders'!K62&gt;=2,"Slipped","On plan"))</f>
        <v>On plan</v>
      </c>
      <c r="L62" s="12">
        <f t="shared" si="0"/>
        <v>0</v>
      </c>
    </row>
    <row r="63" spans="1:12" x14ac:dyDescent="0.3">
      <c r="A63" t="str">
        <f>'Raw Orders'!A63</f>
        <v>NX-00059</v>
      </c>
      <c r="B63" t="str">
        <f>'Raw Orders'!B63</f>
        <v>North America</v>
      </c>
      <c r="C63" t="str">
        <f>'Raw Orders'!C63</f>
        <v>US / Canada</v>
      </c>
      <c r="D63" s="11">
        <f>'Raw Orders'!E63</f>
        <v>10.199999999999999</v>
      </c>
      <c r="E63" s="12">
        <f>'Raw Orders'!F63</f>
        <v>846599.99999999988</v>
      </c>
      <c r="F63" s="12">
        <f>'Raw Orders'!F63*0.75</f>
        <v>634949.99999999988</v>
      </c>
      <c r="G63" s="10">
        <f>'Raw Orders'!H63</f>
        <v>45597</v>
      </c>
      <c r="H63" s="10">
        <f>'Raw Orders'!I63</f>
        <v>45627</v>
      </c>
      <c r="I63" s="11">
        <f>'Raw Orders'!K63</f>
        <v>0.66</v>
      </c>
      <c r="J63" s="11">
        <f>IF('Raw Orders'!J63,"",(YEAR('Raw Orders'!I63)-YEAR('Raw Orders'!H63))*12+MONTH('Raw Orders'!I63)-MONTH('Raw Orders'!H63))</f>
        <v>1</v>
      </c>
      <c r="K63" t="str">
        <f>IF('Raw Orders'!J63,"Cancelled",IF('Raw Orders'!K63&gt;=2,"Slipped","On plan"))</f>
        <v>On plan</v>
      </c>
      <c r="L63" s="12">
        <f t="shared" si="0"/>
        <v>0</v>
      </c>
    </row>
    <row r="64" spans="1:12" x14ac:dyDescent="0.3">
      <c r="A64" t="str">
        <f>'Raw Orders'!A64</f>
        <v>NX-00060</v>
      </c>
      <c r="B64" t="str">
        <f>'Raw Orders'!B64</f>
        <v>North America</v>
      </c>
      <c r="C64" t="str">
        <f>'Raw Orders'!C64</f>
        <v>US / Canada</v>
      </c>
      <c r="D64" s="11">
        <f>'Raw Orders'!E64</f>
        <v>5.5</v>
      </c>
      <c r="E64" s="12">
        <f>'Raw Orders'!F64</f>
        <v>456500</v>
      </c>
      <c r="F64" s="12">
        <f>'Raw Orders'!F64*0.75</f>
        <v>342375</v>
      </c>
      <c r="G64" s="10">
        <f>'Raw Orders'!H64</f>
        <v>45658</v>
      </c>
      <c r="H64" s="10">
        <f>'Raw Orders'!I64</f>
        <v>45658</v>
      </c>
      <c r="I64" s="11">
        <f>'Raw Orders'!K64</f>
        <v>0.18</v>
      </c>
      <c r="J64" s="11">
        <f>IF('Raw Orders'!J64,"",(YEAR('Raw Orders'!I64)-YEAR('Raw Orders'!H64))*12+MONTH('Raw Orders'!I64)-MONTH('Raw Orders'!H64))</f>
        <v>0</v>
      </c>
      <c r="K64" t="str">
        <f>IF('Raw Orders'!J64,"Cancelled",IF('Raw Orders'!K64&gt;=2,"Slipped","On plan"))</f>
        <v>On plan</v>
      </c>
      <c r="L64" s="12">
        <f t="shared" si="0"/>
        <v>0</v>
      </c>
    </row>
    <row r="65" spans="1:12" x14ac:dyDescent="0.3">
      <c r="A65" t="str">
        <f>'Raw Orders'!A65</f>
        <v>NX-00061</v>
      </c>
      <c r="B65" t="str">
        <f>'Raw Orders'!B65</f>
        <v>North America</v>
      </c>
      <c r="C65" t="str">
        <f>'Raw Orders'!C65</f>
        <v>US / Canada</v>
      </c>
      <c r="D65" s="11">
        <f>'Raw Orders'!E65</f>
        <v>4.5999999999999996</v>
      </c>
      <c r="E65" s="12">
        <f>'Raw Orders'!F65</f>
        <v>381800</v>
      </c>
      <c r="F65" s="12">
        <f>'Raw Orders'!F65*0.75</f>
        <v>286350</v>
      </c>
      <c r="G65" s="10">
        <f>'Raw Orders'!H65</f>
        <v>45566</v>
      </c>
      <c r="H65" s="10">
        <f>'Raw Orders'!I65</f>
        <v>45566</v>
      </c>
      <c r="I65" s="11">
        <f>'Raw Orders'!K65</f>
        <v>0.21</v>
      </c>
      <c r="J65" s="11">
        <f>IF('Raw Orders'!J65,"",(YEAR('Raw Orders'!I65)-YEAR('Raw Orders'!H65))*12+MONTH('Raw Orders'!I65)-MONTH('Raw Orders'!H65))</f>
        <v>0</v>
      </c>
      <c r="K65" t="str">
        <f>IF('Raw Orders'!J65,"Cancelled",IF('Raw Orders'!K65&gt;=2,"Slipped","On plan"))</f>
        <v>On plan</v>
      </c>
      <c r="L65" s="12">
        <f t="shared" si="0"/>
        <v>0</v>
      </c>
    </row>
    <row r="66" spans="1:12" x14ac:dyDescent="0.3">
      <c r="A66" t="str">
        <f>'Raw Orders'!A66</f>
        <v>NX-00062</v>
      </c>
      <c r="B66" t="str">
        <f>'Raw Orders'!B66</f>
        <v>North America</v>
      </c>
      <c r="C66" t="str">
        <f>'Raw Orders'!C66</f>
        <v>US / Canada</v>
      </c>
      <c r="D66" s="11">
        <f>'Raw Orders'!E66</f>
        <v>7.7</v>
      </c>
      <c r="E66" s="12">
        <f>'Raw Orders'!F66</f>
        <v>639100</v>
      </c>
      <c r="F66" s="12">
        <f>'Raw Orders'!F66*0.75</f>
        <v>479325</v>
      </c>
      <c r="G66" s="10">
        <f>'Raw Orders'!H66</f>
        <v>45627</v>
      </c>
      <c r="H66" s="10">
        <f>'Raw Orders'!I66</f>
        <v>45627</v>
      </c>
      <c r="I66" s="11">
        <f>'Raw Orders'!K66</f>
        <v>0.11</v>
      </c>
      <c r="J66" s="11">
        <f>IF('Raw Orders'!J66,"",(YEAR('Raw Orders'!I66)-YEAR('Raw Orders'!H66))*12+MONTH('Raw Orders'!I66)-MONTH('Raw Orders'!H66))</f>
        <v>0</v>
      </c>
      <c r="K66" t="str">
        <f>IF('Raw Orders'!J66,"Cancelled",IF('Raw Orders'!K66&gt;=2,"Slipped","On plan"))</f>
        <v>On plan</v>
      </c>
      <c r="L66" s="12">
        <f t="shared" si="0"/>
        <v>0</v>
      </c>
    </row>
    <row r="67" spans="1:12" x14ac:dyDescent="0.3">
      <c r="A67" t="str">
        <f>'Raw Orders'!A67</f>
        <v>NX-00063</v>
      </c>
      <c r="B67" t="str">
        <f>'Raw Orders'!B67</f>
        <v>North America</v>
      </c>
      <c r="C67" t="str">
        <f>'Raw Orders'!C67</f>
        <v>US / Canada</v>
      </c>
      <c r="D67" s="11">
        <f>'Raw Orders'!E67</f>
        <v>26.8</v>
      </c>
      <c r="E67" s="12">
        <f>'Raw Orders'!F67</f>
        <v>2224400</v>
      </c>
      <c r="F67" s="12">
        <f>'Raw Orders'!F67*0.75</f>
        <v>1668300</v>
      </c>
      <c r="G67" s="10">
        <f>'Raw Orders'!H67</f>
        <v>45597</v>
      </c>
      <c r="H67" s="10">
        <f>'Raw Orders'!I67</f>
        <v>45597</v>
      </c>
      <c r="I67" s="11">
        <f>'Raw Orders'!K67</f>
        <v>0.09</v>
      </c>
      <c r="J67" s="11">
        <f>IF('Raw Orders'!J67,"",(YEAR('Raw Orders'!I67)-YEAR('Raw Orders'!H67))*12+MONTH('Raw Orders'!I67)-MONTH('Raw Orders'!H67))</f>
        <v>0</v>
      </c>
      <c r="K67" t="str">
        <f>IF('Raw Orders'!J67,"Cancelled",IF('Raw Orders'!K67&gt;=2,"Slipped","On plan"))</f>
        <v>On plan</v>
      </c>
      <c r="L67" s="12">
        <f t="shared" si="0"/>
        <v>0</v>
      </c>
    </row>
    <row r="68" spans="1:12" x14ac:dyDescent="0.3">
      <c r="A68" t="str">
        <f>'Raw Orders'!A68</f>
        <v>NX-00064</v>
      </c>
      <c r="B68" t="str">
        <f>'Raw Orders'!B68</f>
        <v>North America</v>
      </c>
      <c r="C68" t="str">
        <f>'Raw Orders'!C68</f>
        <v>US / Canada</v>
      </c>
      <c r="D68" s="11">
        <f>'Raw Orders'!E68</f>
        <v>28.5</v>
      </c>
      <c r="E68" s="12">
        <f>'Raw Orders'!F68</f>
        <v>2365500</v>
      </c>
      <c r="F68" s="12">
        <f>'Raw Orders'!F68*0.75</f>
        <v>1774125</v>
      </c>
      <c r="G68" s="10">
        <f>'Raw Orders'!H68</f>
        <v>45689</v>
      </c>
      <c r="H68" s="10">
        <f>'Raw Orders'!I68</f>
        <v>45717</v>
      </c>
      <c r="I68" s="11">
        <f>'Raw Orders'!K68</f>
        <v>1.32</v>
      </c>
      <c r="J68" s="11">
        <f>IF('Raw Orders'!J68,"",(YEAR('Raw Orders'!I68)-YEAR('Raw Orders'!H68))*12+MONTH('Raw Orders'!I68)-MONTH('Raw Orders'!H68))</f>
        <v>1</v>
      </c>
      <c r="K68" t="str">
        <f>IF('Raw Orders'!J68,"Cancelled",IF('Raw Orders'!K68&gt;=2,"Slipped","On plan"))</f>
        <v>On plan</v>
      </c>
      <c r="L68" s="12">
        <f t="shared" si="0"/>
        <v>0</v>
      </c>
    </row>
    <row r="69" spans="1:12" x14ac:dyDescent="0.3">
      <c r="A69" t="str">
        <f>'Raw Orders'!A69</f>
        <v>NX-00065</v>
      </c>
      <c r="B69" t="str">
        <f>'Raw Orders'!B69</f>
        <v>North America</v>
      </c>
      <c r="C69" t="str">
        <f>'Raw Orders'!C69</f>
        <v>US / Canada</v>
      </c>
      <c r="D69" s="11">
        <f>'Raw Orders'!E69</f>
        <v>30.1</v>
      </c>
      <c r="E69" s="12">
        <f>'Raw Orders'!F69</f>
        <v>2498300</v>
      </c>
      <c r="F69" s="12">
        <f>'Raw Orders'!F69*0.75</f>
        <v>1873725</v>
      </c>
      <c r="G69" s="10">
        <f>'Raw Orders'!H69</f>
        <v>45566</v>
      </c>
      <c r="H69" s="10">
        <f>'Raw Orders'!I69</f>
        <v>45627</v>
      </c>
      <c r="I69" s="11">
        <f>'Raw Orders'!K69</f>
        <v>1.74</v>
      </c>
      <c r="J69" s="11">
        <f>IF('Raw Orders'!J69,"",(YEAR('Raw Orders'!I69)-YEAR('Raw Orders'!H69))*12+MONTH('Raw Orders'!I69)-MONTH('Raw Orders'!H69))</f>
        <v>2</v>
      </c>
      <c r="K69" t="str">
        <f>IF('Raw Orders'!J69,"Cancelled",IF('Raw Orders'!K69&gt;=2,"Slipped","On plan"))</f>
        <v>On plan</v>
      </c>
      <c r="L69" s="12">
        <f t="shared" ref="L69:L132" si="1">IF(K69="On plan",0,F69)</f>
        <v>0</v>
      </c>
    </row>
    <row r="70" spans="1:12" x14ac:dyDescent="0.3">
      <c r="A70" t="str">
        <f>'Raw Orders'!A70</f>
        <v>NX-00066</v>
      </c>
      <c r="B70" t="str">
        <f>'Raw Orders'!B70</f>
        <v>North America</v>
      </c>
      <c r="C70" t="str">
        <f>'Raw Orders'!C70</f>
        <v>US / Canada</v>
      </c>
      <c r="D70" s="11">
        <f>'Raw Orders'!E70</f>
        <v>8.6</v>
      </c>
      <c r="E70" s="12">
        <f>'Raw Orders'!F70</f>
        <v>713800</v>
      </c>
      <c r="F70" s="12">
        <f>'Raw Orders'!F70*0.75</f>
        <v>535350</v>
      </c>
      <c r="G70" s="10">
        <f>'Raw Orders'!H70</f>
        <v>45505</v>
      </c>
      <c r="H70" s="10">
        <f>'Raw Orders'!I70</f>
        <v>0</v>
      </c>
      <c r="I70" s="11">
        <f>'Raw Orders'!K70</f>
        <v>0.22</v>
      </c>
      <c r="J70" s="11" t="str">
        <f>IF('Raw Orders'!J70,"",(YEAR('Raw Orders'!I70)-YEAR('Raw Orders'!H70))*12+MONTH('Raw Orders'!I70)-MONTH('Raw Orders'!H70))</f>
        <v/>
      </c>
      <c r="K70" t="str">
        <f>IF('Raw Orders'!J70,"Cancelled",IF('Raw Orders'!K70&gt;=2,"Slipped","On plan"))</f>
        <v>Cancelled</v>
      </c>
      <c r="L70" s="12">
        <f t="shared" si="1"/>
        <v>535350</v>
      </c>
    </row>
    <row r="71" spans="1:12" x14ac:dyDescent="0.3">
      <c r="A71" t="str">
        <f>'Raw Orders'!A71</f>
        <v>NX-00067</v>
      </c>
      <c r="B71" t="str">
        <f>'Raw Orders'!B71</f>
        <v>North America</v>
      </c>
      <c r="C71" t="str">
        <f>'Raw Orders'!C71</f>
        <v>US / Canada</v>
      </c>
      <c r="D71" s="11">
        <f>'Raw Orders'!E71</f>
        <v>14.6</v>
      </c>
      <c r="E71" s="12">
        <f>'Raw Orders'!F71</f>
        <v>1211800</v>
      </c>
      <c r="F71" s="12">
        <f>'Raw Orders'!F71*0.75</f>
        <v>908850</v>
      </c>
      <c r="G71" s="10">
        <f>'Raw Orders'!H71</f>
        <v>45597</v>
      </c>
      <c r="H71" s="10">
        <f>'Raw Orders'!I71</f>
        <v>45627</v>
      </c>
      <c r="I71" s="11">
        <f>'Raw Orders'!K71</f>
        <v>0.61</v>
      </c>
      <c r="J71" s="11">
        <f>IF('Raw Orders'!J71,"",(YEAR('Raw Orders'!I71)-YEAR('Raw Orders'!H71))*12+MONTH('Raw Orders'!I71)-MONTH('Raw Orders'!H71))</f>
        <v>1</v>
      </c>
      <c r="K71" t="str">
        <f>IF('Raw Orders'!J71,"Cancelled",IF('Raw Orders'!K71&gt;=2,"Slipped","On plan"))</f>
        <v>On plan</v>
      </c>
      <c r="L71" s="12">
        <f t="shared" si="1"/>
        <v>0</v>
      </c>
    </row>
    <row r="72" spans="1:12" x14ac:dyDescent="0.3">
      <c r="A72" t="str">
        <f>'Raw Orders'!A72</f>
        <v>NX-00068</v>
      </c>
      <c r="B72" t="str">
        <f>'Raw Orders'!B72</f>
        <v>North America</v>
      </c>
      <c r="C72" t="str">
        <f>'Raw Orders'!C72</f>
        <v>US / Canada</v>
      </c>
      <c r="D72" s="11">
        <f>'Raw Orders'!E72</f>
        <v>45.4</v>
      </c>
      <c r="E72" s="12">
        <f>'Raw Orders'!F72</f>
        <v>3768200</v>
      </c>
      <c r="F72" s="12">
        <f>'Raw Orders'!F72*0.75</f>
        <v>2826150</v>
      </c>
      <c r="G72" s="10">
        <f>'Raw Orders'!H72</f>
        <v>45627</v>
      </c>
      <c r="H72" s="10">
        <f>'Raw Orders'!I72</f>
        <v>45627</v>
      </c>
      <c r="I72" s="11">
        <f>'Raw Orders'!K72</f>
        <v>0.01</v>
      </c>
      <c r="J72" s="11">
        <f>IF('Raw Orders'!J72,"",(YEAR('Raw Orders'!I72)-YEAR('Raw Orders'!H72))*12+MONTH('Raw Orders'!I72)-MONTH('Raw Orders'!H72))</f>
        <v>0</v>
      </c>
      <c r="K72" t="str">
        <f>IF('Raw Orders'!J72,"Cancelled",IF('Raw Orders'!K72&gt;=2,"Slipped","On plan"))</f>
        <v>On plan</v>
      </c>
      <c r="L72" s="12">
        <f t="shared" si="1"/>
        <v>0</v>
      </c>
    </row>
    <row r="73" spans="1:12" x14ac:dyDescent="0.3">
      <c r="A73" t="str">
        <f>'Raw Orders'!A73</f>
        <v>NX-00069</v>
      </c>
      <c r="B73" t="str">
        <f>'Raw Orders'!B73</f>
        <v>North America</v>
      </c>
      <c r="C73" t="str">
        <f>'Raw Orders'!C73</f>
        <v>US / Canada</v>
      </c>
      <c r="D73" s="11">
        <f>'Raw Orders'!E73</f>
        <v>44</v>
      </c>
      <c r="E73" s="12">
        <f>'Raw Orders'!F73</f>
        <v>3652000</v>
      </c>
      <c r="F73" s="12">
        <f>'Raw Orders'!F73*0.75</f>
        <v>2739000</v>
      </c>
      <c r="G73" s="10">
        <f>'Raw Orders'!H73</f>
        <v>45505</v>
      </c>
      <c r="H73" s="10">
        <f>'Raw Orders'!I73</f>
        <v>45505</v>
      </c>
      <c r="I73" s="11">
        <f>'Raw Orders'!K73</f>
        <v>0.13</v>
      </c>
      <c r="J73" s="11">
        <f>IF('Raw Orders'!J73,"",(YEAR('Raw Orders'!I73)-YEAR('Raw Orders'!H73))*12+MONTH('Raw Orders'!I73)-MONTH('Raw Orders'!H73))</f>
        <v>0</v>
      </c>
      <c r="K73" t="str">
        <f>IF('Raw Orders'!J73,"Cancelled",IF('Raw Orders'!K73&gt;=2,"Slipped","On plan"))</f>
        <v>On plan</v>
      </c>
      <c r="L73" s="12">
        <f t="shared" si="1"/>
        <v>0</v>
      </c>
    </row>
    <row r="74" spans="1:12" x14ac:dyDescent="0.3">
      <c r="A74" t="str">
        <f>'Raw Orders'!A74</f>
        <v>NX-00070</v>
      </c>
      <c r="B74" t="str">
        <f>'Raw Orders'!B74</f>
        <v>North America</v>
      </c>
      <c r="C74" t="str">
        <f>'Raw Orders'!C74</f>
        <v>US / Canada</v>
      </c>
      <c r="D74" s="11">
        <f>'Raw Orders'!E74</f>
        <v>6.4</v>
      </c>
      <c r="E74" s="12">
        <f>'Raw Orders'!F74</f>
        <v>531200</v>
      </c>
      <c r="F74" s="12">
        <f>'Raw Orders'!F74*0.75</f>
        <v>398400</v>
      </c>
      <c r="G74" s="10">
        <f>'Raw Orders'!H74</f>
        <v>45536</v>
      </c>
      <c r="H74" s="10">
        <f>'Raw Orders'!I74</f>
        <v>45536</v>
      </c>
      <c r="I74" s="11">
        <f>'Raw Orders'!K74</f>
        <v>0.08</v>
      </c>
      <c r="J74" s="11">
        <f>IF('Raw Orders'!J74,"",(YEAR('Raw Orders'!I74)-YEAR('Raw Orders'!H74))*12+MONTH('Raw Orders'!I74)-MONTH('Raw Orders'!H74))</f>
        <v>0</v>
      </c>
      <c r="K74" t="str">
        <f>IF('Raw Orders'!J74,"Cancelled",IF('Raw Orders'!K74&gt;=2,"Slipped","On plan"))</f>
        <v>On plan</v>
      </c>
      <c r="L74" s="12">
        <f t="shared" si="1"/>
        <v>0</v>
      </c>
    </row>
    <row r="75" spans="1:12" x14ac:dyDescent="0.3">
      <c r="A75" t="str">
        <f>'Raw Orders'!A75</f>
        <v>NX-00071</v>
      </c>
      <c r="B75" t="str">
        <f>'Raw Orders'!B75</f>
        <v>North America</v>
      </c>
      <c r="C75" t="str">
        <f>'Raw Orders'!C75</f>
        <v>US / Canada</v>
      </c>
      <c r="D75" s="11">
        <f>'Raw Orders'!E75</f>
        <v>35</v>
      </c>
      <c r="E75" s="12">
        <f>'Raw Orders'!F75</f>
        <v>2905000</v>
      </c>
      <c r="F75" s="12">
        <f>'Raw Orders'!F75*0.75</f>
        <v>2178750</v>
      </c>
      <c r="G75" s="10">
        <f>'Raw Orders'!H75</f>
        <v>45566</v>
      </c>
      <c r="H75" s="10">
        <f>'Raw Orders'!I75</f>
        <v>45597</v>
      </c>
      <c r="I75" s="11">
        <f>'Raw Orders'!K75</f>
        <v>0.78</v>
      </c>
      <c r="J75" s="11">
        <f>IF('Raw Orders'!J75,"",(YEAR('Raw Orders'!I75)-YEAR('Raw Orders'!H75))*12+MONTH('Raw Orders'!I75)-MONTH('Raw Orders'!H75))</f>
        <v>1</v>
      </c>
      <c r="K75" t="str">
        <f>IF('Raw Orders'!J75,"Cancelled",IF('Raw Orders'!K75&gt;=2,"Slipped","On plan"))</f>
        <v>On plan</v>
      </c>
      <c r="L75" s="12">
        <f t="shared" si="1"/>
        <v>0</v>
      </c>
    </row>
    <row r="76" spans="1:12" x14ac:dyDescent="0.3">
      <c r="A76" t="str">
        <f>'Raw Orders'!A76</f>
        <v>NX-00072</v>
      </c>
      <c r="B76" t="str">
        <f>'Raw Orders'!B76</f>
        <v>North America</v>
      </c>
      <c r="C76" t="str">
        <f>'Raw Orders'!C76</f>
        <v>US / Canada</v>
      </c>
      <c r="D76" s="11">
        <f>'Raw Orders'!E76</f>
        <v>31.2</v>
      </c>
      <c r="E76" s="12">
        <f>'Raw Orders'!F76</f>
        <v>2589600</v>
      </c>
      <c r="F76" s="12">
        <f>'Raw Orders'!F76*0.75</f>
        <v>1942200</v>
      </c>
      <c r="G76" s="10">
        <f>'Raw Orders'!H76</f>
        <v>45658</v>
      </c>
      <c r="H76" s="10">
        <f>'Raw Orders'!I76</f>
        <v>45658</v>
      </c>
      <c r="I76" s="11">
        <f>'Raw Orders'!K76</f>
        <v>0</v>
      </c>
      <c r="J76" s="11">
        <f>IF('Raw Orders'!J76,"",(YEAR('Raw Orders'!I76)-YEAR('Raw Orders'!H76))*12+MONTH('Raw Orders'!I76)-MONTH('Raw Orders'!H76))</f>
        <v>0</v>
      </c>
      <c r="K76" t="str">
        <f>IF('Raw Orders'!J76,"Cancelled",IF('Raw Orders'!K76&gt;=2,"Slipped","On plan"))</f>
        <v>On plan</v>
      </c>
      <c r="L76" s="12">
        <f t="shared" si="1"/>
        <v>0</v>
      </c>
    </row>
    <row r="77" spans="1:12" x14ac:dyDescent="0.3">
      <c r="A77" t="str">
        <f>'Raw Orders'!A77</f>
        <v>NX-00073</v>
      </c>
      <c r="B77" t="str">
        <f>'Raw Orders'!B77</f>
        <v>North America</v>
      </c>
      <c r="C77" t="str">
        <f>'Raw Orders'!C77</f>
        <v>US / Canada</v>
      </c>
      <c r="D77" s="11">
        <f>'Raw Orders'!E77</f>
        <v>29.9</v>
      </c>
      <c r="E77" s="12">
        <f>'Raw Orders'!F77</f>
        <v>2481700</v>
      </c>
      <c r="F77" s="12">
        <f>'Raw Orders'!F77*0.75</f>
        <v>1861275</v>
      </c>
      <c r="G77" s="10">
        <f>'Raw Orders'!H77</f>
        <v>45566</v>
      </c>
      <c r="H77" s="10">
        <f>'Raw Orders'!I77</f>
        <v>45566</v>
      </c>
      <c r="I77" s="11">
        <f>'Raw Orders'!K77</f>
        <v>0</v>
      </c>
      <c r="J77" s="11">
        <f>IF('Raw Orders'!J77,"",(YEAR('Raw Orders'!I77)-YEAR('Raw Orders'!H77))*12+MONTH('Raw Orders'!I77)-MONTH('Raw Orders'!H77))</f>
        <v>0</v>
      </c>
      <c r="K77" t="str">
        <f>IF('Raw Orders'!J77,"Cancelled",IF('Raw Orders'!K77&gt;=2,"Slipped","On plan"))</f>
        <v>On plan</v>
      </c>
      <c r="L77" s="12">
        <f t="shared" si="1"/>
        <v>0</v>
      </c>
    </row>
    <row r="78" spans="1:12" x14ac:dyDescent="0.3">
      <c r="A78" t="str">
        <f>'Raw Orders'!A78</f>
        <v>NX-00074</v>
      </c>
      <c r="B78" t="str">
        <f>'Raw Orders'!B78</f>
        <v>North America</v>
      </c>
      <c r="C78" t="str">
        <f>'Raw Orders'!C78</f>
        <v>US / Canada</v>
      </c>
      <c r="D78" s="11">
        <f>'Raw Orders'!E78</f>
        <v>21.3</v>
      </c>
      <c r="E78" s="12">
        <f>'Raw Orders'!F78</f>
        <v>1767900</v>
      </c>
      <c r="F78" s="12">
        <f>'Raw Orders'!F78*0.75</f>
        <v>1325925</v>
      </c>
      <c r="G78" s="10">
        <f>'Raw Orders'!H78</f>
        <v>45627</v>
      </c>
      <c r="H78" s="10">
        <f>'Raw Orders'!I78</f>
        <v>45717</v>
      </c>
      <c r="I78" s="11">
        <f>'Raw Orders'!K78</f>
        <v>3.32</v>
      </c>
      <c r="J78" s="11">
        <f>IF('Raw Orders'!J78,"",(YEAR('Raw Orders'!I78)-YEAR('Raw Orders'!H78))*12+MONTH('Raw Orders'!I78)-MONTH('Raw Orders'!H78))</f>
        <v>3</v>
      </c>
      <c r="K78" t="str">
        <f>IF('Raw Orders'!J78,"Cancelled",IF('Raw Orders'!K78&gt;=2,"Slipped","On plan"))</f>
        <v>Slipped</v>
      </c>
      <c r="L78" s="12">
        <f t="shared" si="1"/>
        <v>1325925</v>
      </c>
    </row>
    <row r="79" spans="1:12" x14ac:dyDescent="0.3">
      <c r="A79" t="str">
        <f>'Raw Orders'!A79</f>
        <v>NX-00075</v>
      </c>
      <c r="B79" t="str">
        <f>'Raw Orders'!B79</f>
        <v>North America</v>
      </c>
      <c r="C79" t="str">
        <f>'Raw Orders'!C79</f>
        <v>US / Canada</v>
      </c>
      <c r="D79" s="11">
        <f>'Raw Orders'!E79</f>
        <v>10.3</v>
      </c>
      <c r="E79" s="12">
        <f>'Raw Orders'!F79</f>
        <v>854900.00000000012</v>
      </c>
      <c r="F79" s="12">
        <f>'Raw Orders'!F79*0.75</f>
        <v>641175.00000000012</v>
      </c>
      <c r="G79" s="10">
        <f>'Raw Orders'!H79</f>
        <v>45505</v>
      </c>
      <c r="H79" s="10">
        <f>'Raw Orders'!I79</f>
        <v>45536</v>
      </c>
      <c r="I79" s="11">
        <f>'Raw Orders'!K79</f>
        <v>0.65</v>
      </c>
      <c r="J79" s="11">
        <f>IF('Raw Orders'!J79,"",(YEAR('Raw Orders'!I79)-YEAR('Raw Orders'!H79))*12+MONTH('Raw Orders'!I79)-MONTH('Raw Orders'!H79))</f>
        <v>1</v>
      </c>
      <c r="K79" t="str">
        <f>IF('Raw Orders'!J79,"Cancelled",IF('Raw Orders'!K79&gt;=2,"Slipped","On plan"))</f>
        <v>On plan</v>
      </c>
      <c r="L79" s="12">
        <f t="shared" si="1"/>
        <v>0</v>
      </c>
    </row>
    <row r="80" spans="1:12" x14ac:dyDescent="0.3">
      <c r="A80" t="str">
        <f>'Raw Orders'!A80</f>
        <v>NX-00076</v>
      </c>
      <c r="B80" t="str">
        <f>'Raw Orders'!B80</f>
        <v>North America</v>
      </c>
      <c r="C80" t="str">
        <f>'Raw Orders'!C80</f>
        <v>US / Canada</v>
      </c>
      <c r="D80" s="11">
        <f>'Raw Orders'!E80</f>
        <v>4.7</v>
      </c>
      <c r="E80" s="12">
        <f>'Raw Orders'!F80</f>
        <v>390100</v>
      </c>
      <c r="F80" s="12">
        <f>'Raw Orders'!F80*0.75</f>
        <v>292575</v>
      </c>
      <c r="G80" s="10">
        <f>'Raw Orders'!H80</f>
        <v>45597</v>
      </c>
      <c r="H80" s="10">
        <f>'Raw Orders'!I80</f>
        <v>45597</v>
      </c>
      <c r="I80" s="11">
        <f>'Raw Orders'!K80</f>
        <v>0.04</v>
      </c>
      <c r="J80" s="11">
        <f>IF('Raw Orders'!J80,"",(YEAR('Raw Orders'!I80)-YEAR('Raw Orders'!H80))*12+MONTH('Raw Orders'!I80)-MONTH('Raw Orders'!H80))</f>
        <v>0</v>
      </c>
      <c r="K80" t="str">
        <f>IF('Raw Orders'!J80,"Cancelled",IF('Raw Orders'!K80&gt;=2,"Slipped","On plan"))</f>
        <v>On plan</v>
      </c>
      <c r="L80" s="12">
        <f t="shared" si="1"/>
        <v>0</v>
      </c>
    </row>
    <row r="81" spans="1:12" x14ac:dyDescent="0.3">
      <c r="A81" t="str">
        <f>'Raw Orders'!A81</f>
        <v>NX-00077</v>
      </c>
      <c r="B81" t="str">
        <f>'Raw Orders'!B81</f>
        <v>North America</v>
      </c>
      <c r="C81" t="str">
        <f>'Raw Orders'!C81</f>
        <v>US / Canada</v>
      </c>
      <c r="D81" s="11">
        <f>'Raw Orders'!E81</f>
        <v>16.2</v>
      </c>
      <c r="E81" s="12">
        <f>'Raw Orders'!F81</f>
        <v>1344600</v>
      </c>
      <c r="F81" s="12">
        <f>'Raw Orders'!F81*0.75</f>
        <v>1008450</v>
      </c>
      <c r="G81" s="10">
        <f>'Raw Orders'!H81</f>
        <v>45689</v>
      </c>
      <c r="H81" s="10">
        <f>'Raw Orders'!I81</f>
        <v>45689</v>
      </c>
      <c r="I81" s="11">
        <f>'Raw Orders'!K81</f>
        <v>0.19</v>
      </c>
      <c r="J81" s="11">
        <f>IF('Raw Orders'!J81,"",(YEAR('Raw Orders'!I81)-YEAR('Raw Orders'!H81))*12+MONTH('Raw Orders'!I81)-MONTH('Raw Orders'!H81))</f>
        <v>0</v>
      </c>
      <c r="K81" t="str">
        <f>IF('Raw Orders'!J81,"Cancelled",IF('Raw Orders'!K81&gt;=2,"Slipped","On plan"))</f>
        <v>On plan</v>
      </c>
      <c r="L81" s="12">
        <f t="shared" si="1"/>
        <v>0</v>
      </c>
    </row>
    <row r="82" spans="1:12" x14ac:dyDescent="0.3">
      <c r="A82" t="str">
        <f>'Raw Orders'!A82</f>
        <v>NX-00078</v>
      </c>
      <c r="B82" t="str">
        <f>'Raw Orders'!B82</f>
        <v>North America</v>
      </c>
      <c r="C82" t="str">
        <f>'Raw Orders'!C82</f>
        <v>US / Canada</v>
      </c>
      <c r="D82" s="11">
        <f>'Raw Orders'!E82</f>
        <v>5.9</v>
      </c>
      <c r="E82" s="12">
        <f>'Raw Orders'!F82</f>
        <v>489700.00000000012</v>
      </c>
      <c r="F82" s="12">
        <f>'Raw Orders'!F82*0.75</f>
        <v>367275.00000000012</v>
      </c>
      <c r="G82" s="10">
        <f>'Raw Orders'!H82</f>
        <v>45566</v>
      </c>
      <c r="H82" s="10">
        <f>'Raw Orders'!I82</f>
        <v>45566</v>
      </c>
      <c r="I82" s="11">
        <f>'Raw Orders'!K82</f>
        <v>0.06</v>
      </c>
      <c r="J82" s="11">
        <f>IF('Raw Orders'!J82,"",(YEAR('Raw Orders'!I82)-YEAR('Raw Orders'!H82))*12+MONTH('Raw Orders'!I82)-MONTH('Raw Orders'!H82))</f>
        <v>0</v>
      </c>
      <c r="K82" t="str">
        <f>IF('Raw Orders'!J82,"Cancelled",IF('Raw Orders'!K82&gt;=2,"Slipped","On plan"))</f>
        <v>On plan</v>
      </c>
      <c r="L82" s="12">
        <f t="shared" si="1"/>
        <v>0</v>
      </c>
    </row>
    <row r="83" spans="1:12" x14ac:dyDescent="0.3">
      <c r="A83" t="str">
        <f>'Raw Orders'!A83</f>
        <v>NX-00079</v>
      </c>
      <c r="B83" t="str">
        <f>'Raw Orders'!B83</f>
        <v>North America</v>
      </c>
      <c r="C83" t="str">
        <f>'Raw Orders'!C83</f>
        <v>US / Canada</v>
      </c>
      <c r="D83" s="11">
        <f>'Raw Orders'!E83</f>
        <v>10.6</v>
      </c>
      <c r="E83" s="12">
        <f>'Raw Orders'!F83</f>
        <v>879800</v>
      </c>
      <c r="F83" s="12">
        <f>'Raw Orders'!F83*0.75</f>
        <v>659850</v>
      </c>
      <c r="G83" s="10">
        <f>'Raw Orders'!H83</f>
        <v>45689</v>
      </c>
      <c r="H83" s="10">
        <f>'Raw Orders'!I83</f>
        <v>45689</v>
      </c>
      <c r="I83" s="11">
        <f>'Raw Orders'!K83</f>
        <v>0.02</v>
      </c>
      <c r="J83" s="11">
        <f>IF('Raw Orders'!J83,"",(YEAR('Raw Orders'!I83)-YEAR('Raw Orders'!H83))*12+MONTH('Raw Orders'!I83)-MONTH('Raw Orders'!H83))</f>
        <v>0</v>
      </c>
      <c r="K83" t="str">
        <f>IF('Raw Orders'!J83,"Cancelled",IF('Raw Orders'!K83&gt;=2,"Slipped","On plan"))</f>
        <v>On plan</v>
      </c>
      <c r="L83" s="12">
        <f t="shared" si="1"/>
        <v>0</v>
      </c>
    </row>
    <row r="84" spans="1:12" x14ac:dyDescent="0.3">
      <c r="A84" t="str">
        <f>'Raw Orders'!A84</f>
        <v>NX-00080</v>
      </c>
      <c r="B84" t="str">
        <f>'Raw Orders'!B84</f>
        <v>North America</v>
      </c>
      <c r="C84" t="str">
        <f>'Raw Orders'!C84</f>
        <v>US / Canada</v>
      </c>
      <c r="D84" s="11">
        <f>'Raw Orders'!E84</f>
        <v>16.5</v>
      </c>
      <c r="E84" s="12">
        <f>'Raw Orders'!F84</f>
        <v>1369500</v>
      </c>
      <c r="F84" s="12">
        <f>'Raw Orders'!F84*0.75</f>
        <v>1027125</v>
      </c>
      <c r="G84" s="10">
        <f>'Raw Orders'!H84</f>
        <v>45505</v>
      </c>
      <c r="H84" s="10">
        <f>'Raw Orders'!I84</f>
        <v>45505</v>
      </c>
      <c r="I84" s="11">
        <f>'Raw Orders'!K84</f>
        <v>0.11</v>
      </c>
      <c r="J84" s="11">
        <f>IF('Raw Orders'!J84,"",(YEAR('Raw Orders'!I84)-YEAR('Raw Orders'!H84))*12+MONTH('Raw Orders'!I84)-MONTH('Raw Orders'!H84))</f>
        <v>0</v>
      </c>
      <c r="K84" t="str">
        <f>IF('Raw Orders'!J84,"Cancelled",IF('Raw Orders'!K84&gt;=2,"Slipped","On plan"))</f>
        <v>On plan</v>
      </c>
      <c r="L84" s="12">
        <f t="shared" si="1"/>
        <v>0</v>
      </c>
    </row>
    <row r="85" spans="1:12" x14ac:dyDescent="0.3">
      <c r="A85" t="str">
        <f>'Raw Orders'!A85</f>
        <v>NX-00081</v>
      </c>
      <c r="B85" t="str">
        <f>'Raw Orders'!B85</f>
        <v>North America</v>
      </c>
      <c r="C85" t="str">
        <f>'Raw Orders'!C85</f>
        <v>US / Canada</v>
      </c>
      <c r="D85" s="11">
        <f>'Raw Orders'!E85</f>
        <v>38.9</v>
      </c>
      <c r="E85" s="12">
        <f>'Raw Orders'!F85</f>
        <v>3228700</v>
      </c>
      <c r="F85" s="12">
        <f>'Raw Orders'!F85*0.75</f>
        <v>2421525</v>
      </c>
      <c r="G85" s="10">
        <f>'Raw Orders'!H85</f>
        <v>45689</v>
      </c>
      <c r="H85" s="10">
        <f>'Raw Orders'!I85</f>
        <v>45689</v>
      </c>
      <c r="I85" s="11">
        <f>'Raw Orders'!K85</f>
        <v>0</v>
      </c>
      <c r="J85" s="11">
        <f>IF('Raw Orders'!J85,"",(YEAR('Raw Orders'!I85)-YEAR('Raw Orders'!H85))*12+MONTH('Raw Orders'!I85)-MONTH('Raw Orders'!H85))</f>
        <v>0</v>
      </c>
      <c r="K85" t="str">
        <f>IF('Raw Orders'!J85,"Cancelled",IF('Raw Orders'!K85&gt;=2,"Slipped","On plan"))</f>
        <v>On plan</v>
      </c>
      <c r="L85" s="12">
        <f t="shared" si="1"/>
        <v>0</v>
      </c>
    </row>
    <row r="86" spans="1:12" x14ac:dyDescent="0.3">
      <c r="A86" t="str">
        <f>'Raw Orders'!A86</f>
        <v>NX-00082</v>
      </c>
      <c r="B86" t="str">
        <f>'Raw Orders'!B86</f>
        <v>North America</v>
      </c>
      <c r="C86" t="str">
        <f>'Raw Orders'!C86</f>
        <v>US / Canada</v>
      </c>
      <c r="D86" s="11">
        <f>'Raw Orders'!E86</f>
        <v>32.5</v>
      </c>
      <c r="E86" s="12">
        <f>'Raw Orders'!F86</f>
        <v>2697500</v>
      </c>
      <c r="F86" s="12">
        <f>'Raw Orders'!F86*0.75</f>
        <v>2023125</v>
      </c>
      <c r="G86" s="10">
        <f>'Raw Orders'!H86</f>
        <v>45566</v>
      </c>
      <c r="H86" s="10">
        <f>'Raw Orders'!I86</f>
        <v>45566</v>
      </c>
      <c r="I86" s="11">
        <f>'Raw Orders'!K86</f>
        <v>0.01</v>
      </c>
      <c r="J86" s="11">
        <f>IF('Raw Orders'!J86,"",(YEAR('Raw Orders'!I86)-YEAR('Raw Orders'!H86))*12+MONTH('Raw Orders'!I86)-MONTH('Raw Orders'!H86))</f>
        <v>0</v>
      </c>
      <c r="K86" t="str">
        <f>IF('Raw Orders'!J86,"Cancelled",IF('Raw Orders'!K86&gt;=2,"Slipped","On plan"))</f>
        <v>On plan</v>
      </c>
      <c r="L86" s="12">
        <f t="shared" si="1"/>
        <v>0</v>
      </c>
    </row>
    <row r="87" spans="1:12" x14ac:dyDescent="0.3">
      <c r="A87" t="str">
        <f>'Raw Orders'!A87</f>
        <v>NX-00083</v>
      </c>
      <c r="B87" t="str">
        <f>'Raw Orders'!B87</f>
        <v>North America</v>
      </c>
      <c r="C87" t="str">
        <f>'Raw Orders'!C87</f>
        <v>US / Canada</v>
      </c>
      <c r="D87" s="11">
        <f>'Raw Orders'!E87</f>
        <v>11.4</v>
      </c>
      <c r="E87" s="12">
        <f>'Raw Orders'!F87</f>
        <v>946200</v>
      </c>
      <c r="F87" s="12">
        <f>'Raw Orders'!F87*0.75</f>
        <v>709650</v>
      </c>
      <c r="G87" s="10">
        <f>'Raw Orders'!H87</f>
        <v>45597</v>
      </c>
      <c r="H87" s="10">
        <f>'Raw Orders'!I87</f>
        <v>45962</v>
      </c>
      <c r="I87" s="11">
        <f>'Raw Orders'!K87</f>
        <v>11.85</v>
      </c>
      <c r="J87" s="11">
        <f>IF('Raw Orders'!J87,"",(YEAR('Raw Orders'!I87)-YEAR('Raw Orders'!H87))*12+MONTH('Raw Orders'!I87)-MONTH('Raw Orders'!H87))</f>
        <v>12</v>
      </c>
      <c r="K87" t="str">
        <f>IF('Raw Orders'!J87,"Cancelled",IF('Raw Orders'!K87&gt;=2,"Slipped","On plan"))</f>
        <v>Slipped</v>
      </c>
      <c r="L87" s="12">
        <f t="shared" si="1"/>
        <v>709650</v>
      </c>
    </row>
    <row r="88" spans="1:12" x14ac:dyDescent="0.3">
      <c r="A88" t="str">
        <f>'Raw Orders'!A88</f>
        <v>NX-00084</v>
      </c>
      <c r="B88" t="str">
        <f>'Raw Orders'!B88</f>
        <v>North America</v>
      </c>
      <c r="C88" t="str">
        <f>'Raw Orders'!C88</f>
        <v>US / Canada</v>
      </c>
      <c r="D88" s="11">
        <f>'Raw Orders'!E88</f>
        <v>13.8</v>
      </c>
      <c r="E88" s="12">
        <f>'Raw Orders'!F88</f>
        <v>1145400</v>
      </c>
      <c r="F88" s="12">
        <f>'Raw Orders'!F88*0.75</f>
        <v>859050</v>
      </c>
      <c r="G88" s="10">
        <f>'Raw Orders'!H88</f>
        <v>45689</v>
      </c>
      <c r="H88" s="10">
        <f>'Raw Orders'!I88</f>
        <v>45689</v>
      </c>
      <c r="I88" s="11">
        <f>'Raw Orders'!K88</f>
        <v>0.34</v>
      </c>
      <c r="J88" s="11">
        <f>IF('Raw Orders'!J88,"",(YEAR('Raw Orders'!I88)-YEAR('Raw Orders'!H88))*12+MONTH('Raw Orders'!I88)-MONTH('Raw Orders'!H88))</f>
        <v>0</v>
      </c>
      <c r="K88" t="str">
        <f>IF('Raw Orders'!J88,"Cancelled",IF('Raw Orders'!K88&gt;=2,"Slipped","On plan"))</f>
        <v>On plan</v>
      </c>
      <c r="L88" s="12">
        <f t="shared" si="1"/>
        <v>0</v>
      </c>
    </row>
    <row r="89" spans="1:12" x14ac:dyDescent="0.3">
      <c r="A89" t="str">
        <f>'Raw Orders'!A89</f>
        <v>NX-00085</v>
      </c>
      <c r="B89" t="str">
        <f>'Raw Orders'!B89</f>
        <v>North America</v>
      </c>
      <c r="C89" t="str">
        <f>'Raw Orders'!C89</f>
        <v>US / Canada</v>
      </c>
      <c r="D89" s="11">
        <f>'Raw Orders'!E89</f>
        <v>49.2</v>
      </c>
      <c r="E89" s="12">
        <f>'Raw Orders'!F89</f>
        <v>4083600.0000000009</v>
      </c>
      <c r="F89" s="12">
        <f>'Raw Orders'!F89*0.75</f>
        <v>3062700.0000000009</v>
      </c>
      <c r="G89" s="10">
        <f>'Raw Orders'!H89</f>
        <v>45689</v>
      </c>
      <c r="H89" s="10">
        <f>'Raw Orders'!I89</f>
        <v>45748</v>
      </c>
      <c r="I89" s="11">
        <f>'Raw Orders'!K89</f>
        <v>1.57</v>
      </c>
      <c r="J89" s="11">
        <f>IF('Raw Orders'!J89,"",(YEAR('Raw Orders'!I89)-YEAR('Raw Orders'!H89))*12+MONTH('Raw Orders'!I89)-MONTH('Raw Orders'!H89))</f>
        <v>2</v>
      </c>
      <c r="K89" t="str">
        <f>IF('Raw Orders'!J89,"Cancelled",IF('Raw Orders'!K89&gt;=2,"Slipped","On plan"))</f>
        <v>On plan</v>
      </c>
      <c r="L89" s="12">
        <f t="shared" si="1"/>
        <v>0</v>
      </c>
    </row>
    <row r="90" spans="1:12" x14ac:dyDescent="0.3">
      <c r="A90" t="str">
        <f>'Raw Orders'!A90</f>
        <v>NX-00086</v>
      </c>
      <c r="B90" t="str">
        <f>'Raw Orders'!B90</f>
        <v>North America</v>
      </c>
      <c r="C90" t="str">
        <f>'Raw Orders'!C90</f>
        <v>US / Canada</v>
      </c>
      <c r="D90" s="11">
        <f>'Raw Orders'!E90</f>
        <v>16</v>
      </c>
      <c r="E90" s="12">
        <f>'Raw Orders'!F90</f>
        <v>1328000</v>
      </c>
      <c r="F90" s="12">
        <f>'Raw Orders'!F90*0.75</f>
        <v>996000</v>
      </c>
      <c r="G90" s="10">
        <f>'Raw Orders'!H90</f>
        <v>45536</v>
      </c>
      <c r="H90" s="10">
        <f>'Raw Orders'!I90</f>
        <v>45536</v>
      </c>
      <c r="I90" s="11">
        <f>'Raw Orders'!K90</f>
        <v>0.48</v>
      </c>
      <c r="J90" s="11">
        <f>IF('Raw Orders'!J90,"",(YEAR('Raw Orders'!I90)-YEAR('Raw Orders'!H90))*12+MONTH('Raw Orders'!I90)-MONTH('Raw Orders'!H90))</f>
        <v>0</v>
      </c>
      <c r="K90" t="str">
        <f>IF('Raw Orders'!J90,"Cancelled",IF('Raw Orders'!K90&gt;=2,"Slipped","On plan"))</f>
        <v>On plan</v>
      </c>
      <c r="L90" s="12">
        <f t="shared" si="1"/>
        <v>0</v>
      </c>
    </row>
    <row r="91" spans="1:12" x14ac:dyDescent="0.3">
      <c r="A91" t="str">
        <f>'Raw Orders'!A91</f>
        <v>NX-00087</v>
      </c>
      <c r="B91" t="str">
        <f>'Raw Orders'!B91</f>
        <v>North America</v>
      </c>
      <c r="C91" t="str">
        <f>'Raw Orders'!C91</f>
        <v>US / Canada</v>
      </c>
      <c r="D91" s="11">
        <f>'Raw Orders'!E91</f>
        <v>5.6</v>
      </c>
      <c r="E91" s="12">
        <f>'Raw Orders'!F91</f>
        <v>464800</v>
      </c>
      <c r="F91" s="12">
        <f>'Raw Orders'!F91*0.75</f>
        <v>348600</v>
      </c>
      <c r="G91" s="10">
        <f>'Raw Orders'!H91</f>
        <v>45689</v>
      </c>
      <c r="H91" s="10">
        <f>'Raw Orders'!I91</f>
        <v>45689</v>
      </c>
      <c r="I91" s="11">
        <f>'Raw Orders'!K91</f>
        <v>0.04</v>
      </c>
      <c r="J91" s="11">
        <f>IF('Raw Orders'!J91,"",(YEAR('Raw Orders'!I91)-YEAR('Raw Orders'!H91))*12+MONTH('Raw Orders'!I91)-MONTH('Raw Orders'!H91))</f>
        <v>0</v>
      </c>
      <c r="K91" t="str">
        <f>IF('Raw Orders'!J91,"Cancelled",IF('Raw Orders'!K91&gt;=2,"Slipped","On plan"))</f>
        <v>On plan</v>
      </c>
      <c r="L91" s="12">
        <f t="shared" si="1"/>
        <v>0</v>
      </c>
    </row>
    <row r="92" spans="1:12" x14ac:dyDescent="0.3">
      <c r="A92" t="str">
        <f>'Raw Orders'!A92</f>
        <v>NX-00088</v>
      </c>
      <c r="B92" t="str">
        <f>'Raw Orders'!B92</f>
        <v>North America</v>
      </c>
      <c r="C92" t="str">
        <f>'Raw Orders'!C92</f>
        <v>US / Canada</v>
      </c>
      <c r="D92" s="11">
        <f>'Raw Orders'!E92</f>
        <v>6.6</v>
      </c>
      <c r="E92" s="12">
        <f>'Raw Orders'!F92</f>
        <v>547800</v>
      </c>
      <c r="F92" s="12">
        <f>'Raw Orders'!F92*0.75</f>
        <v>410850</v>
      </c>
      <c r="G92" s="10">
        <f>'Raw Orders'!H92</f>
        <v>45689</v>
      </c>
      <c r="H92" s="10">
        <f>'Raw Orders'!I92</f>
        <v>45689</v>
      </c>
      <c r="I92" s="11">
        <f>'Raw Orders'!K92</f>
        <v>0.28000000000000003</v>
      </c>
      <c r="J92" s="11">
        <f>IF('Raw Orders'!J92,"",(YEAR('Raw Orders'!I92)-YEAR('Raw Orders'!H92))*12+MONTH('Raw Orders'!I92)-MONTH('Raw Orders'!H92))</f>
        <v>0</v>
      </c>
      <c r="K92" t="str">
        <f>IF('Raw Orders'!J92,"Cancelled",IF('Raw Orders'!K92&gt;=2,"Slipped","On plan"))</f>
        <v>On plan</v>
      </c>
      <c r="L92" s="12">
        <f t="shared" si="1"/>
        <v>0</v>
      </c>
    </row>
    <row r="93" spans="1:12" x14ac:dyDescent="0.3">
      <c r="A93" t="str">
        <f>'Raw Orders'!A93</f>
        <v>NX-00089</v>
      </c>
      <c r="B93" t="str">
        <f>'Raw Orders'!B93</f>
        <v>EMEA</v>
      </c>
      <c r="C93" t="str">
        <f>'Raw Orders'!C93</f>
        <v>Europe</v>
      </c>
      <c r="D93" s="11">
        <f>'Raw Orders'!E93</f>
        <v>23.1</v>
      </c>
      <c r="E93" s="12">
        <f>'Raw Orders'!F93</f>
        <v>2032800</v>
      </c>
      <c r="F93" s="12">
        <f>'Raw Orders'!F93*0.75</f>
        <v>1524600</v>
      </c>
      <c r="G93" s="10">
        <f>'Raw Orders'!H93</f>
        <v>45689</v>
      </c>
      <c r="H93" s="10">
        <f>'Raw Orders'!I93</f>
        <v>45689</v>
      </c>
      <c r="I93" s="11">
        <f>'Raw Orders'!K93</f>
        <v>0.36</v>
      </c>
      <c r="J93" s="11">
        <f>IF('Raw Orders'!J93,"",(YEAR('Raw Orders'!I93)-YEAR('Raw Orders'!H93))*12+MONTH('Raw Orders'!I93)-MONTH('Raw Orders'!H93))</f>
        <v>0</v>
      </c>
      <c r="K93" t="str">
        <f>IF('Raw Orders'!J93,"Cancelled",IF('Raw Orders'!K93&gt;=2,"Slipped","On plan"))</f>
        <v>On plan</v>
      </c>
      <c r="L93" s="12">
        <f t="shared" si="1"/>
        <v>0</v>
      </c>
    </row>
    <row r="94" spans="1:12" x14ac:dyDescent="0.3">
      <c r="A94" t="str">
        <f>'Raw Orders'!A94</f>
        <v>NX-00090</v>
      </c>
      <c r="B94" t="str">
        <f>'Raw Orders'!B94</f>
        <v>EMEA</v>
      </c>
      <c r="C94" t="str">
        <f>'Raw Orders'!C94</f>
        <v>Europe</v>
      </c>
      <c r="D94" s="11">
        <f>'Raw Orders'!E94</f>
        <v>7.7</v>
      </c>
      <c r="E94" s="12">
        <f>'Raw Orders'!F94</f>
        <v>677600</v>
      </c>
      <c r="F94" s="12">
        <f>'Raw Orders'!F94*0.75</f>
        <v>508200</v>
      </c>
      <c r="G94" s="10">
        <f>'Raw Orders'!H94</f>
        <v>45627</v>
      </c>
      <c r="H94" s="10">
        <f>'Raw Orders'!I94</f>
        <v>45627</v>
      </c>
      <c r="I94" s="11">
        <f>'Raw Orders'!K94</f>
        <v>0.05</v>
      </c>
      <c r="J94" s="11">
        <f>IF('Raw Orders'!J94,"",(YEAR('Raw Orders'!I94)-YEAR('Raw Orders'!H94))*12+MONTH('Raw Orders'!I94)-MONTH('Raw Orders'!H94))</f>
        <v>0</v>
      </c>
      <c r="K94" t="str">
        <f>IF('Raw Orders'!J94,"Cancelled",IF('Raw Orders'!K94&gt;=2,"Slipped","On plan"))</f>
        <v>On plan</v>
      </c>
      <c r="L94" s="12">
        <f t="shared" si="1"/>
        <v>0</v>
      </c>
    </row>
    <row r="95" spans="1:12" x14ac:dyDescent="0.3">
      <c r="A95" t="str">
        <f>'Raw Orders'!A95</f>
        <v>NX-00091</v>
      </c>
      <c r="B95" t="str">
        <f>'Raw Orders'!B95</f>
        <v>EMEA</v>
      </c>
      <c r="C95" t="str">
        <f>'Raw Orders'!C95</f>
        <v>Europe</v>
      </c>
      <c r="D95" s="11">
        <f>'Raw Orders'!E95</f>
        <v>66.3</v>
      </c>
      <c r="E95" s="12">
        <f>'Raw Orders'!F95</f>
        <v>5834400</v>
      </c>
      <c r="F95" s="12">
        <f>'Raw Orders'!F95*0.75</f>
        <v>4375800</v>
      </c>
      <c r="G95" s="10">
        <f>'Raw Orders'!H95</f>
        <v>45597</v>
      </c>
      <c r="H95" s="10">
        <f>'Raw Orders'!I95</f>
        <v>45627</v>
      </c>
      <c r="I95" s="11">
        <f>'Raw Orders'!K95</f>
        <v>0.87</v>
      </c>
      <c r="J95" s="11">
        <f>IF('Raw Orders'!J95,"",(YEAR('Raw Orders'!I95)-YEAR('Raw Orders'!H95))*12+MONTH('Raw Orders'!I95)-MONTH('Raw Orders'!H95))</f>
        <v>1</v>
      </c>
      <c r="K95" t="str">
        <f>IF('Raw Orders'!J95,"Cancelled",IF('Raw Orders'!K95&gt;=2,"Slipped","On plan"))</f>
        <v>On plan</v>
      </c>
      <c r="L95" s="12">
        <f t="shared" si="1"/>
        <v>0</v>
      </c>
    </row>
    <row r="96" spans="1:12" x14ac:dyDescent="0.3">
      <c r="A96" t="str">
        <f>'Raw Orders'!A96</f>
        <v>NX-00092</v>
      </c>
      <c r="B96" t="str">
        <f>'Raw Orders'!B96</f>
        <v>EMEA</v>
      </c>
      <c r="C96" t="str">
        <f>'Raw Orders'!C96</f>
        <v>Europe</v>
      </c>
      <c r="D96" s="11">
        <f>'Raw Orders'!E96</f>
        <v>28</v>
      </c>
      <c r="E96" s="12">
        <f>'Raw Orders'!F96</f>
        <v>2464000</v>
      </c>
      <c r="F96" s="12">
        <f>'Raw Orders'!F96*0.75</f>
        <v>1848000</v>
      </c>
      <c r="G96" s="10">
        <f>'Raw Orders'!H96</f>
        <v>45566</v>
      </c>
      <c r="H96" s="10">
        <f>'Raw Orders'!I96</f>
        <v>45566</v>
      </c>
      <c r="I96" s="11">
        <f>'Raw Orders'!K96</f>
        <v>0.04</v>
      </c>
      <c r="J96" s="11">
        <f>IF('Raw Orders'!J96,"",(YEAR('Raw Orders'!I96)-YEAR('Raw Orders'!H96))*12+MONTH('Raw Orders'!I96)-MONTH('Raw Orders'!H96))</f>
        <v>0</v>
      </c>
      <c r="K96" t="str">
        <f>IF('Raw Orders'!J96,"Cancelled",IF('Raw Orders'!K96&gt;=2,"Slipped","On plan"))</f>
        <v>On plan</v>
      </c>
      <c r="L96" s="12">
        <f t="shared" si="1"/>
        <v>0</v>
      </c>
    </row>
    <row r="97" spans="1:12" x14ac:dyDescent="0.3">
      <c r="A97" t="str">
        <f>'Raw Orders'!A97</f>
        <v>NX-00093</v>
      </c>
      <c r="B97" t="str">
        <f>'Raw Orders'!B97</f>
        <v>EMEA</v>
      </c>
      <c r="C97" t="str">
        <f>'Raw Orders'!C97</f>
        <v>Europe</v>
      </c>
      <c r="D97" s="11">
        <f>'Raw Orders'!E97</f>
        <v>5.8</v>
      </c>
      <c r="E97" s="12">
        <f>'Raw Orders'!F97</f>
        <v>510400</v>
      </c>
      <c r="F97" s="12">
        <f>'Raw Orders'!F97*0.75</f>
        <v>382800</v>
      </c>
      <c r="G97" s="10">
        <f>'Raw Orders'!H97</f>
        <v>45566</v>
      </c>
      <c r="H97" s="10">
        <f>'Raw Orders'!I97</f>
        <v>45658</v>
      </c>
      <c r="I97" s="11">
        <f>'Raw Orders'!K97</f>
        <v>3.17</v>
      </c>
      <c r="J97" s="11">
        <f>IF('Raw Orders'!J97,"",(YEAR('Raw Orders'!I97)-YEAR('Raw Orders'!H97))*12+MONTH('Raw Orders'!I97)-MONTH('Raw Orders'!H97))</f>
        <v>3</v>
      </c>
      <c r="K97" t="str">
        <f>IF('Raw Orders'!J97,"Cancelled",IF('Raw Orders'!K97&gt;=2,"Slipped","On plan"))</f>
        <v>Slipped</v>
      </c>
      <c r="L97" s="12">
        <f t="shared" si="1"/>
        <v>382800</v>
      </c>
    </row>
    <row r="98" spans="1:12" x14ac:dyDescent="0.3">
      <c r="A98" t="str">
        <f>'Raw Orders'!A98</f>
        <v>NX-00094</v>
      </c>
      <c r="B98" t="str">
        <f>'Raw Orders'!B98</f>
        <v>EMEA</v>
      </c>
      <c r="C98" t="str">
        <f>'Raw Orders'!C98</f>
        <v>Europe</v>
      </c>
      <c r="D98" s="11">
        <f>'Raw Orders'!E98</f>
        <v>13.1</v>
      </c>
      <c r="E98" s="12">
        <f>'Raw Orders'!F98</f>
        <v>1152800</v>
      </c>
      <c r="F98" s="12">
        <f>'Raw Orders'!F98*0.75</f>
        <v>864600</v>
      </c>
      <c r="G98" s="10">
        <f>'Raw Orders'!H98</f>
        <v>45566</v>
      </c>
      <c r="H98" s="10">
        <f>'Raw Orders'!I98</f>
        <v>45597</v>
      </c>
      <c r="I98" s="11">
        <f>'Raw Orders'!K98</f>
        <v>0.73</v>
      </c>
      <c r="J98" s="11">
        <f>IF('Raw Orders'!J98,"",(YEAR('Raw Orders'!I98)-YEAR('Raw Orders'!H98))*12+MONTH('Raw Orders'!I98)-MONTH('Raw Orders'!H98))</f>
        <v>1</v>
      </c>
      <c r="K98" t="str">
        <f>IF('Raw Orders'!J98,"Cancelled",IF('Raw Orders'!K98&gt;=2,"Slipped","On plan"))</f>
        <v>On plan</v>
      </c>
      <c r="L98" s="12">
        <f t="shared" si="1"/>
        <v>0</v>
      </c>
    </row>
    <row r="99" spans="1:12" x14ac:dyDescent="0.3">
      <c r="A99" t="str">
        <f>'Raw Orders'!A99</f>
        <v>NX-00095</v>
      </c>
      <c r="B99" t="str">
        <f>'Raw Orders'!B99</f>
        <v>EMEA</v>
      </c>
      <c r="C99" t="str">
        <f>'Raw Orders'!C99</f>
        <v>MENA</v>
      </c>
      <c r="D99" s="11">
        <f>'Raw Orders'!E99</f>
        <v>36</v>
      </c>
      <c r="E99" s="12">
        <f>'Raw Orders'!F99</f>
        <v>2916000</v>
      </c>
      <c r="F99" s="12">
        <f>'Raw Orders'!F99*0.75</f>
        <v>2187000</v>
      </c>
      <c r="G99" s="10">
        <f>'Raw Orders'!H99</f>
        <v>45627</v>
      </c>
      <c r="H99" s="10">
        <f>'Raw Orders'!I99</f>
        <v>0</v>
      </c>
      <c r="I99" s="11">
        <f>'Raw Orders'!K99</f>
        <v>14.32</v>
      </c>
      <c r="J99" s="11" t="str">
        <f>IF('Raw Orders'!J99,"",(YEAR('Raw Orders'!I99)-YEAR('Raw Orders'!H99))*12+MONTH('Raw Orders'!I99)-MONTH('Raw Orders'!H99))</f>
        <v/>
      </c>
      <c r="K99" t="str">
        <f>IF('Raw Orders'!J99,"Cancelled",IF('Raw Orders'!K99&gt;=2,"Slipped","On plan"))</f>
        <v>Cancelled</v>
      </c>
      <c r="L99" s="12">
        <f t="shared" si="1"/>
        <v>2187000</v>
      </c>
    </row>
    <row r="100" spans="1:12" x14ac:dyDescent="0.3">
      <c r="A100" t="str">
        <f>'Raw Orders'!A100</f>
        <v>NX-00096</v>
      </c>
      <c r="B100" t="str">
        <f>'Raw Orders'!B100</f>
        <v>EMEA</v>
      </c>
      <c r="C100" t="str">
        <f>'Raw Orders'!C100</f>
        <v>MENA</v>
      </c>
      <c r="D100" s="11">
        <f>'Raw Orders'!E100</f>
        <v>8.8000000000000007</v>
      </c>
      <c r="E100" s="12">
        <f>'Raw Orders'!F100</f>
        <v>712800</v>
      </c>
      <c r="F100" s="12">
        <f>'Raw Orders'!F100*0.75</f>
        <v>534600</v>
      </c>
      <c r="G100" s="10">
        <f>'Raw Orders'!H100</f>
        <v>45689</v>
      </c>
      <c r="H100" s="10">
        <f>'Raw Orders'!I100</f>
        <v>46023</v>
      </c>
      <c r="I100" s="11">
        <f>'Raw Orders'!K100</f>
        <v>11.3</v>
      </c>
      <c r="J100" s="11">
        <f>IF('Raw Orders'!J100,"",(YEAR('Raw Orders'!I100)-YEAR('Raw Orders'!H100))*12+MONTH('Raw Orders'!I100)-MONTH('Raw Orders'!H100))</f>
        <v>11</v>
      </c>
      <c r="K100" t="str">
        <f>IF('Raw Orders'!J100,"Cancelled",IF('Raw Orders'!K100&gt;=2,"Slipped","On plan"))</f>
        <v>Slipped</v>
      </c>
      <c r="L100" s="12">
        <f t="shared" si="1"/>
        <v>534600</v>
      </c>
    </row>
    <row r="101" spans="1:12" x14ac:dyDescent="0.3">
      <c r="A101" t="str">
        <f>'Raw Orders'!A101</f>
        <v>NX-00097</v>
      </c>
      <c r="B101" t="str">
        <f>'Raw Orders'!B101</f>
        <v>EMEA</v>
      </c>
      <c r="C101" t="str">
        <f>'Raw Orders'!C101</f>
        <v>MENA</v>
      </c>
      <c r="D101" s="11">
        <f>'Raw Orders'!E101</f>
        <v>22.9</v>
      </c>
      <c r="E101" s="12">
        <f>'Raw Orders'!F101</f>
        <v>1854900</v>
      </c>
      <c r="F101" s="12">
        <f>'Raw Orders'!F101*0.75</f>
        <v>1391175</v>
      </c>
      <c r="G101" s="10">
        <f>'Raw Orders'!H101</f>
        <v>45566</v>
      </c>
      <c r="H101" s="10">
        <f>'Raw Orders'!I101</f>
        <v>45809</v>
      </c>
      <c r="I101" s="11">
        <f>'Raw Orders'!K101</f>
        <v>8.2799999999999994</v>
      </c>
      <c r="J101" s="11">
        <f>IF('Raw Orders'!J101,"",(YEAR('Raw Orders'!I101)-YEAR('Raw Orders'!H101))*12+MONTH('Raw Orders'!I101)-MONTH('Raw Orders'!H101))</f>
        <v>8</v>
      </c>
      <c r="K101" t="str">
        <f>IF('Raw Orders'!J101,"Cancelled",IF('Raw Orders'!K101&gt;=2,"Slipped","On plan"))</f>
        <v>Slipped</v>
      </c>
      <c r="L101" s="12">
        <f t="shared" si="1"/>
        <v>1391175</v>
      </c>
    </row>
    <row r="102" spans="1:12" x14ac:dyDescent="0.3">
      <c r="A102" t="str">
        <f>'Raw Orders'!A102</f>
        <v>NX-00098</v>
      </c>
      <c r="B102" t="str">
        <f>'Raw Orders'!B102</f>
        <v>APAC</v>
      </c>
      <c r="C102" t="str">
        <f>'Raw Orders'!C102</f>
        <v>India</v>
      </c>
      <c r="D102" s="11">
        <f>'Raw Orders'!E102</f>
        <v>20.2</v>
      </c>
      <c r="E102" s="12">
        <f>'Raw Orders'!F102</f>
        <v>1434200</v>
      </c>
      <c r="F102" s="12">
        <f>'Raw Orders'!F102*0.75</f>
        <v>1075650</v>
      </c>
      <c r="G102" s="10">
        <f>'Raw Orders'!H102</f>
        <v>45566</v>
      </c>
      <c r="H102" s="10">
        <f>'Raw Orders'!I102</f>
        <v>46054</v>
      </c>
      <c r="I102" s="11">
        <f>'Raw Orders'!K102</f>
        <v>15.78</v>
      </c>
      <c r="J102" s="11">
        <f>IF('Raw Orders'!J102,"",(YEAR('Raw Orders'!I102)-YEAR('Raw Orders'!H102))*12+MONTH('Raw Orders'!I102)-MONTH('Raw Orders'!H102))</f>
        <v>16</v>
      </c>
      <c r="K102" t="str">
        <f>IF('Raw Orders'!J102,"Cancelled",IF('Raw Orders'!K102&gt;=2,"Slipped","On plan"))</f>
        <v>Slipped</v>
      </c>
      <c r="L102" s="12">
        <f t="shared" si="1"/>
        <v>1075650</v>
      </c>
    </row>
    <row r="103" spans="1:12" x14ac:dyDescent="0.3">
      <c r="A103" t="str">
        <f>'Raw Orders'!A103</f>
        <v>NX-00099</v>
      </c>
      <c r="B103" t="str">
        <f>'Raw Orders'!B103</f>
        <v>APAC</v>
      </c>
      <c r="C103" t="str">
        <f>'Raw Orders'!C103</f>
        <v>India</v>
      </c>
      <c r="D103" s="11">
        <f>'Raw Orders'!E103</f>
        <v>74.599999999999994</v>
      </c>
      <c r="E103" s="12">
        <f>'Raw Orders'!F103</f>
        <v>5296600</v>
      </c>
      <c r="F103" s="12">
        <f>'Raw Orders'!F103*0.75</f>
        <v>3972450</v>
      </c>
      <c r="G103" s="10">
        <f>'Raw Orders'!H103</f>
        <v>45627</v>
      </c>
      <c r="H103" s="10">
        <f>'Raw Orders'!I103</f>
        <v>45627</v>
      </c>
      <c r="I103" s="11">
        <f>'Raw Orders'!K103</f>
        <v>0.01</v>
      </c>
      <c r="J103" s="11">
        <f>IF('Raw Orders'!J103,"",(YEAR('Raw Orders'!I103)-YEAR('Raw Orders'!H103))*12+MONTH('Raw Orders'!I103)-MONTH('Raw Orders'!H103))</f>
        <v>0</v>
      </c>
      <c r="K103" t="str">
        <f>IF('Raw Orders'!J103,"Cancelled",IF('Raw Orders'!K103&gt;=2,"Slipped","On plan"))</f>
        <v>On plan</v>
      </c>
      <c r="L103" s="12">
        <f t="shared" si="1"/>
        <v>0</v>
      </c>
    </row>
    <row r="104" spans="1:12" x14ac:dyDescent="0.3">
      <c r="A104" t="str">
        <f>'Raw Orders'!A104</f>
        <v>NX-00100</v>
      </c>
      <c r="B104" t="str">
        <f>'Raw Orders'!B104</f>
        <v>APAC</v>
      </c>
      <c r="C104" t="str">
        <f>'Raw Orders'!C104</f>
        <v>India</v>
      </c>
      <c r="D104" s="11">
        <f>'Raw Orders'!E104</f>
        <v>8.6</v>
      </c>
      <c r="E104" s="12">
        <f>'Raw Orders'!F104</f>
        <v>610600</v>
      </c>
      <c r="F104" s="12">
        <f>'Raw Orders'!F104*0.75</f>
        <v>457950</v>
      </c>
      <c r="G104" s="10">
        <f>'Raw Orders'!H104</f>
        <v>45658</v>
      </c>
      <c r="H104" s="10">
        <f>'Raw Orders'!I104</f>
        <v>45689</v>
      </c>
      <c r="I104" s="11">
        <f>'Raw Orders'!K104</f>
        <v>0.57999999999999996</v>
      </c>
      <c r="J104" s="11">
        <f>IF('Raw Orders'!J104,"",(YEAR('Raw Orders'!I104)-YEAR('Raw Orders'!H104))*12+MONTH('Raw Orders'!I104)-MONTH('Raw Orders'!H104))</f>
        <v>1</v>
      </c>
      <c r="K104" t="str">
        <f>IF('Raw Orders'!J104,"Cancelled",IF('Raw Orders'!K104&gt;=2,"Slipped","On plan"))</f>
        <v>On plan</v>
      </c>
      <c r="L104" s="12">
        <f t="shared" si="1"/>
        <v>0</v>
      </c>
    </row>
    <row r="105" spans="1:12" x14ac:dyDescent="0.3">
      <c r="A105" t="str">
        <f>'Raw Orders'!A105</f>
        <v>NX-00101</v>
      </c>
      <c r="B105" t="str">
        <f>'Raw Orders'!B105</f>
        <v>LATAM</v>
      </c>
      <c r="C105" t="str">
        <f>'Raw Orders'!C105</f>
        <v>LATAM</v>
      </c>
      <c r="D105" s="11">
        <f>'Raw Orders'!E105</f>
        <v>3.1</v>
      </c>
      <c r="E105" s="12">
        <f>'Raw Orders'!F105</f>
        <v>244900</v>
      </c>
      <c r="F105" s="12">
        <f>'Raw Orders'!F105*0.75</f>
        <v>183675</v>
      </c>
      <c r="G105" s="10">
        <f>'Raw Orders'!H105</f>
        <v>45689</v>
      </c>
      <c r="H105" s="10">
        <f>'Raw Orders'!I105</f>
        <v>45778</v>
      </c>
      <c r="I105" s="11">
        <f>'Raw Orders'!K105</f>
        <v>2.9</v>
      </c>
      <c r="J105" s="11">
        <f>IF('Raw Orders'!J105,"",(YEAR('Raw Orders'!I105)-YEAR('Raw Orders'!H105))*12+MONTH('Raw Orders'!I105)-MONTH('Raw Orders'!H105))</f>
        <v>3</v>
      </c>
      <c r="K105" t="str">
        <f>IF('Raw Orders'!J105,"Cancelled",IF('Raw Orders'!K105&gt;=2,"Slipped","On plan"))</f>
        <v>Slipped</v>
      </c>
      <c r="L105" s="12">
        <f t="shared" si="1"/>
        <v>183675</v>
      </c>
    </row>
    <row r="106" spans="1:12" x14ac:dyDescent="0.3">
      <c r="A106" t="str">
        <f>'Raw Orders'!A106</f>
        <v>NX-00102</v>
      </c>
      <c r="B106" t="str">
        <f>'Raw Orders'!B106</f>
        <v>LATAM</v>
      </c>
      <c r="C106" t="str">
        <f>'Raw Orders'!C106</f>
        <v>LATAM</v>
      </c>
      <c r="D106" s="11">
        <f>'Raw Orders'!E106</f>
        <v>51.5</v>
      </c>
      <c r="E106" s="12">
        <f>'Raw Orders'!F106</f>
        <v>4068500</v>
      </c>
      <c r="F106" s="12">
        <f>'Raw Orders'!F106*0.75</f>
        <v>3051375</v>
      </c>
      <c r="G106" s="10">
        <f>'Raw Orders'!H106</f>
        <v>45689</v>
      </c>
      <c r="H106" s="10">
        <f>'Raw Orders'!I106</f>
        <v>45689</v>
      </c>
      <c r="I106" s="11">
        <f>'Raw Orders'!K106</f>
        <v>0.3</v>
      </c>
      <c r="J106" s="11">
        <f>IF('Raw Orders'!J106,"",(YEAR('Raw Orders'!I106)-YEAR('Raw Orders'!H106))*12+MONTH('Raw Orders'!I106)-MONTH('Raw Orders'!H106))</f>
        <v>0</v>
      </c>
      <c r="K106" t="str">
        <f>IF('Raw Orders'!J106,"Cancelled",IF('Raw Orders'!K106&gt;=2,"Slipped","On plan"))</f>
        <v>On plan</v>
      </c>
      <c r="L106" s="12">
        <f t="shared" si="1"/>
        <v>0</v>
      </c>
    </row>
    <row r="107" spans="1:12" x14ac:dyDescent="0.3">
      <c r="A107" t="str">
        <f>'Raw Orders'!A107</f>
        <v>NX-00103</v>
      </c>
      <c r="B107" t="str">
        <f>'Raw Orders'!B107</f>
        <v>LATAM</v>
      </c>
      <c r="C107" t="str">
        <f>'Raw Orders'!C107</f>
        <v>LATAM</v>
      </c>
      <c r="D107" s="11">
        <f>'Raw Orders'!E107</f>
        <v>13.8</v>
      </c>
      <c r="E107" s="12">
        <f>'Raw Orders'!F107</f>
        <v>1090200</v>
      </c>
      <c r="F107" s="12">
        <f>'Raw Orders'!F107*0.75</f>
        <v>817650</v>
      </c>
      <c r="G107" s="10">
        <f>'Raw Orders'!H107</f>
        <v>45689</v>
      </c>
      <c r="H107" s="10">
        <f>'Raw Orders'!I107</f>
        <v>45748</v>
      </c>
      <c r="I107" s="11">
        <f>'Raw Orders'!K107</f>
        <v>2.44</v>
      </c>
      <c r="J107" s="11">
        <f>IF('Raw Orders'!J107,"",(YEAR('Raw Orders'!I107)-YEAR('Raw Orders'!H107))*12+MONTH('Raw Orders'!I107)-MONTH('Raw Orders'!H107))</f>
        <v>2</v>
      </c>
      <c r="K107" t="str">
        <f>IF('Raw Orders'!J107,"Cancelled",IF('Raw Orders'!K107&gt;=2,"Slipped","On plan"))</f>
        <v>Slipped</v>
      </c>
      <c r="L107" s="12">
        <f t="shared" si="1"/>
        <v>817650</v>
      </c>
    </row>
    <row r="108" spans="1:12" x14ac:dyDescent="0.3">
      <c r="A108" t="str">
        <f>'Raw Orders'!A108</f>
        <v>NX-00104</v>
      </c>
      <c r="B108" t="str">
        <f>'Raw Orders'!B108</f>
        <v>North America</v>
      </c>
      <c r="C108" t="str">
        <f>'Raw Orders'!C108</f>
        <v>US / Canada</v>
      </c>
      <c r="D108" s="11">
        <f>'Raw Orders'!E108</f>
        <v>38.799999999999997</v>
      </c>
      <c r="E108" s="12">
        <f>'Raw Orders'!F108</f>
        <v>3220400</v>
      </c>
      <c r="F108" s="12">
        <f>'Raw Orders'!F108*0.75</f>
        <v>2415300</v>
      </c>
      <c r="G108" s="10">
        <f>'Raw Orders'!H108</f>
        <v>45536</v>
      </c>
      <c r="H108" s="10">
        <f>'Raw Orders'!I108</f>
        <v>45566</v>
      </c>
      <c r="I108" s="11">
        <f>'Raw Orders'!K108</f>
        <v>1.27</v>
      </c>
      <c r="J108" s="11">
        <f>IF('Raw Orders'!J108,"",(YEAR('Raw Orders'!I108)-YEAR('Raw Orders'!H108))*12+MONTH('Raw Orders'!I108)-MONTH('Raw Orders'!H108))</f>
        <v>1</v>
      </c>
      <c r="K108" t="str">
        <f>IF('Raw Orders'!J108,"Cancelled",IF('Raw Orders'!K108&gt;=2,"Slipped","On plan"))</f>
        <v>On plan</v>
      </c>
      <c r="L108" s="12">
        <f t="shared" si="1"/>
        <v>0</v>
      </c>
    </row>
    <row r="109" spans="1:12" x14ac:dyDescent="0.3">
      <c r="A109" t="str">
        <f>'Raw Orders'!A109</f>
        <v>NX-00105</v>
      </c>
      <c r="B109" t="str">
        <f>'Raw Orders'!B109</f>
        <v>North America</v>
      </c>
      <c r="C109" t="str">
        <f>'Raw Orders'!C109</f>
        <v>US / Canada</v>
      </c>
      <c r="D109" s="11">
        <f>'Raw Orders'!E109</f>
        <v>5.3</v>
      </c>
      <c r="E109" s="12">
        <f>'Raw Orders'!F109</f>
        <v>439900</v>
      </c>
      <c r="F109" s="12">
        <f>'Raw Orders'!F109*0.75</f>
        <v>329925</v>
      </c>
      <c r="G109" s="10">
        <f>'Raw Orders'!H109</f>
        <v>45536</v>
      </c>
      <c r="H109" s="10">
        <f>'Raw Orders'!I109</f>
        <v>45566</v>
      </c>
      <c r="I109" s="11">
        <f>'Raw Orders'!K109</f>
        <v>0.65</v>
      </c>
      <c r="J109" s="11">
        <f>IF('Raw Orders'!J109,"",(YEAR('Raw Orders'!I109)-YEAR('Raw Orders'!H109))*12+MONTH('Raw Orders'!I109)-MONTH('Raw Orders'!H109))</f>
        <v>1</v>
      </c>
      <c r="K109" t="str">
        <f>IF('Raw Orders'!J109,"Cancelled",IF('Raw Orders'!K109&gt;=2,"Slipped","On plan"))</f>
        <v>On plan</v>
      </c>
      <c r="L109" s="12">
        <f t="shared" si="1"/>
        <v>0</v>
      </c>
    </row>
    <row r="110" spans="1:12" x14ac:dyDescent="0.3">
      <c r="A110" t="str">
        <f>'Raw Orders'!A110</f>
        <v>NX-00106</v>
      </c>
      <c r="B110" t="str">
        <f>'Raw Orders'!B110</f>
        <v>North America</v>
      </c>
      <c r="C110" t="str">
        <f>'Raw Orders'!C110</f>
        <v>US / Canada</v>
      </c>
      <c r="D110" s="11">
        <f>'Raw Orders'!E110</f>
        <v>13.3</v>
      </c>
      <c r="E110" s="12">
        <f>'Raw Orders'!F110</f>
        <v>1103900</v>
      </c>
      <c r="F110" s="12">
        <f>'Raw Orders'!F110*0.75</f>
        <v>827925</v>
      </c>
      <c r="G110" s="10">
        <f>'Raw Orders'!H110</f>
        <v>45566</v>
      </c>
      <c r="H110" s="10">
        <f>'Raw Orders'!I110</f>
        <v>45566</v>
      </c>
      <c r="I110" s="11">
        <f>'Raw Orders'!K110</f>
        <v>0.03</v>
      </c>
      <c r="J110" s="11">
        <f>IF('Raw Orders'!J110,"",(YEAR('Raw Orders'!I110)-YEAR('Raw Orders'!H110))*12+MONTH('Raw Orders'!I110)-MONTH('Raw Orders'!H110))</f>
        <v>0</v>
      </c>
      <c r="K110" t="str">
        <f>IF('Raw Orders'!J110,"Cancelled",IF('Raw Orders'!K110&gt;=2,"Slipped","On plan"))</f>
        <v>On plan</v>
      </c>
      <c r="L110" s="12">
        <f t="shared" si="1"/>
        <v>0</v>
      </c>
    </row>
    <row r="111" spans="1:12" x14ac:dyDescent="0.3">
      <c r="A111" t="str">
        <f>'Raw Orders'!A111</f>
        <v>NX-00107</v>
      </c>
      <c r="B111" t="str">
        <f>'Raw Orders'!B111</f>
        <v>North America</v>
      </c>
      <c r="C111" t="str">
        <f>'Raw Orders'!C111</f>
        <v>US / Canada</v>
      </c>
      <c r="D111" s="11">
        <f>'Raw Orders'!E111</f>
        <v>3.8</v>
      </c>
      <c r="E111" s="12">
        <f>'Raw Orders'!F111</f>
        <v>315400</v>
      </c>
      <c r="F111" s="12">
        <f>'Raw Orders'!F111*0.75</f>
        <v>236550</v>
      </c>
      <c r="G111" s="10">
        <f>'Raw Orders'!H111</f>
        <v>45597</v>
      </c>
      <c r="H111" s="10">
        <f>'Raw Orders'!I111</f>
        <v>45627</v>
      </c>
      <c r="I111" s="11">
        <f>'Raw Orders'!K111</f>
        <v>0.72</v>
      </c>
      <c r="J111" s="11">
        <f>IF('Raw Orders'!J111,"",(YEAR('Raw Orders'!I111)-YEAR('Raw Orders'!H111))*12+MONTH('Raw Orders'!I111)-MONTH('Raw Orders'!H111))</f>
        <v>1</v>
      </c>
      <c r="K111" t="str">
        <f>IF('Raw Orders'!J111,"Cancelled",IF('Raw Orders'!K111&gt;=2,"Slipped","On plan"))</f>
        <v>On plan</v>
      </c>
      <c r="L111" s="12">
        <f t="shared" si="1"/>
        <v>0</v>
      </c>
    </row>
    <row r="112" spans="1:12" x14ac:dyDescent="0.3">
      <c r="A112" t="str">
        <f>'Raw Orders'!A112</f>
        <v>NX-00108</v>
      </c>
      <c r="B112" t="str">
        <f>'Raw Orders'!B112</f>
        <v>North America</v>
      </c>
      <c r="C112" t="str">
        <f>'Raw Orders'!C112</f>
        <v>US / Canada</v>
      </c>
      <c r="D112" s="11">
        <f>'Raw Orders'!E112</f>
        <v>5.2</v>
      </c>
      <c r="E112" s="12">
        <f>'Raw Orders'!F112</f>
        <v>431600</v>
      </c>
      <c r="F112" s="12">
        <f>'Raw Orders'!F112*0.75</f>
        <v>323700</v>
      </c>
      <c r="G112" s="10">
        <f>'Raw Orders'!H112</f>
        <v>45566</v>
      </c>
      <c r="H112" s="10">
        <f>'Raw Orders'!I112</f>
        <v>45566</v>
      </c>
      <c r="I112" s="11">
        <f>'Raw Orders'!K112</f>
        <v>0</v>
      </c>
      <c r="J112" s="11">
        <f>IF('Raw Orders'!J112,"",(YEAR('Raw Orders'!I112)-YEAR('Raw Orders'!H112))*12+MONTH('Raw Orders'!I112)-MONTH('Raw Orders'!H112))</f>
        <v>0</v>
      </c>
      <c r="K112" t="str">
        <f>IF('Raw Orders'!J112,"Cancelled",IF('Raw Orders'!K112&gt;=2,"Slipped","On plan"))</f>
        <v>On plan</v>
      </c>
      <c r="L112" s="12">
        <f t="shared" si="1"/>
        <v>0</v>
      </c>
    </row>
    <row r="113" spans="1:12" x14ac:dyDescent="0.3">
      <c r="A113" t="str">
        <f>'Raw Orders'!A113</f>
        <v>NX-00109</v>
      </c>
      <c r="B113" t="str">
        <f>'Raw Orders'!B113</f>
        <v>North America</v>
      </c>
      <c r="C113" t="str">
        <f>'Raw Orders'!C113</f>
        <v>US / Canada</v>
      </c>
      <c r="D113" s="11">
        <f>'Raw Orders'!E113</f>
        <v>13.4</v>
      </c>
      <c r="E113" s="12">
        <f>'Raw Orders'!F113</f>
        <v>1112200</v>
      </c>
      <c r="F113" s="12">
        <f>'Raw Orders'!F113*0.75</f>
        <v>834150</v>
      </c>
      <c r="G113" s="10">
        <f>'Raw Orders'!H113</f>
        <v>45566</v>
      </c>
      <c r="H113" s="10">
        <f>'Raw Orders'!I113</f>
        <v>45566</v>
      </c>
      <c r="I113" s="11">
        <f>'Raw Orders'!K113</f>
        <v>0.01</v>
      </c>
      <c r="J113" s="11">
        <f>IF('Raw Orders'!J113,"",(YEAR('Raw Orders'!I113)-YEAR('Raw Orders'!H113))*12+MONTH('Raw Orders'!I113)-MONTH('Raw Orders'!H113))</f>
        <v>0</v>
      </c>
      <c r="K113" t="str">
        <f>IF('Raw Orders'!J113,"Cancelled",IF('Raw Orders'!K113&gt;=2,"Slipped","On plan"))</f>
        <v>On plan</v>
      </c>
      <c r="L113" s="12">
        <f t="shared" si="1"/>
        <v>0</v>
      </c>
    </row>
    <row r="114" spans="1:12" x14ac:dyDescent="0.3">
      <c r="A114" t="str">
        <f>'Raw Orders'!A114</f>
        <v>NX-00110</v>
      </c>
      <c r="B114" t="str">
        <f>'Raw Orders'!B114</f>
        <v>North America</v>
      </c>
      <c r="C114" t="str">
        <f>'Raw Orders'!C114</f>
        <v>US / Canada</v>
      </c>
      <c r="D114" s="11">
        <f>'Raw Orders'!E114</f>
        <v>16.5</v>
      </c>
      <c r="E114" s="12">
        <f>'Raw Orders'!F114</f>
        <v>1369500</v>
      </c>
      <c r="F114" s="12">
        <f>'Raw Orders'!F114*0.75</f>
        <v>1027125</v>
      </c>
      <c r="G114" s="10">
        <f>'Raw Orders'!H114</f>
        <v>45717</v>
      </c>
      <c r="H114" s="10">
        <f>'Raw Orders'!I114</f>
        <v>45717</v>
      </c>
      <c r="I114" s="11">
        <f>'Raw Orders'!K114</f>
        <v>0.17</v>
      </c>
      <c r="J114" s="11">
        <f>IF('Raw Orders'!J114,"",(YEAR('Raw Orders'!I114)-YEAR('Raw Orders'!H114))*12+MONTH('Raw Orders'!I114)-MONTH('Raw Orders'!H114))</f>
        <v>0</v>
      </c>
      <c r="K114" t="str">
        <f>IF('Raw Orders'!J114,"Cancelled",IF('Raw Orders'!K114&gt;=2,"Slipped","On plan"))</f>
        <v>On plan</v>
      </c>
      <c r="L114" s="12">
        <f t="shared" si="1"/>
        <v>0</v>
      </c>
    </row>
    <row r="115" spans="1:12" x14ac:dyDescent="0.3">
      <c r="A115" t="str">
        <f>'Raw Orders'!A115</f>
        <v>NX-00111</v>
      </c>
      <c r="B115" t="str">
        <f>'Raw Orders'!B115</f>
        <v>North America</v>
      </c>
      <c r="C115" t="str">
        <f>'Raw Orders'!C115</f>
        <v>US / Canada</v>
      </c>
      <c r="D115" s="11">
        <f>'Raw Orders'!E115</f>
        <v>7</v>
      </c>
      <c r="E115" s="12">
        <f>'Raw Orders'!F115</f>
        <v>581000</v>
      </c>
      <c r="F115" s="12">
        <f>'Raw Orders'!F115*0.75</f>
        <v>435750</v>
      </c>
      <c r="G115" s="10">
        <f>'Raw Orders'!H115</f>
        <v>45717</v>
      </c>
      <c r="H115" s="10">
        <f>'Raw Orders'!I115</f>
        <v>45717</v>
      </c>
      <c r="I115" s="11">
        <f>'Raw Orders'!K115</f>
        <v>0.05</v>
      </c>
      <c r="J115" s="11">
        <f>IF('Raw Orders'!J115,"",(YEAR('Raw Orders'!I115)-YEAR('Raw Orders'!H115))*12+MONTH('Raw Orders'!I115)-MONTH('Raw Orders'!H115))</f>
        <v>0</v>
      </c>
      <c r="K115" t="str">
        <f>IF('Raw Orders'!J115,"Cancelled",IF('Raw Orders'!K115&gt;=2,"Slipped","On plan"))</f>
        <v>On plan</v>
      </c>
      <c r="L115" s="12">
        <f t="shared" si="1"/>
        <v>0</v>
      </c>
    </row>
    <row r="116" spans="1:12" x14ac:dyDescent="0.3">
      <c r="A116" t="str">
        <f>'Raw Orders'!A116</f>
        <v>NX-00112</v>
      </c>
      <c r="B116" t="str">
        <f>'Raw Orders'!B116</f>
        <v>North America</v>
      </c>
      <c r="C116" t="str">
        <f>'Raw Orders'!C116</f>
        <v>US / Canada</v>
      </c>
      <c r="D116" s="11">
        <f>'Raw Orders'!E116</f>
        <v>15.6</v>
      </c>
      <c r="E116" s="12">
        <f>'Raw Orders'!F116</f>
        <v>1294800</v>
      </c>
      <c r="F116" s="12">
        <f>'Raw Orders'!F116*0.75</f>
        <v>971100</v>
      </c>
      <c r="G116" s="10">
        <f>'Raw Orders'!H116</f>
        <v>45658</v>
      </c>
      <c r="H116" s="10">
        <f>'Raw Orders'!I116</f>
        <v>45658</v>
      </c>
      <c r="I116" s="11">
        <f>'Raw Orders'!K116</f>
        <v>0.02</v>
      </c>
      <c r="J116" s="11">
        <f>IF('Raw Orders'!J116,"",(YEAR('Raw Orders'!I116)-YEAR('Raw Orders'!H116))*12+MONTH('Raw Orders'!I116)-MONTH('Raw Orders'!H116))</f>
        <v>0</v>
      </c>
      <c r="K116" t="str">
        <f>IF('Raw Orders'!J116,"Cancelled",IF('Raw Orders'!K116&gt;=2,"Slipped","On plan"))</f>
        <v>On plan</v>
      </c>
      <c r="L116" s="12">
        <f t="shared" si="1"/>
        <v>0</v>
      </c>
    </row>
    <row r="117" spans="1:12" x14ac:dyDescent="0.3">
      <c r="A117" t="str">
        <f>'Raw Orders'!A117</f>
        <v>NX-00113</v>
      </c>
      <c r="B117" t="str">
        <f>'Raw Orders'!B117</f>
        <v>North America</v>
      </c>
      <c r="C117" t="str">
        <f>'Raw Orders'!C117</f>
        <v>US / Canada</v>
      </c>
      <c r="D117" s="11">
        <f>'Raw Orders'!E117</f>
        <v>12.2</v>
      </c>
      <c r="E117" s="12">
        <f>'Raw Orders'!F117</f>
        <v>1012600</v>
      </c>
      <c r="F117" s="12">
        <f>'Raw Orders'!F117*0.75</f>
        <v>759450</v>
      </c>
      <c r="G117" s="10">
        <f>'Raw Orders'!H117</f>
        <v>45627</v>
      </c>
      <c r="H117" s="10">
        <f>'Raw Orders'!I117</f>
        <v>45627</v>
      </c>
      <c r="I117" s="11">
        <f>'Raw Orders'!K117</f>
        <v>0</v>
      </c>
      <c r="J117" s="11">
        <f>IF('Raw Orders'!J117,"",(YEAR('Raw Orders'!I117)-YEAR('Raw Orders'!H117))*12+MONTH('Raw Orders'!I117)-MONTH('Raw Orders'!H117))</f>
        <v>0</v>
      </c>
      <c r="K117" t="str">
        <f>IF('Raw Orders'!J117,"Cancelled",IF('Raw Orders'!K117&gt;=2,"Slipped","On plan"))</f>
        <v>On plan</v>
      </c>
      <c r="L117" s="12">
        <f t="shared" si="1"/>
        <v>0</v>
      </c>
    </row>
    <row r="118" spans="1:12" x14ac:dyDescent="0.3">
      <c r="A118" t="str">
        <f>'Raw Orders'!A118</f>
        <v>NX-00114</v>
      </c>
      <c r="B118" t="str">
        <f>'Raw Orders'!B118</f>
        <v>North America</v>
      </c>
      <c r="C118" t="str">
        <f>'Raw Orders'!C118</f>
        <v>US / Canada</v>
      </c>
      <c r="D118" s="11">
        <f>'Raw Orders'!E118</f>
        <v>6.8</v>
      </c>
      <c r="E118" s="12">
        <f>'Raw Orders'!F118</f>
        <v>564400</v>
      </c>
      <c r="F118" s="12">
        <f>'Raw Orders'!F118*0.75</f>
        <v>423300</v>
      </c>
      <c r="G118" s="10">
        <f>'Raw Orders'!H118</f>
        <v>45658</v>
      </c>
      <c r="H118" s="10">
        <f>'Raw Orders'!I118</f>
        <v>45689</v>
      </c>
      <c r="I118" s="11">
        <f>'Raw Orders'!K118</f>
        <v>0.99</v>
      </c>
      <c r="J118" s="11">
        <f>IF('Raw Orders'!J118,"",(YEAR('Raw Orders'!I118)-YEAR('Raw Orders'!H118))*12+MONTH('Raw Orders'!I118)-MONTH('Raw Orders'!H118))</f>
        <v>1</v>
      </c>
      <c r="K118" t="str">
        <f>IF('Raw Orders'!J118,"Cancelled",IF('Raw Orders'!K118&gt;=2,"Slipped","On plan"))</f>
        <v>On plan</v>
      </c>
      <c r="L118" s="12">
        <f t="shared" si="1"/>
        <v>0</v>
      </c>
    </row>
    <row r="119" spans="1:12" x14ac:dyDescent="0.3">
      <c r="A119" t="str">
        <f>'Raw Orders'!A119</f>
        <v>NX-00115</v>
      </c>
      <c r="B119" t="str">
        <f>'Raw Orders'!B119</f>
        <v>North America</v>
      </c>
      <c r="C119" t="str">
        <f>'Raw Orders'!C119</f>
        <v>US / Canada</v>
      </c>
      <c r="D119" s="11">
        <f>'Raw Orders'!E119</f>
        <v>24.1</v>
      </c>
      <c r="E119" s="12">
        <f>'Raw Orders'!F119</f>
        <v>2000300</v>
      </c>
      <c r="F119" s="12">
        <f>'Raw Orders'!F119*0.75</f>
        <v>1500225</v>
      </c>
      <c r="G119" s="10">
        <f>'Raw Orders'!H119</f>
        <v>45536</v>
      </c>
      <c r="H119" s="10">
        <f>'Raw Orders'!I119</f>
        <v>45536</v>
      </c>
      <c r="I119" s="11">
        <f>'Raw Orders'!K119</f>
        <v>0.03</v>
      </c>
      <c r="J119" s="11">
        <f>IF('Raw Orders'!J119,"",(YEAR('Raw Orders'!I119)-YEAR('Raw Orders'!H119))*12+MONTH('Raw Orders'!I119)-MONTH('Raw Orders'!H119))</f>
        <v>0</v>
      </c>
      <c r="K119" t="str">
        <f>IF('Raw Orders'!J119,"Cancelled",IF('Raw Orders'!K119&gt;=2,"Slipped","On plan"))</f>
        <v>On plan</v>
      </c>
      <c r="L119" s="12">
        <f t="shared" si="1"/>
        <v>0</v>
      </c>
    </row>
    <row r="120" spans="1:12" x14ac:dyDescent="0.3">
      <c r="A120" t="str">
        <f>'Raw Orders'!A120</f>
        <v>NX-00116</v>
      </c>
      <c r="B120" t="str">
        <f>'Raw Orders'!B120</f>
        <v>North America</v>
      </c>
      <c r="C120" t="str">
        <f>'Raw Orders'!C120</f>
        <v>US / Canada</v>
      </c>
      <c r="D120" s="11">
        <f>'Raw Orders'!E120</f>
        <v>16</v>
      </c>
      <c r="E120" s="12">
        <f>'Raw Orders'!F120</f>
        <v>1328000</v>
      </c>
      <c r="F120" s="12">
        <f>'Raw Orders'!F120*0.75</f>
        <v>996000</v>
      </c>
      <c r="G120" s="10">
        <f>'Raw Orders'!H120</f>
        <v>45658</v>
      </c>
      <c r="H120" s="10">
        <f>'Raw Orders'!I120</f>
        <v>45689</v>
      </c>
      <c r="I120" s="11">
        <f>'Raw Orders'!K120</f>
        <v>0.55000000000000004</v>
      </c>
      <c r="J120" s="11">
        <f>IF('Raw Orders'!J120,"",(YEAR('Raw Orders'!I120)-YEAR('Raw Orders'!H120))*12+MONTH('Raw Orders'!I120)-MONTH('Raw Orders'!H120))</f>
        <v>1</v>
      </c>
      <c r="K120" t="str">
        <f>IF('Raw Orders'!J120,"Cancelled",IF('Raw Orders'!K120&gt;=2,"Slipped","On plan"))</f>
        <v>On plan</v>
      </c>
      <c r="L120" s="12">
        <f t="shared" si="1"/>
        <v>0</v>
      </c>
    </row>
    <row r="121" spans="1:12" x14ac:dyDescent="0.3">
      <c r="A121" t="str">
        <f>'Raw Orders'!A121</f>
        <v>NX-00117</v>
      </c>
      <c r="B121" t="str">
        <f>'Raw Orders'!B121</f>
        <v>North America</v>
      </c>
      <c r="C121" t="str">
        <f>'Raw Orders'!C121</f>
        <v>US / Canada</v>
      </c>
      <c r="D121" s="11">
        <f>'Raw Orders'!E121</f>
        <v>36</v>
      </c>
      <c r="E121" s="12">
        <f>'Raw Orders'!F121</f>
        <v>2988000</v>
      </c>
      <c r="F121" s="12">
        <f>'Raw Orders'!F121*0.75</f>
        <v>2241000</v>
      </c>
      <c r="G121" s="10">
        <f>'Raw Orders'!H121</f>
        <v>45627</v>
      </c>
      <c r="H121" s="10">
        <f>'Raw Orders'!I121</f>
        <v>45627</v>
      </c>
      <c r="I121" s="11">
        <f>'Raw Orders'!K121</f>
        <v>0.03</v>
      </c>
      <c r="J121" s="11">
        <f>IF('Raw Orders'!J121,"",(YEAR('Raw Orders'!I121)-YEAR('Raw Orders'!H121))*12+MONTH('Raw Orders'!I121)-MONTH('Raw Orders'!H121))</f>
        <v>0</v>
      </c>
      <c r="K121" t="str">
        <f>IF('Raw Orders'!J121,"Cancelled",IF('Raw Orders'!K121&gt;=2,"Slipped","On plan"))</f>
        <v>On plan</v>
      </c>
      <c r="L121" s="12">
        <f t="shared" si="1"/>
        <v>0</v>
      </c>
    </row>
    <row r="122" spans="1:12" x14ac:dyDescent="0.3">
      <c r="A122" t="str">
        <f>'Raw Orders'!A122</f>
        <v>NX-00118</v>
      </c>
      <c r="B122" t="str">
        <f>'Raw Orders'!B122</f>
        <v>North America</v>
      </c>
      <c r="C122" t="str">
        <f>'Raw Orders'!C122</f>
        <v>US / Canada</v>
      </c>
      <c r="D122" s="11">
        <f>'Raw Orders'!E122</f>
        <v>21.5</v>
      </c>
      <c r="E122" s="12">
        <f>'Raw Orders'!F122</f>
        <v>1784500</v>
      </c>
      <c r="F122" s="12">
        <f>'Raw Orders'!F122*0.75</f>
        <v>1338375</v>
      </c>
      <c r="G122" s="10">
        <f>'Raw Orders'!H122</f>
        <v>45597</v>
      </c>
      <c r="H122" s="10">
        <f>'Raw Orders'!I122</f>
        <v>45658</v>
      </c>
      <c r="I122" s="11">
        <f>'Raw Orders'!K122</f>
        <v>1.93</v>
      </c>
      <c r="J122" s="11">
        <f>IF('Raw Orders'!J122,"",(YEAR('Raw Orders'!I122)-YEAR('Raw Orders'!H122))*12+MONTH('Raw Orders'!I122)-MONTH('Raw Orders'!H122))</f>
        <v>2</v>
      </c>
      <c r="K122" t="str">
        <f>IF('Raw Orders'!J122,"Cancelled",IF('Raw Orders'!K122&gt;=2,"Slipped","On plan"))</f>
        <v>On plan</v>
      </c>
      <c r="L122" s="12">
        <f t="shared" si="1"/>
        <v>0</v>
      </c>
    </row>
    <row r="123" spans="1:12" x14ac:dyDescent="0.3">
      <c r="A123" t="str">
        <f>'Raw Orders'!A123</f>
        <v>NX-00119</v>
      </c>
      <c r="B123" t="str">
        <f>'Raw Orders'!B123</f>
        <v>North America</v>
      </c>
      <c r="C123" t="str">
        <f>'Raw Orders'!C123</f>
        <v>US / Canada</v>
      </c>
      <c r="D123" s="11">
        <f>'Raw Orders'!E123</f>
        <v>51.2</v>
      </c>
      <c r="E123" s="12">
        <f>'Raw Orders'!F123</f>
        <v>4249600</v>
      </c>
      <c r="F123" s="12">
        <f>'Raw Orders'!F123*0.75</f>
        <v>3187200</v>
      </c>
      <c r="G123" s="10">
        <f>'Raw Orders'!H123</f>
        <v>45627</v>
      </c>
      <c r="H123" s="10">
        <f>'Raw Orders'!I123</f>
        <v>45627</v>
      </c>
      <c r="I123" s="11">
        <f>'Raw Orders'!K123</f>
        <v>0</v>
      </c>
      <c r="J123" s="11">
        <f>IF('Raw Orders'!J123,"",(YEAR('Raw Orders'!I123)-YEAR('Raw Orders'!H123))*12+MONTH('Raw Orders'!I123)-MONTH('Raw Orders'!H123))</f>
        <v>0</v>
      </c>
      <c r="K123" t="str">
        <f>IF('Raw Orders'!J123,"Cancelled",IF('Raw Orders'!K123&gt;=2,"Slipped","On plan"))</f>
        <v>On plan</v>
      </c>
      <c r="L123" s="12">
        <f t="shared" si="1"/>
        <v>0</v>
      </c>
    </row>
    <row r="124" spans="1:12" x14ac:dyDescent="0.3">
      <c r="A124" t="str">
        <f>'Raw Orders'!A124</f>
        <v>NX-00120</v>
      </c>
      <c r="B124" t="str">
        <f>'Raw Orders'!B124</f>
        <v>North America</v>
      </c>
      <c r="C124" t="str">
        <f>'Raw Orders'!C124</f>
        <v>US / Canada</v>
      </c>
      <c r="D124" s="11">
        <f>'Raw Orders'!E124</f>
        <v>20.6</v>
      </c>
      <c r="E124" s="12">
        <f>'Raw Orders'!F124</f>
        <v>1709800</v>
      </c>
      <c r="F124" s="12">
        <f>'Raw Orders'!F124*0.75</f>
        <v>1282350</v>
      </c>
      <c r="G124" s="10">
        <f>'Raw Orders'!H124</f>
        <v>45536</v>
      </c>
      <c r="H124" s="10">
        <f>'Raw Orders'!I124</f>
        <v>45536</v>
      </c>
      <c r="I124" s="11">
        <f>'Raw Orders'!K124</f>
        <v>0</v>
      </c>
      <c r="J124" s="11">
        <f>IF('Raw Orders'!J124,"",(YEAR('Raw Orders'!I124)-YEAR('Raw Orders'!H124))*12+MONTH('Raw Orders'!I124)-MONTH('Raw Orders'!H124))</f>
        <v>0</v>
      </c>
      <c r="K124" t="str">
        <f>IF('Raw Orders'!J124,"Cancelled",IF('Raw Orders'!K124&gt;=2,"Slipped","On plan"))</f>
        <v>On plan</v>
      </c>
      <c r="L124" s="12">
        <f t="shared" si="1"/>
        <v>0</v>
      </c>
    </row>
    <row r="125" spans="1:12" x14ac:dyDescent="0.3">
      <c r="A125" t="str">
        <f>'Raw Orders'!A125</f>
        <v>NX-00121</v>
      </c>
      <c r="B125" t="str">
        <f>'Raw Orders'!B125</f>
        <v>North America</v>
      </c>
      <c r="C125" t="str">
        <f>'Raw Orders'!C125</f>
        <v>US / Canada</v>
      </c>
      <c r="D125" s="11">
        <f>'Raw Orders'!E125</f>
        <v>22.9</v>
      </c>
      <c r="E125" s="12">
        <f>'Raw Orders'!F125</f>
        <v>1900700</v>
      </c>
      <c r="F125" s="12">
        <f>'Raw Orders'!F125*0.75</f>
        <v>1425525</v>
      </c>
      <c r="G125" s="10">
        <f>'Raw Orders'!H125</f>
        <v>45627</v>
      </c>
      <c r="H125" s="10">
        <f>'Raw Orders'!I125</f>
        <v>45627</v>
      </c>
      <c r="I125" s="11">
        <f>'Raw Orders'!K125</f>
        <v>0.03</v>
      </c>
      <c r="J125" s="11">
        <f>IF('Raw Orders'!J125,"",(YEAR('Raw Orders'!I125)-YEAR('Raw Orders'!H125))*12+MONTH('Raw Orders'!I125)-MONTH('Raw Orders'!H125))</f>
        <v>0</v>
      </c>
      <c r="K125" t="str">
        <f>IF('Raw Orders'!J125,"Cancelled",IF('Raw Orders'!K125&gt;=2,"Slipped","On plan"))</f>
        <v>On plan</v>
      </c>
      <c r="L125" s="12">
        <f t="shared" si="1"/>
        <v>0</v>
      </c>
    </row>
    <row r="126" spans="1:12" x14ac:dyDescent="0.3">
      <c r="A126" t="str">
        <f>'Raw Orders'!A126</f>
        <v>NX-00122</v>
      </c>
      <c r="B126" t="str">
        <f>'Raw Orders'!B126</f>
        <v>North America</v>
      </c>
      <c r="C126" t="str">
        <f>'Raw Orders'!C126</f>
        <v>US / Canada</v>
      </c>
      <c r="D126" s="11">
        <f>'Raw Orders'!E126</f>
        <v>4.0999999999999996</v>
      </c>
      <c r="E126" s="12">
        <f>'Raw Orders'!F126</f>
        <v>340299.99999999988</v>
      </c>
      <c r="F126" s="12">
        <f>'Raw Orders'!F126*0.75</f>
        <v>255224.99999999991</v>
      </c>
      <c r="G126" s="10">
        <f>'Raw Orders'!H126</f>
        <v>45597</v>
      </c>
      <c r="H126" s="10">
        <f>'Raw Orders'!I126</f>
        <v>45597</v>
      </c>
      <c r="I126" s="11">
        <f>'Raw Orders'!K126</f>
        <v>0.11</v>
      </c>
      <c r="J126" s="11">
        <f>IF('Raw Orders'!J126,"",(YEAR('Raw Orders'!I126)-YEAR('Raw Orders'!H126))*12+MONTH('Raw Orders'!I126)-MONTH('Raw Orders'!H126))</f>
        <v>0</v>
      </c>
      <c r="K126" t="str">
        <f>IF('Raw Orders'!J126,"Cancelled",IF('Raw Orders'!K126&gt;=2,"Slipped","On plan"))</f>
        <v>On plan</v>
      </c>
      <c r="L126" s="12">
        <f t="shared" si="1"/>
        <v>0</v>
      </c>
    </row>
    <row r="127" spans="1:12" x14ac:dyDescent="0.3">
      <c r="A127" t="str">
        <f>'Raw Orders'!A127</f>
        <v>NX-00123</v>
      </c>
      <c r="B127" t="str">
        <f>'Raw Orders'!B127</f>
        <v>North America</v>
      </c>
      <c r="C127" t="str">
        <f>'Raw Orders'!C127</f>
        <v>US / Canada</v>
      </c>
      <c r="D127" s="11">
        <f>'Raw Orders'!E127</f>
        <v>34.200000000000003</v>
      </c>
      <c r="E127" s="12">
        <f>'Raw Orders'!F127</f>
        <v>2838600</v>
      </c>
      <c r="F127" s="12">
        <f>'Raw Orders'!F127*0.75</f>
        <v>2128950</v>
      </c>
      <c r="G127" s="10">
        <f>'Raw Orders'!H127</f>
        <v>45658</v>
      </c>
      <c r="H127" s="10">
        <f>'Raw Orders'!I127</f>
        <v>45658</v>
      </c>
      <c r="I127" s="11">
        <f>'Raw Orders'!K127</f>
        <v>0.23</v>
      </c>
      <c r="J127" s="11">
        <f>IF('Raw Orders'!J127,"",(YEAR('Raw Orders'!I127)-YEAR('Raw Orders'!H127))*12+MONTH('Raw Orders'!I127)-MONTH('Raw Orders'!H127))</f>
        <v>0</v>
      </c>
      <c r="K127" t="str">
        <f>IF('Raw Orders'!J127,"Cancelled",IF('Raw Orders'!K127&gt;=2,"Slipped","On plan"))</f>
        <v>On plan</v>
      </c>
      <c r="L127" s="12">
        <f t="shared" si="1"/>
        <v>0</v>
      </c>
    </row>
    <row r="128" spans="1:12" x14ac:dyDescent="0.3">
      <c r="A128" t="str">
        <f>'Raw Orders'!A128</f>
        <v>NX-00124</v>
      </c>
      <c r="B128" t="str">
        <f>'Raw Orders'!B128</f>
        <v>North America</v>
      </c>
      <c r="C128" t="str">
        <f>'Raw Orders'!C128</f>
        <v>US / Canada</v>
      </c>
      <c r="D128" s="11">
        <f>'Raw Orders'!E128</f>
        <v>7.1</v>
      </c>
      <c r="E128" s="12">
        <f>'Raw Orders'!F128</f>
        <v>589300</v>
      </c>
      <c r="F128" s="12">
        <f>'Raw Orders'!F128*0.75</f>
        <v>441975</v>
      </c>
      <c r="G128" s="10">
        <f>'Raw Orders'!H128</f>
        <v>45536</v>
      </c>
      <c r="H128" s="10">
        <f>'Raw Orders'!I128</f>
        <v>45536</v>
      </c>
      <c r="I128" s="11">
        <f>'Raw Orders'!K128</f>
        <v>0.35</v>
      </c>
      <c r="J128" s="11">
        <f>IF('Raw Orders'!J128,"",(YEAR('Raw Orders'!I128)-YEAR('Raw Orders'!H128))*12+MONTH('Raw Orders'!I128)-MONTH('Raw Orders'!H128))</f>
        <v>0</v>
      </c>
      <c r="K128" t="str">
        <f>IF('Raw Orders'!J128,"Cancelled",IF('Raw Orders'!K128&gt;=2,"Slipped","On plan"))</f>
        <v>On plan</v>
      </c>
      <c r="L128" s="12">
        <f t="shared" si="1"/>
        <v>0</v>
      </c>
    </row>
    <row r="129" spans="1:12" x14ac:dyDescent="0.3">
      <c r="A129" t="str">
        <f>'Raw Orders'!A129</f>
        <v>NX-00125</v>
      </c>
      <c r="B129" t="str">
        <f>'Raw Orders'!B129</f>
        <v>North America</v>
      </c>
      <c r="C129" t="str">
        <f>'Raw Orders'!C129</f>
        <v>US / Canada</v>
      </c>
      <c r="D129" s="11">
        <f>'Raw Orders'!E129</f>
        <v>9.4</v>
      </c>
      <c r="E129" s="12">
        <f>'Raw Orders'!F129</f>
        <v>780200</v>
      </c>
      <c r="F129" s="12">
        <f>'Raw Orders'!F129*0.75</f>
        <v>585150</v>
      </c>
      <c r="G129" s="10">
        <f>'Raw Orders'!H129</f>
        <v>45536</v>
      </c>
      <c r="H129" s="10">
        <f>'Raw Orders'!I129</f>
        <v>45536</v>
      </c>
      <c r="I129" s="11">
        <f>'Raw Orders'!K129</f>
        <v>0.37</v>
      </c>
      <c r="J129" s="11">
        <f>IF('Raw Orders'!J129,"",(YEAR('Raw Orders'!I129)-YEAR('Raw Orders'!H129))*12+MONTH('Raw Orders'!I129)-MONTH('Raw Orders'!H129))</f>
        <v>0</v>
      </c>
      <c r="K129" t="str">
        <f>IF('Raw Orders'!J129,"Cancelled",IF('Raw Orders'!K129&gt;=2,"Slipped","On plan"))</f>
        <v>On plan</v>
      </c>
      <c r="L129" s="12">
        <f t="shared" si="1"/>
        <v>0</v>
      </c>
    </row>
    <row r="130" spans="1:12" x14ac:dyDescent="0.3">
      <c r="A130" t="str">
        <f>'Raw Orders'!A130</f>
        <v>NX-00126</v>
      </c>
      <c r="B130" t="str">
        <f>'Raw Orders'!B130</f>
        <v>North America</v>
      </c>
      <c r="C130" t="str">
        <f>'Raw Orders'!C130</f>
        <v>US / Canada</v>
      </c>
      <c r="D130" s="11">
        <f>'Raw Orders'!E130</f>
        <v>31.1</v>
      </c>
      <c r="E130" s="12">
        <f>'Raw Orders'!F130</f>
        <v>2581300</v>
      </c>
      <c r="F130" s="12">
        <f>'Raw Orders'!F130*0.75</f>
        <v>1935975</v>
      </c>
      <c r="G130" s="10">
        <f>'Raw Orders'!H130</f>
        <v>45627</v>
      </c>
      <c r="H130" s="10">
        <f>'Raw Orders'!I130</f>
        <v>45658</v>
      </c>
      <c r="I130" s="11">
        <f>'Raw Orders'!K130</f>
        <v>1.1399999999999999</v>
      </c>
      <c r="J130" s="11">
        <f>IF('Raw Orders'!J130,"",(YEAR('Raw Orders'!I130)-YEAR('Raw Orders'!H130))*12+MONTH('Raw Orders'!I130)-MONTH('Raw Orders'!H130))</f>
        <v>1</v>
      </c>
      <c r="K130" t="str">
        <f>IF('Raw Orders'!J130,"Cancelled",IF('Raw Orders'!K130&gt;=2,"Slipped","On plan"))</f>
        <v>On plan</v>
      </c>
      <c r="L130" s="12">
        <f t="shared" si="1"/>
        <v>0</v>
      </c>
    </row>
    <row r="131" spans="1:12" x14ac:dyDescent="0.3">
      <c r="A131" t="str">
        <f>'Raw Orders'!A131</f>
        <v>NX-00127</v>
      </c>
      <c r="B131" t="str">
        <f>'Raw Orders'!B131</f>
        <v>North America</v>
      </c>
      <c r="C131" t="str">
        <f>'Raw Orders'!C131</f>
        <v>US / Canada</v>
      </c>
      <c r="D131" s="11">
        <f>'Raw Orders'!E131</f>
        <v>10.4</v>
      </c>
      <c r="E131" s="12">
        <f>'Raw Orders'!F131</f>
        <v>863200</v>
      </c>
      <c r="F131" s="12">
        <f>'Raw Orders'!F131*0.75</f>
        <v>647400</v>
      </c>
      <c r="G131" s="10">
        <f>'Raw Orders'!H131</f>
        <v>45658</v>
      </c>
      <c r="H131" s="10">
        <f>'Raw Orders'!I131</f>
        <v>45717</v>
      </c>
      <c r="I131" s="11">
        <f>'Raw Orders'!K131</f>
        <v>2.4700000000000002</v>
      </c>
      <c r="J131" s="11">
        <f>IF('Raw Orders'!J131,"",(YEAR('Raw Orders'!I131)-YEAR('Raw Orders'!H131))*12+MONTH('Raw Orders'!I131)-MONTH('Raw Orders'!H131))</f>
        <v>2</v>
      </c>
      <c r="K131" t="str">
        <f>IF('Raw Orders'!J131,"Cancelled",IF('Raw Orders'!K131&gt;=2,"Slipped","On plan"))</f>
        <v>Slipped</v>
      </c>
      <c r="L131" s="12">
        <f t="shared" si="1"/>
        <v>647400</v>
      </c>
    </row>
    <row r="132" spans="1:12" x14ac:dyDescent="0.3">
      <c r="A132" t="str">
        <f>'Raw Orders'!A132</f>
        <v>NX-00128</v>
      </c>
      <c r="B132" t="str">
        <f>'Raw Orders'!B132</f>
        <v>North America</v>
      </c>
      <c r="C132" t="str">
        <f>'Raw Orders'!C132</f>
        <v>US / Canada</v>
      </c>
      <c r="D132" s="11">
        <f>'Raw Orders'!E132</f>
        <v>8.1</v>
      </c>
      <c r="E132" s="12">
        <f>'Raw Orders'!F132</f>
        <v>672300</v>
      </c>
      <c r="F132" s="12">
        <f>'Raw Orders'!F132*0.75</f>
        <v>504225</v>
      </c>
      <c r="G132" s="10">
        <f>'Raw Orders'!H132</f>
        <v>45627</v>
      </c>
      <c r="H132" s="10">
        <f>'Raw Orders'!I132</f>
        <v>45627</v>
      </c>
      <c r="I132" s="11">
        <f>'Raw Orders'!K132</f>
        <v>0.1</v>
      </c>
      <c r="J132" s="11">
        <f>IF('Raw Orders'!J132,"",(YEAR('Raw Orders'!I132)-YEAR('Raw Orders'!H132))*12+MONTH('Raw Orders'!I132)-MONTH('Raw Orders'!H132))</f>
        <v>0</v>
      </c>
      <c r="K132" t="str">
        <f>IF('Raw Orders'!J132,"Cancelled",IF('Raw Orders'!K132&gt;=2,"Slipped","On plan"))</f>
        <v>On plan</v>
      </c>
      <c r="L132" s="12">
        <f t="shared" si="1"/>
        <v>0</v>
      </c>
    </row>
    <row r="133" spans="1:12" x14ac:dyDescent="0.3">
      <c r="A133" t="str">
        <f>'Raw Orders'!A133</f>
        <v>NX-00129</v>
      </c>
      <c r="B133" t="str">
        <f>'Raw Orders'!B133</f>
        <v>North America</v>
      </c>
      <c r="C133" t="str">
        <f>'Raw Orders'!C133</f>
        <v>US / Canada</v>
      </c>
      <c r="D133" s="11">
        <f>'Raw Orders'!E133</f>
        <v>2.4</v>
      </c>
      <c r="E133" s="12">
        <f>'Raw Orders'!F133</f>
        <v>199200</v>
      </c>
      <c r="F133" s="12">
        <f>'Raw Orders'!F133*0.75</f>
        <v>149400</v>
      </c>
      <c r="G133" s="10">
        <f>'Raw Orders'!H133</f>
        <v>45627</v>
      </c>
      <c r="H133" s="10">
        <f>'Raw Orders'!I133</f>
        <v>45748</v>
      </c>
      <c r="I133" s="11">
        <f>'Raw Orders'!K133</f>
        <v>4.41</v>
      </c>
      <c r="J133" s="11">
        <f>IF('Raw Orders'!J133,"",(YEAR('Raw Orders'!I133)-YEAR('Raw Orders'!H133))*12+MONTH('Raw Orders'!I133)-MONTH('Raw Orders'!H133))</f>
        <v>4</v>
      </c>
      <c r="K133" t="str">
        <f>IF('Raw Orders'!J133,"Cancelled",IF('Raw Orders'!K133&gt;=2,"Slipped","On plan"))</f>
        <v>Slipped</v>
      </c>
      <c r="L133" s="12">
        <f t="shared" ref="L133:L196" si="2">IF(K133="On plan",0,F133)</f>
        <v>149400</v>
      </c>
    </row>
    <row r="134" spans="1:12" x14ac:dyDescent="0.3">
      <c r="A134" t="str">
        <f>'Raw Orders'!A134</f>
        <v>NX-00130</v>
      </c>
      <c r="B134" t="str">
        <f>'Raw Orders'!B134</f>
        <v>North America</v>
      </c>
      <c r="C134" t="str">
        <f>'Raw Orders'!C134</f>
        <v>US / Canada</v>
      </c>
      <c r="D134" s="11">
        <f>'Raw Orders'!E134</f>
        <v>23.4</v>
      </c>
      <c r="E134" s="12">
        <f>'Raw Orders'!F134</f>
        <v>1942200</v>
      </c>
      <c r="F134" s="12">
        <f>'Raw Orders'!F134*0.75</f>
        <v>1456650</v>
      </c>
      <c r="G134" s="10">
        <f>'Raw Orders'!H134</f>
        <v>45658</v>
      </c>
      <c r="H134" s="10">
        <f>'Raw Orders'!I134</f>
        <v>45658</v>
      </c>
      <c r="I134" s="11">
        <f>'Raw Orders'!K134</f>
        <v>0</v>
      </c>
      <c r="J134" s="11">
        <f>IF('Raw Orders'!J134,"",(YEAR('Raw Orders'!I134)-YEAR('Raw Orders'!H134))*12+MONTH('Raw Orders'!I134)-MONTH('Raw Orders'!H134))</f>
        <v>0</v>
      </c>
      <c r="K134" t="str">
        <f>IF('Raw Orders'!J134,"Cancelled",IF('Raw Orders'!K134&gt;=2,"Slipped","On plan"))</f>
        <v>On plan</v>
      </c>
      <c r="L134" s="12">
        <f t="shared" si="2"/>
        <v>0</v>
      </c>
    </row>
    <row r="135" spans="1:12" x14ac:dyDescent="0.3">
      <c r="A135" t="str">
        <f>'Raw Orders'!A135</f>
        <v>NX-00131</v>
      </c>
      <c r="B135" t="str">
        <f>'Raw Orders'!B135</f>
        <v>EMEA</v>
      </c>
      <c r="C135" t="str">
        <f>'Raw Orders'!C135</f>
        <v>Europe</v>
      </c>
      <c r="D135" s="11">
        <f>'Raw Orders'!E135</f>
        <v>5.3</v>
      </c>
      <c r="E135" s="12">
        <f>'Raw Orders'!F135</f>
        <v>466400</v>
      </c>
      <c r="F135" s="12">
        <f>'Raw Orders'!F135*0.75</f>
        <v>349800</v>
      </c>
      <c r="G135" s="10">
        <f>'Raw Orders'!H135</f>
        <v>45717</v>
      </c>
      <c r="H135" s="10">
        <f>'Raw Orders'!I135</f>
        <v>45717</v>
      </c>
      <c r="I135" s="11">
        <f>'Raw Orders'!K135</f>
        <v>0</v>
      </c>
      <c r="J135" s="11">
        <f>IF('Raw Orders'!J135,"",(YEAR('Raw Orders'!I135)-YEAR('Raw Orders'!H135))*12+MONTH('Raw Orders'!I135)-MONTH('Raw Orders'!H135))</f>
        <v>0</v>
      </c>
      <c r="K135" t="str">
        <f>IF('Raw Orders'!J135,"Cancelled",IF('Raw Orders'!K135&gt;=2,"Slipped","On plan"))</f>
        <v>On plan</v>
      </c>
      <c r="L135" s="12">
        <f t="shared" si="2"/>
        <v>0</v>
      </c>
    </row>
    <row r="136" spans="1:12" x14ac:dyDescent="0.3">
      <c r="A136" t="str">
        <f>'Raw Orders'!A136</f>
        <v>NX-00132</v>
      </c>
      <c r="B136" t="str">
        <f>'Raw Orders'!B136</f>
        <v>EMEA</v>
      </c>
      <c r="C136" t="str">
        <f>'Raw Orders'!C136</f>
        <v>Europe</v>
      </c>
      <c r="D136" s="11">
        <f>'Raw Orders'!E136</f>
        <v>5.9</v>
      </c>
      <c r="E136" s="12">
        <f>'Raw Orders'!F136</f>
        <v>519200.00000000012</v>
      </c>
      <c r="F136" s="12">
        <f>'Raw Orders'!F136*0.75</f>
        <v>389400.00000000012</v>
      </c>
      <c r="G136" s="10">
        <f>'Raw Orders'!H136</f>
        <v>45536</v>
      </c>
      <c r="H136" s="10">
        <f>'Raw Orders'!I136</f>
        <v>45658</v>
      </c>
      <c r="I136" s="11">
        <f>'Raw Orders'!K136</f>
        <v>3.94</v>
      </c>
      <c r="J136" s="11">
        <f>IF('Raw Orders'!J136,"",(YEAR('Raw Orders'!I136)-YEAR('Raw Orders'!H136))*12+MONTH('Raw Orders'!I136)-MONTH('Raw Orders'!H136))</f>
        <v>4</v>
      </c>
      <c r="K136" t="str">
        <f>IF('Raw Orders'!J136,"Cancelled",IF('Raw Orders'!K136&gt;=2,"Slipped","On plan"))</f>
        <v>Slipped</v>
      </c>
      <c r="L136" s="12">
        <f t="shared" si="2"/>
        <v>389400.00000000012</v>
      </c>
    </row>
    <row r="137" spans="1:12" x14ac:dyDescent="0.3">
      <c r="A137" t="str">
        <f>'Raw Orders'!A137</f>
        <v>NX-00133</v>
      </c>
      <c r="B137" t="str">
        <f>'Raw Orders'!B137</f>
        <v>EMEA</v>
      </c>
      <c r="C137" t="str">
        <f>'Raw Orders'!C137</f>
        <v>Europe</v>
      </c>
      <c r="D137" s="11">
        <f>'Raw Orders'!E137</f>
        <v>39.5</v>
      </c>
      <c r="E137" s="12">
        <f>'Raw Orders'!F137</f>
        <v>3476000</v>
      </c>
      <c r="F137" s="12">
        <f>'Raw Orders'!F137*0.75</f>
        <v>2607000</v>
      </c>
      <c r="G137" s="10">
        <f>'Raw Orders'!H137</f>
        <v>45717</v>
      </c>
      <c r="H137" s="10">
        <f>'Raw Orders'!I137</f>
        <v>45717</v>
      </c>
      <c r="I137" s="11">
        <f>'Raw Orders'!K137</f>
        <v>0.41</v>
      </c>
      <c r="J137" s="11">
        <f>IF('Raw Orders'!J137,"",(YEAR('Raw Orders'!I137)-YEAR('Raw Orders'!H137))*12+MONTH('Raw Orders'!I137)-MONTH('Raw Orders'!H137))</f>
        <v>0</v>
      </c>
      <c r="K137" t="str">
        <f>IF('Raw Orders'!J137,"Cancelled",IF('Raw Orders'!K137&gt;=2,"Slipped","On plan"))</f>
        <v>On plan</v>
      </c>
      <c r="L137" s="12">
        <f t="shared" si="2"/>
        <v>0</v>
      </c>
    </row>
    <row r="138" spans="1:12" x14ac:dyDescent="0.3">
      <c r="A138" t="str">
        <f>'Raw Orders'!A138</f>
        <v>NX-00134</v>
      </c>
      <c r="B138" t="str">
        <f>'Raw Orders'!B138</f>
        <v>EMEA</v>
      </c>
      <c r="C138" t="str">
        <f>'Raw Orders'!C138</f>
        <v>MENA</v>
      </c>
      <c r="D138" s="11">
        <f>'Raw Orders'!E138</f>
        <v>15.3</v>
      </c>
      <c r="E138" s="12">
        <f>'Raw Orders'!F138</f>
        <v>1239300</v>
      </c>
      <c r="F138" s="12">
        <f>'Raw Orders'!F138*0.75</f>
        <v>929475</v>
      </c>
      <c r="G138" s="10">
        <f>'Raw Orders'!H138</f>
        <v>45566</v>
      </c>
      <c r="H138" s="10">
        <f>'Raw Orders'!I138</f>
        <v>45566</v>
      </c>
      <c r="I138" s="11">
        <f>'Raw Orders'!K138</f>
        <v>0.03</v>
      </c>
      <c r="J138" s="11">
        <f>IF('Raw Orders'!J138,"",(YEAR('Raw Orders'!I138)-YEAR('Raw Orders'!H138))*12+MONTH('Raw Orders'!I138)-MONTH('Raw Orders'!H138))</f>
        <v>0</v>
      </c>
      <c r="K138" t="str">
        <f>IF('Raw Orders'!J138,"Cancelled",IF('Raw Orders'!K138&gt;=2,"Slipped","On plan"))</f>
        <v>On plan</v>
      </c>
      <c r="L138" s="12">
        <f t="shared" si="2"/>
        <v>0</v>
      </c>
    </row>
    <row r="139" spans="1:12" x14ac:dyDescent="0.3">
      <c r="A139" t="str">
        <f>'Raw Orders'!A139</f>
        <v>NX-00135</v>
      </c>
      <c r="B139" t="str">
        <f>'Raw Orders'!B139</f>
        <v>APAC</v>
      </c>
      <c r="C139" t="str">
        <f>'Raw Orders'!C139</f>
        <v>India</v>
      </c>
      <c r="D139" s="11">
        <f>'Raw Orders'!E139</f>
        <v>24.8</v>
      </c>
      <c r="E139" s="12">
        <f>'Raw Orders'!F139</f>
        <v>1760800</v>
      </c>
      <c r="F139" s="12">
        <f>'Raw Orders'!F139*0.75</f>
        <v>1320600</v>
      </c>
      <c r="G139" s="10">
        <f>'Raw Orders'!H139</f>
        <v>45658</v>
      </c>
      <c r="H139" s="10">
        <f>'Raw Orders'!I139</f>
        <v>45778</v>
      </c>
      <c r="I139" s="11">
        <f>'Raw Orders'!K139</f>
        <v>3.6</v>
      </c>
      <c r="J139" s="11">
        <f>IF('Raw Orders'!J139,"",(YEAR('Raw Orders'!I139)-YEAR('Raw Orders'!H139))*12+MONTH('Raw Orders'!I139)-MONTH('Raw Orders'!H139))</f>
        <v>4</v>
      </c>
      <c r="K139" t="str">
        <f>IF('Raw Orders'!J139,"Cancelled",IF('Raw Orders'!K139&gt;=2,"Slipped","On plan"))</f>
        <v>Slipped</v>
      </c>
      <c r="L139" s="12">
        <f t="shared" si="2"/>
        <v>1320600</v>
      </c>
    </row>
    <row r="140" spans="1:12" x14ac:dyDescent="0.3">
      <c r="A140" t="str">
        <f>'Raw Orders'!A140</f>
        <v>NX-00136</v>
      </c>
      <c r="B140" t="str">
        <f>'Raw Orders'!B140</f>
        <v>APAC</v>
      </c>
      <c r="C140" t="str">
        <f>'Raw Orders'!C140</f>
        <v>India</v>
      </c>
      <c r="D140" s="11">
        <f>'Raw Orders'!E140</f>
        <v>19.2</v>
      </c>
      <c r="E140" s="12">
        <f>'Raw Orders'!F140</f>
        <v>1363200</v>
      </c>
      <c r="F140" s="12">
        <f>'Raw Orders'!F140*0.75</f>
        <v>1022400</v>
      </c>
      <c r="G140" s="10">
        <f>'Raw Orders'!H140</f>
        <v>45597</v>
      </c>
      <c r="H140" s="10">
        <f>'Raw Orders'!I140</f>
        <v>45717</v>
      </c>
      <c r="I140" s="11">
        <f>'Raw Orders'!K140</f>
        <v>4.1100000000000003</v>
      </c>
      <c r="J140" s="11">
        <f>IF('Raw Orders'!J140,"",(YEAR('Raw Orders'!I140)-YEAR('Raw Orders'!H140))*12+MONTH('Raw Orders'!I140)-MONTH('Raw Orders'!H140))</f>
        <v>4</v>
      </c>
      <c r="K140" t="str">
        <f>IF('Raw Orders'!J140,"Cancelled",IF('Raw Orders'!K140&gt;=2,"Slipped","On plan"))</f>
        <v>Slipped</v>
      </c>
      <c r="L140" s="12">
        <f t="shared" si="2"/>
        <v>1022400</v>
      </c>
    </row>
    <row r="141" spans="1:12" x14ac:dyDescent="0.3">
      <c r="A141" t="str">
        <f>'Raw Orders'!A141</f>
        <v>NX-00137</v>
      </c>
      <c r="B141" t="str">
        <f>'Raw Orders'!B141</f>
        <v>APAC</v>
      </c>
      <c r="C141" t="str">
        <f>'Raw Orders'!C141</f>
        <v>India</v>
      </c>
      <c r="D141" s="11">
        <f>'Raw Orders'!E141</f>
        <v>33</v>
      </c>
      <c r="E141" s="12">
        <f>'Raw Orders'!F141</f>
        <v>2343000</v>
      </c>
      <c r="F141" s="12">
        <f>'Raw Orders'!F141*0.75</f>
        <v>1757250</v>
      </c>
      <c r="G141" s="10">
        <f>'Raw Orders'!H141</f>
        <v>45689</v>
      </c>
      <c r="H141" s="10">
        <f>'Raw Orders'!I141</f>
        <v>0</v>
      </c>
      <c r="I141" s="11">
        <f>'Raw Orders'!K141</f>
        <v>0.02</v>
      </c>
      <c r="J141" s="11" t="str">
        <f>IF('Raw Orders'!J141,"",(YEAR('Raw Orders'!I141)-YEAR('Raw Orders'!H141))*12+MONTH('Raw Orders'!I141)-MONTH('Raw Orders'!H141))</f>
        <v/>
      </c>
      <c r="K141" t="str">
        <f>IF('Raw Orders'!J141,"Cancelled",IF('Raw Orders'!K141&gt;=2,"Slipped","On plan"))</f>
        <v>Cancelled</v>
      </c>
      <c r="L141" s="12">
        <f t="shared" si="2"/>
        <v>1757250</v>
      </c>
    </row>
    <row r="142" spans="1:12" x14ac:dyDescent="0.3">
      <c r="A142" t="str">
        <f>'Raw Orders'!A142</f>
        <v>NX-00138</v>
      </c>
      <c r="B142" t="str">
        <f>'Raw Orders'!B142</f>
        <v>APAC</v>
      </c>
      <c r="C142" t="str">
        <f>'Raw Orders'!C142</f>
        <v>Australia/SEA</v>
      </c>
      <c r="D142" s="11">
        <f>'Raw Orders'!E142</f>
        <v>10.8</v>
      </c>
      <c r="E142" s="12">
        <f>'Raw Orders'!F142</f>
        <v>907200</v>
      </c>
      <c r="F142" s="12">
        <f>'Raw Orders'!F142*0.75</f>
        <v>680400</v>
      </c>
      <c r="G142" s="10">
        <f>'Raw Orders'!H142</f>
        <v>45627</v>
      </c>
      <c r="H142" s="10">
        <f>'Raw Orders'!I142</f>
        <v>45658</v>
      </c>
      <c r="I142" s="11">
        <f>'Raw Orders'!K142</f>
        <v>0.85</v>
      </c>
      <c r="J142" s="11">
        <f>IF('Raw Orders'!J142,"",(YEAR('Raw Orders'!I142)-YEAR('Raw Orders'!H142))*12+MONTH('Raw Orders'!I142)-MONTH('Raw Orders'!H142))</f>
        <v>1</v>
      </c>
      <c r="K142" t="str">
        <f>IF('Raw Orders'!J142,"Cancelled",IF('Raw Orders'!K142&gt;=2,"Slipped","On plan"))</f>
        <v>On plan</v>
      </c>
      <c r="L142" s="12">
        <f t="shared" si="2"/>
        <v>0</v>
      </c>
    </row>
    <row r="143" spans="1:12" x14ac:dyDescent="0.3">
      <c r="A143" t="str">
        <f>'Raw Orders'!A143</f>
        <v>NX-00139</v>
      </c>
      <c r="B143" t="str">
        <f>'Raw Orders'!B143</f>
        <v>LATAM</v>
      </c>
      <c r="C143" t="str">
        <f>'Raw Orders'!C143</f>
        <v>LATAM</v>
      </c>
      <c r="D143" s="11">
        <f>'Raw Orders'!E143</f>
        <v>70.900000000000006</v>
      </c>
      <c r="E143" s="12">
        <f>'Raw Orders'!F143</f>
        <v>5601100</v>
      </c>
      <c r="F143" s="12">
        <f>'Raw Orders'!F143*0.75</f>
        <v>4200825</v>
      </c>
      <c r="G143" s="10">
        <f>'Raw Orders'!H143</f>
        <v>45536</v>
      </c>
      <c r="H143" s="10">
        <f>'Raw Orders'!I143</f>
        <v>45597</v>
      </c>
      <c r="I143" s="11">
        <f>'Raw Orders'!K143</f>
        <v>1.55</v>
      </c>
      <c r="J143" s="11">
        <f>IF('Raw Orders'!J143,"",(YEAR('Raw Orders'!I143)-YEAR('Raw Orders'!H143))*12+MONTH('Raw Orders'!I143)-MONTH('Raw Orders'!H143))</f>
        <v>2</v>
      </c>
      <c r="K143" t="str">
        <f>IF('Raw Orders'!J143,"Cancelled",IF('Raw Orders'!K143&gt;=2,"Slipped","On plan"))</f>
        <v>On plan</v>
      </c>
      <c r="L143" s="12">
        <f t="shared" si="2"/>
        <v>0</v>
      </c>
    </row>
    <row r="144" spans="1:12" x14ac:dyDescent="0.3">
      <c r="A144" t="str">
        <f>'Raw Orders'!A144</f>
        <v>NX-00140</v>
      </c>
      <c r="B144" t="str">
        <f>'Raw Orders'!B144</f>
        <v>LATAM</v>
      </c>
      <c r="C144" t="str">
        <f>'Raw Orders'!C144</f>
        <v>LATAM</v>
      </c>
      <c r="D144" s="11">
        <f>'Raw Orders'!E144</f>
        <v>4.5999999999999996</v>
      </c>
      <c r="E144" s="12">
        <f>'Raw Orders'!F144</f>
        <v>363400</v>
      </c>
      <c r="F144" s="12">
        <f>'Raw Orders'!F144*0.75</f>
        <v>272550</v>
      </c>
      <c r="G144" s="10">
        <f>'Raw Orders'!H144</f>
        <v>45689</v>
      </c>
      <c r="H144" s="10">
        <f>'Raw Orders'!I144</f>
        <v>0</v>
      </c>
      <c r="I144" s="11">
        <f>'Raw Orders'!K144</f>
        <v>0.95</v>
      </c>
      <c r="J144" s="11" t="str">
        <f>IF('Raw Orders'!J144,"",(YEAR('Raw Orders'!I144)-YEAR('Raw Orders'!H144))*12+MONTH('Raw Orders'!I144)-MONTH('Raw Orders'!H144))</f>
        <v/>
      </c>
      <c r="K144" t="str">
        <f>IF('Raw Orders'!J144,"Cancelled",IF('Raw Orders'!K144&gt;=2,"Slipped","On plan"))</f>
        <v>Cancelled</v>
      </c>
      <c r="L144" s="12">
        <f t="shared" si="2"/>
        <v>272550</v>
      </c>
    </row>
    <row r="145" spans="1:12" x14ac:dyDescent="0.3">
      <c r="A145" t="str">
        <f>'Raw Orders'!A145</f>
        <v>NX-00141</v>
      </c>
      <c r="B145" t="str">
        <f>'Raw Orders'!B145</f>
        <v>North America</v>
      </c>
      <c r="C145" t="str">
        <f>'Raw Orders'!C145</f>
        <v>US / Canada</v>
      </c>
      <c r="D145" s="11">
        <f>'Raw Orders'!E145</f>
        <v>10</v>
      </c>
      <c r="E145" s="12">
        <f>'Raw Orders'!F145</f>
        <v>830000</v>
      </c>
      <c r="F145" s="12">
        <f>'Raw Orders'!F145*0.75</f>
        <v>622500</v>
      </c>
      <c r="G145" s="10">
        <f>'Raw Orders'!H145</f>
        <v>45597</v>
      </c>
      <c r="H145" s="10">
        <f>'Raw Orders'!I145</f>
        <v>45597</v>
      </c>
      <c r="I145" s="11">
        <f>'Raw Orders'!K145</f>
        <v>0.44</v>
      </c>
      <c r="J145" s="11">
        <f>IF('Raw Orders'!J145,"",(YEAR('Raw Orders'!I145)-YEAR('Raw Orders'!H145))*12+MONTH('Raw Orders'!I145)-MONTH('Raw Orders'!H145))</f>
        <v>0</v>
      </c>
      <c r="K145" t="str">
        <f>IF('Raw Orders'!J145,"Cancelled",IF('Raw Orders'!K145&gt;=2,"Slipped","On plan"))</f>
        <v>On plan</v>
      </c>
      <c r="L145" s="12">
        <f t="shared" si="2"/>
        <v>0</v>
      </c>
    </row>
    <row r="146" spans="1:12" x14ac:dyDescent="0.3">
      <c r="A146" t="str">
        <f>'Raw Orders'!A146</f>
        <v>NX-00142</v>
      </c>
      <c r="B146" t="str">
        <f>'Raw Orders'!B146</f>
        <v>North America</v>
      </c>
      <c r="C146" t="str">
        <f>'Raw Orders'!C146</f>
        <v>US / Canada</v>
      </c>
      <c r="D146" s="11">
        <f>'Raw Orders'!E146</f>
        <v>9</v>
      </c>
      <c r="E146" s="12">
        <f>'Raw Orders'!F146</f>
        <v>747000</v>
      </c>
      <c r="F146" s="12">
        <f>'Raw Orders'!F146*0.75</f>
        <v>560250</v>
      </c>
      <c r="G146" s="10">
        <f>'Raw Orders'!H146</f>
        <v>45597</v>
      </c>
      <c r="H146" s="10">
        <f>'Raw Orders'!I146</f>
        <v>45778</v>
      </c>
      <c r="I146" s="11">
        <f>'Raw Orders'!K146</f>
        <v>6.26</v>
      </c>
      <c r="J146" s="11">
        <f>IF('Raw Orders'!J146,"",(YEAR('Raw Orders'!I146)-YEAR('Raw Orders'!H146))*12+MONTH('Raw Orders'!I146)-MONTH('Raw Orders'!H146))</f>
        <v>6</v>
      </c>
      <c r="K146" t="str">
        <f>IF('Raw Orders'!J146,"Cancelled",IF('Raw Orders'!K146&gt;=2,"Slipped","On plan"))</f>
        <v>Slipped</v>
      </c>
      <c r="L146" s="12">
        <f t="shared" si="2"/>
        <v>560250</v>
      </c>
    </row>
    <row r="147" spans="1:12" x14ac:dyDescent="0.3">
      <c r="A147" t="str">
        <f>'Raw Orders'!A147</f>
        <v>NX-00143</v>
      </c>
      <c r="B147" t="str">
        <f>'Raw Orders'!B147</f>
        <v>North America</v>
      </c>
      <c r="C147" t="str">
        <f>'Raw Orders'!C147</f>
        <v>US / Canada</v>
      </c>
      <c r="D147" s="11">
        <f>'Raw Orders'!E147</f>
        <v>98.4</v>
      </c>
      <c r="E147" s="12">
        <f>'Raw Orders'!F147</f>
        <v>8167200.0000000009</v>
      </c>
      <c r="F147" s="12">
        <f>'Raw Orders'!F147*0.75</f>
        <v>6125400.0000000009</v>
      </c>
      <c r="G147" s="10">
        <f>'Raw Orders'!H147</f>
        <v>45627</v>
      </c>
      <c r="H147" s="10">
        <f>'Raw Orders'!I147</f>
        <v>45658</v>
      </c>
      <c r="I147" s="11">
        <f>'Raw Orders'!K147</f>
        <v>0.55000000000000004</v>
      </c>
      <c r="J147" s="11">
        <f>IF('Raw Orders'!J147,"",(YEAR('Raw Orders'!I147)-YEAR('Raw Orders'!H147))*12+MONTH('Raw Orders'!I147)-MONTH('Raw Orders'!H147))</f>
        <v>1</v>
      </c>
      <c r="K147" t="str">
        <f>IF('Raw Orders'!J147,"Cancelled",IF('Raw Orders'!K147&gt;=2,"Slipped","On plan"))</f>
        <v>On plan</v>
      </c>
      <c r="L147" s="12">
        <f t="shared" si="2"/>
        <v>0</v>
      </c>
    </row>
    <row r="148" spans="1:12" x14ac:dyDescent="0.3">
      <c r="A148" t="str">
        <f>'Raw Orders'!A148</f>
        <v>NX-00144</v>
      </c>
      <c r="B148" t="str">
        <f>'Raw Orders'!B148</f>
        <v>North America</v>
      </c>
      <c r="C148" t="str">
        <f>'Raw Orders'!C148</f>
        <v>US / Canada</v>
      </c>
      <c r="D148" s="11">
        <f>'Raw Orders'!E148</f>
        <v>15.6</v>
      </c>
      <c r="E148" s="12">
        <f>'Raw Orders'!F148</f>
        <v>1294800</v>
      </c>
      <c r="F148" s="12">
        <f>'Raw Orders'!F148*0.75</f>
        <v>971100</v>
      </c>
      <c r="G148" s="10">
        <f>'Raw Orders'!H148</f>
        <v>45748</v>
      </c>
      <c r="H148" s="10">
        <f>'Raw Orders'!I148</f>
        <v>45748</v>
      </c>
      <c r="I148" s="11">
        <f>'Raw Orders'!K148</f>
        <v>7.0000000000000007E-2</v>
      </c>
      <c r="J148" s="11">
        <f>IF('Raw Orders'!J148,"",(YEAR('Raw Orders'!I148)-YEAR('Raw Orders'!H148))*12+MONTH('Raw Orders'!I148)-MONTH('Raw Orders'!H148))</f>
        <v>0</v>
      </c>
      <c r="K148" t="str">
        <f>IF('Raw Orders'!J148,"Cancelled",IF('Raw Orders'!K148&gt;=2,"Slipped","On plan"))</f>
        <v>On plan</v>
      </c>
      <c r="L148" s="12">
        <f t="shared" si="2"/>
        <v>0</v>
      </c>
    </row>
    <row r="149" spans="1:12" x14ac:dyDescent="0.3">
      <c r="A149" t="str">
        <f>'Raw Orders'!A149</f>
        <v>NX-00145</v>
      </c>
      <c r="B149" t="str">
        <f>'Raw Orders'!B149</f>
        <v>North America</v>
      </c>
      <c r="C149" t="str">
        <f>'Raw Orders'!C149</f>
        <v>US / Canada</v>
      </c>
      <c r="D149" s="11">
        <f>'Raw Orders'!E149</f>
        <v>4.2</v>
      </c>
      <c r="E149" s="12">
        <f>'Raw Orders'!F149</f>
        <v>348600</v>
      </c>
      <c r="F149" s="12">
        <f>'Raw Orders'!F149*0.75</f>
        <v>261450</v>
      </c>
      <c r="G149" s="10">
        <f>'Raw Orders'!H149</f>
        <v>45597</v>
      </c>
      <c r="H149" s="10">
        <f>'Raw Orders'!I149</f>
        <v>45658</v>
      </c>
      <c r="I149" s="11">
        <f>'Raw Orders'!K149</f>
        <v>1.75</v>
      </c>
      <c r="J149" s="11">
        <f>IF('Raw Orders'!J149,"",(YEAR('Raw Orders'!I149)-YEAR('Raw Orders'!H149))*12+MONTH('Raw Orders'!I149)-MONTH('Raw Orders'!H149))</f>
        <v>2</v>
      </c>
      <c r="K149" t="str">
        <f>IF('Raw Orders'!J149,"Cancelled",IF('Raw Orders'!K149&gt;=2,"Slipped","On plan"))</f>
        <v>On plan</v>
      </c>
      <c r="L149" s="12">
        <f t="shared" si="2"/>
        <v>0</v>
      </c>
    </row>
    <row r="150" spans="1:12" x14ac:dyDescent="0.3">
      <c r="A150" t="str">
        <f>'Raw Orders'!A150</f>
        <v>NX-00146</v>
      </c>
      <c r="B150" t="str">
        <f>'Raw Orders'!B150</f>
        <v>North America</v>
      </c>
      <c r="C150" t="str">
        <f>'Raw Orders'!C150</f>
        <v>US / Canada</v>
      </c>
      <c r="D150" s="11">
        <f>'Raw Orders'!E150</f>
        <v>16.399999999999999</v>
      </c>
      <c r="E150" s="12">
        <f>'Raw Orders'!F150</f>
        <v>1361200</v>
      </c>
      <c r="F150" s="12">
        <f>'Raw Orders'!F150*0.75</f>
        <v>1020900</v>
      </c>
      <c r="G150" s="10">
        <f>'Raw Orders'!H150</f>
        <v>45689</v>
      </c>
      <c r="H150" s="10">
        <f>'Raw Orders'!I150</f>
        <v>45717</v>
      </c>
      <c r="I150" s="11">
        <f>'Raw Orders'!K150</f>
        <v>0.52</v>
      </c>
      <c r="J150" s="11">
        <f>IF('Raw Orders'!J150,"",(YEAR('Raw Orders'!I150)-YEAR('Raw Orders'!H150))*12+MONTH('Raw Orders'!I150)-MONTH('Raw Orders'!H150))</f>
        <v>1</v>
      </c>
      <c r="K150" t="str">
        <f>IF('Raw Orders'!J150,"Cancelled",IF('Raw Orders'!K150&gt;=2,"Slipped","On plan"))</f>
        <v>On plan</v>
      </c>
      <c r="L150" s="12">
        <f t="shared" si="2"/>
        <v>0</v>
      </c>
    </row>
    <row r="151" spans="1:12" x14ac:dyDescent="0.3">
      <c r="A151" t="str">
        <f>'Raw Orders'!A151</f>
        <v>NX-00147</v>
      </c>
      <c r="B151" t="str">
        <f>'Raw Orders'!B151</f>
        <v>North America</v>
      </c>
      <c r="C151" t="str">
        <f>'Raw Orders'!C151</f>
        <v>US / Canada</v>
      </c>
      <c r="D151" s="11">
        <f>'Raw Orders'!E151</f>
        <v>8.6</v>
      </c>
      <c r="E151" s="12">
        <f>'Raw Orders'!F151</f>
        <v>713800</v>
      </c>
      <c r="F151" s="12">
        <f>'Raw Orders'!F151*0.75</f>
        <v>535350</v>
      </c>
      <c r="G151" s="10">
        <f>'Raw Orders'!H151</f>
        <v>45717</v>
      </c>
      <c r="H151" s="10">
        <f>'Raw Orders'!I151</f>
        <v>45717</v>
      </c>
      <c r="I151" s="11">
        <f>'Raw Orders'!K151</f>
        <v>0</v>
      </c>
      <c r="J151" s="11">
        <f>IF('Raw Orders'!J151,"",(YEAR('Raw Orders'!I151)-YEAR('Raw Orders'!H151))*12+MONTH('Raw Orders'!I151)-MONTH('Raw Orders'!H151))</f>
        <v>0</v>
      </c>
      <c r="K151" t="str">
        <f>IF('Raw Orders'!J151,"Cancelled",IF('Raw Orders'!K151&gt;=2,"Slipped","On plan"))</f>
        <v>On plan</v>
      </c>
      <c r="L151" s="12">
        <f t="shared" si="2"/>
        <v>0</v>
      </c>
    </row>
    <row r="152" spans="1:12" x14ac:dyDescent="0.3">
      <c r="A152" t="str">
        <f>'Raw Orders'!A152</f>
        <v>NX-00148</v>
      </c>
      <c r="B152" t="str">
        <f>'Raw Orders'!B152</f>
        <v>North America</v>
      </c>
      <c r="C152" t="str">
        <f>'Raw Orders'!C152</f>
        <v>US / Canada</v>
      </c>
      <c r="D152" s="11">
        <f>'Raw Orders'!E152</f>
        <v>10.4</v>
      </c>
      <c r="E152" s="12">
        <f>'Raw Orders'!F152</f>
        <v>863200</v>
      </c>
      <c r="F152" s="12">
        <f>'Raw Orders'!F152*0.75</f>
        <v>647400</v>
      </c>
      <c r="G152" s="10">
        <f>'Raw Orders'!H152</f>
        <v>45717</v>
      </c>
      <c r="H152" s="10">
        <f>'Raw Orders'!I152</f>
        <v>45717</v>
      </c>
      <c r="I152" s="11">
        <f>'Raw Orders'!K152</f>
        <v>0.01</v>
      </c>
      <c r="J152" s="11">
        <f>IF('Raw Orders'!J152,"",(YEAR('Raw Orders'!I152)-YEAR('Raw Orders'!H152))*12+MONTH('Raw Orders'!I152)-MONTH('Raw Orders'!H152))</f>
        <v>0</v>
      </c>
      <c r="K152" t="str">
        <f>IF('Raw Orders'!J152,"Cancelled",IF('Raw Orders'!K152&gt;=2,"Slipped","On plan"))</f>
        <v>On plan</v>
      </c>
      <c r="L152" s="12">
        <f t="shared" si="2"/>
        <v>0</v>
      </c>
    </row>
    <row r="153" spans="1:12" x14ac:dyDescent="0.3">
      <c r="A153" t="str">
        <f>'Raw Orders'!A153</f>
        <v>NX-00149</v>
      </c>
      <c r="B153" t="str">
        <f>'Raw Orders'!B153</f>
        <v>North America</v>
      </c>
      <c r="C153" t="str">
        <f>'Raw Orders'!C153</f>
        <v>US / Canada</v>
      </c>
      <c r="D153" s="11">
        <f>'Raw Orders'!E153</f>
        <v>9.1999999999999993</v>
      </c>
      <c r="E153" s="12">
        <f>'Raw Orders'!F153</f>
        <v>763599.99999999988</v>
      </c>
      <c r="F153" s="12">
        <f>'Raw Orders'!F153*0.75</f>
        <v>572699.99999999988</v>
      </c>
      <c r="G153" s="10">
        <f>'Raw Orders'!H153</f>
        <v>45748</v>
      </c>
      <c r="H153" s="10">
        <f>'Raw Orders'!I153</f>
        <v>45748</v>
      </c>
      <c r="I153" s="11">
        <f>'Raw Orders'!K153</f>
        <v>0.11</v>
      </c>
      <c r="J153" s="11">
        <f>IF('Raw Orders'!J153,"",(YEAR('Raw Orders'!I153)-YEAR('Raw Orders'!H153))*12+MONTH('Raw Orders'!I153)-MONTH('Raw Orders'!H153))</f>
        <v>0</v>
      </c>
      <c r="K153" t="str">
        <f>IF('Raw Orders'!J153,"Cancelled",IF('Raw Orders'!K153&gt;=2,"Slipped","On plan"))</f>
        <v>On plan</v>
      </c>
      <c r="L153" s="12">
        <f t="shared" si="2"/>
        <v>0</v>
      </c>
    </row>
    <row r="154" spans="1:12" x14ac:dyDescent="0.3">
      <c r="A154" t="str">
        <f>'Raw Orders'!A154</f>
        <v>NX-00150</v>
      </c>
      <c r="B154" t="str">
        <f>'Raw Orders'!B154</f>
        <v>North America</v>
      </c>
      <c r="C154" t="str">
        <f>'Raw Orders'!C154</f>
        <v>US / Canada</v>
      </c>
      <c r="D154" s="11">
        <f>'Raw Orders'!E154</f>
        <v>22.5</v>
      </c>
      <c r="E154" s="12">
        <f>'Raw Orders'!F154</f>
        <v>1867500</v>
      </c>
      <c r="F154" s="12">
        <f>'Raw Orders'!F154*0.75</f>
        <v>1400625</v>
      </c>
      <c r="G154" s="10">
        <f>'Raw Orders'!H154</f>
        <v>45748</v>
      </c>
      <c r="H154" s="10">
        <f>'Raw Orders'!I154</f>
        <v>45748</v>
      </c>
      <c r="I154" s="11">
        <f>'Raw Orders'!K154</f>
        <v>0.08</v>
      </c>
      <c r="J154" s="11">
        <f>IF('Raw Orders'!J154,"",(YEAR('Raw Orders'!I154)-YEAR('Raw Orders'!H154))*12+MONTH('Raw Orders'!I154)-MONTH('Raw Orders'!H154))</f>
        <v>0</v>
      </c>
      <c r="K154" t="str">
        <f>IF('Raw Orders'!J154,"Cancelled",IF('Raw Orders'!K154&gt;=2,"Slipped","On plan"))</f>
        <v>On plan</v>
      </c>
      <c r="L154" s="12">
        <f t="shared" si="2"/>
        <v>0</v>
      </c>
    </row>
    <row r="155" spans="1:12" x14ac:dyDescent="0.3">
      <c r="A155" t="str">
        <f>'Raw Orders'!A155</f>
        <v>NX-00151</v>
      </c>
      <c r="B155" t="str">
        <f>'Raw Orders'!B155</f>
        <v>North America</v>
      </c>
      <c r="C155" t="str">
        <f>'Raw Orders'!C155</f>
        <v>US / Canada</v>
      </c>
      <c r="D155" s="11">
        <f>'Raw Orders'!E155</f>
        <v>12.3</v>
      </c>
      <c r="E155" s="12">
        <f>'Raw Orders'!F155</f>
        <v>1020900</v>
      </c>
      <c r="F155" s="12">
        <f>'Raw Orders'!F155*0.75</f>
        <v>765675</v>
      </c>
      <c r="G155" s="10">
        <f>'Raw Orders'!H155</f>
        <v>45597</v>
      </c>
      <c r="H155" s="10">
        <f>'Raw Orders'!I155</f>
        <v>45627</v>
      </c>
      <c r="I155" s="11">
        <f>'Raw Orders'!K155</f>
        <v>0.85</v>
      </c>
      <c r="J155" s="11">
        <f>IF('Raw Orders'!J155,"",(YEAR('Raw Orders'!I155)-YEAR('Raw Orders'!H155))*12+MONTH('Raw Orders'!I155)-MONTH('Raw Orders'!H155))</f>
        <v>1</v>
      </c>
      <c r="K155" t="str">
        <f>IF('Raw Orders'!J155,"Cancelled",IF('Raw Orders'!K155&gt;=2,"Slipped","On plan"))</f>
        <v>On plan</v>
      </c>
      <c r="L155" s="12">
        <f t="shared" si="2"/>
        <v>0</v>
      </c>
    </row>
    <row r="156" spans="1:12" x14ac:dyDescent="0.3">
      <c r="A156" t="str">
        <f>'Raw Orders'!A156</f>
        <v>NX-00152</v>
      </c>
      <c r="B156" t="str">
        <f>'Raw Orders'!B156</f>
        <v>North America</v>
      </c>
      <c r="C156" t="str">
        <f>'Raw Orders'!C156</f>
        <v>US / Canada</v>
      </c>
      <c r="D156" s="11">
        <f>'Raw Orders'!E156</f>
        <v>3</v>
      </c>
      <c r="E156" s="12">
        <f>'Raw Orders'!F156</f>
        <v>249000</v>
      </c>
      <c r="F156" s="12">
        <f>'Raw Orders'!F156*0.75</f>
        <v>186750</v>
      </c>
      <c r="G156" s="10">
        <f>'Raw Orders'!H156</f>
        <v>45658</v>
      </c>
      <c r="H156" s="10">
        <f>'Raw Orders'!I156</f>
        <v>45658</v>
      </c>
      <c r="I156" s="11">
        <f>'Raw Orders'!K156</f>
        <v>0</v>
      </c>
      <c r="J156" s="11">
        <f>IF('Raw Orders'!J156,"",(YEAR('Raw Orders'!I156)-YEAR('Raw Orders'!H156))*12+MONTH('Raw Orders'!I156)-MONTH('Raw Orders'!H156))</f>
        <v>0</v>
      </c>
      <c r="K156" t="str">
        <f>IF('Raw Orders'!J156,"Cancelled",IF('Raw Orders'!K156&gt;=2,"Slipped","On plan"))</f>
        <v>On plan</v>
      </c>
      <c r="L156" s="12">
        <f t="shared" si="2"/>
        <v>0</v>
      </c>
    </row>
    <row r="157" spans="1:12" x14ac:dyDescent="0.3">
      <c r="A157" t="str">
        <f>'Raw Orders'!A157</f>
        <v>NX-00153</v>
      </c>
      <c r="B157" t="str">
        <f>'Raw Orders'!B157</f>
        <v>North America</v>
      </c>
      <c r="C157" t="str">
        <f>'Raw Orders'!C157</f>
        <v>US / Canada</v>
      </c>
      <c r="D157" s="11">
        <f>'Raw Orders'!E157</f>
        <v>15.9</v>
      </c>
      <c r="E157" s="12">
        <f>'Raw Orders'!F157</f>
        <v>1319700</v>
      </c>
      <c r="F157" s="12">
        <f>'Raw Orders'!F157*0.75</f>
        <v>989775</v>
      </c>
      <c r="G157" s="10">
        <f>'Raw Orders'!H157</f>
        <v>45717</v>
      </c>
      <c r="H157" s="10">
        <f>'Raw Orders'!I157</f>
        <v>45839</v>
      </c>
      <c r="I157" s="11">
        <f>'Raw Orders'!K157</f>
        <v>3.74</v>
      </c>
      <c r="J157" s="11">
        <f>IF('Raw Orders'!J157,"",(YEAR('Raw Orders'!I157)-YEAR('Raw Orders'!H157))*12+MONTH('Raw Orders'!I157)-MONTH('Raw Orders'!H157))</f>
        <v>4</v>
      </c>
      <c r="K157" t="str">
        <f>IF('Raw Orders'!J157,"Cancelled",IF('Raw Orders'!K157&gt;=2,"Slipped","On plan"))</f>
        <v>Slipped</v>
      </c>
      <c r="L157" s="12">
        <f t="shared" si="2"/>
        <v>989775</v>
      </c>
    </row>
    <row r="158" spans="1:12" x14ac:dyDescent="0.3">
      <c r="A158" t="str">
        <f>'Raw Orders'!A158</f>
        <v>NX-00154</v>
      </c>
      <c r="B158" t="str">
        <f>'Raw Orders'!B158</f>
        <v>North America</v>
      </c>
      <c r="C158" t="str">
        <f>'Raw Orders'!C158</f>
        <v>US / Canada</v>
      </c>
      <c r="D158" s="11">
        <f>'Raw Orders'!E158</f>
        <v>24.6</v>
      </c>
      <c r="E158" s="12">
        <f>'Raw Orders'!F158</f>
        <v>2041800</v>
      </c>
      <c r="F158" s="12">
        <f>'Raw Orders'!F158*0.75</f>
        <v>1531350</v>
      </c>
      <c r="G158" s="10">
        <f>'Raw Orders'!H158</f>
        <v>45627</v>
      </c>
      <c r="H158" s="10">
        <f>'Raw Orders'!I158</f>
        <v>45627</v>
      </c>
      <c r="I158" s="11">
        <f>'Raw Orders'!K158</f>
        <v>0</v>
      </c>
      <c r="J158" s="11">
        <f>IF('Raw Orders'!J158,"",(YEAR('Raw Orders'!I158)-YEAR('Raw Orders'!H158))*12+MONTH('Raw Orders'!I158)-MONTH('Raw Orders'!H158))</f>
        <v>0</v>
      </c>
      <c r="K158" t="str">
        <f>IF('Raw Orders'!J158,"Cancelled",IF('Raw Orders'!K158&gt;=2,"Slipped","On plan"))</f>
        <v>On plan</v>
      </c>
      <c r="L158" s="12">
        <f t="shared" si="2"/>
        <v>0</v>
      </c>
    </row>
    <row r="159" spans="1:12" x14ac:dyDescent="0.3">
      <c r="A159" t="str">
        <f>'Raw Orders'!A159</f>
        <v>NX-00155</v>
      </c>
      <c r="B159" t="str">
        <f>'Raw Orders'!B159</f>
        <v>North America</v>
      </c>
      <c r="C159" t="str">
        <f>'Raw Orders'!C159</f>
        <v>US / Canada</v>
      </c>
      <c r="D159" s="11">
        <f>'Raw Orders'!E159</f>
        <v>40</v>
      </c>
      <c r="E159" s="12">
        <f>'Raw Orders'!F159</f>
        <v>3320000</v>
      </c>
      <c r="F159" s="12">
        <f>'Raw Orders'!F159*0.75</f>
        <v>2490000</v>
      </c>
      <c r="G159" s="10">
        <f>'Raw Orders'!H159</f>
        <v>45717</v>
      </c>
      <c r="H159" s="10">
        <f>'Raw Orders'!I159</f>
        <v>45717</v>
      </c>
      <c r="I159" s="11">
        <f>'Raw Orders'!K159</f>
        <v>0.02</v>
      </c>
      <c r="J159" s="11">
        <f>IF('Raw Orders'!J159,"",(YEAR('Raw Orders'!I159)-YEAR('Raw Orders'!H159))*12+MONTH('Raw Orders'!I159)-MONTH('Raw Orders'!H159))</f>
        <v>0</v>
      </c>
      <c r="K159" t="str">
        <f>IF('Raw Orders'!J159,"Cancelled",IF('Raw Orders'!K159&gt;=2,"Slipped","On plan"))</f>
        <v>On plan</v>
      </c>
      <c r="L159" s="12">
        <f t="shared" si="2"/>
        <v>0</v>
      </c>
    </row>
    <row r="160" spans="1:12" x14ac:dyDescent="0.3">
      <c r="A160" t="str">
        <f>'Raw Orders'!A160</f>
        <v>NX-00156</v>
      </c>
      <c r="B160" t="str">
        <f>'Raw Orders'!B160</f>
        <v>North America</v>
      </c>
      <c r="C160" t="str">
        <f>'Raw Orders'!C160</f>
        <v>US / Canada</v>
      </c>
      <c r="D160" s="11">
        <f>'Raw Orders'!E160</f>
        <v>4.0999999999999996</v>
      </c>
      <c r="E160" s="12">
        <f>'Raw Orders'!F160</f>
        <v>340299.99999999988</v>
      </c>
      <c r="F160" s="12">
        <f>'Raw Orders'!F160*0.75</f>
        <v>255224.99999999991</v>
      </c>
      <c r="G160" s="10">
        <f>'Raw Orders'!H160</f>
        <v>45658</v>
      </c>
      <c r="H160" s="10">
        <f>'Raw Orders'!I160</f>
        <v>45717</v>
      </c>
      <c r="I160" s="11">
        <f>'Raw Orders'!K160</f>
        <v>2.13</v>
      </c>
      <c r="J160" s="11">
        <f>IF('Raw Orders'!J160,"",(YEAR('Raw Orders'!I160)-YEAR('Raw Orders'!H160))*12+MONTH('Raw Orders'!I160)-MONTH('Raw Orders'!H160))</f>
        <v>2</v>
      </c>
      <c r="K160" t="str">
        <f>IF('Raw Orders'!J160,"Cancelled",IF('Raw Orders'!K160&gt;=2,"Slipped","On plan"))</f>
        <v>Slipped</v>
      </c>
      <c r="L160" s="12">
        <f t="shared" si="2"/>
        <v>255224.99999999991</v>
      </c>
    </row>
    <row r="161" spans="1:12" x14ac:dyDescent="0.3">
      <c r="A161" t="str">
        <f>'Raw Orders'!A161</f>
        <v>NX-00157</v>
      </c>
      <c r="B161" t="str">
        <f>'Raw Orders'!B161</f>
        <v>North America</v>
      </c>
      <c r="C161" t="str">
        <f>'Raw Orders'!C161</f>
        <v>US / Canada</v>
      </c>
      <c r="D161" s="11">
        <f>'Raw Orders'!E161</f>
        <v>30.7</v>
      </c>
      <c r="E161" s="12">
        <f>'Raw Orders'!F161</f>
        <v>2548100</v>
      </c>
      <c r="F161" s="12">
        <f>'Raw Orders'!F161*0.75</f>
        <v>1911075</v>
      </c>
      <c r="G161" s="10">
        <f>'Raw Orders'!H161</f>
        <v>45658</v>
      </c>
      <c r="H161" s="10">
        <f>'Raw Orders'!I161</f>
        <v>45658</v>
      </c>
      <c r="I161" s="11">
        <f>'Raw Orders'!K161</f>
        <v>0.05</v>
      </c>
      <c r="J161" s="11">
        <f>IF('Raw Orders'!J161,"",(YEAR('Raw Orders'!I161)-YEAR('Raw Orders'!H161))*12+MONTH('Raw Orders'!I161)-MONTH('Raw Orders'!H161))</f>
        <v>0</v>
      </c>
      <c r="K161" t="str">
        <f>IF('Raw Orders'!J161,"Cancelled",IF('Raw Orders'!K161&gt;=2,"Slipped","On plan"))</f>
        <v>On plan</v>
      </c>
      <c r="L161" s="12">
        <f t="shared" si="2"/>
        <v>0</v>
      </c>
    </row>
    <row r="162" spans="1:12" x14ac:dyDescent="0.3">
      <c r="A162" t="str">
        <f>'Raw Orders'!A162</f>
        <v>NX-00158</v>
      </c>
      <c r="B162" t="str">
        <f>'Raw Orders'!B162</f>
        <v>North America</v>
      </c>
      <c r="C162" t="str">
        <f>'Raw Orders'!C162</f>
        <v>US / Canada</v>
      </c>
      <c r="D162" s="11">
        <f>'Raw Orders'!E162</f>
        <v>21.6</v>
      </c>
      <c r="E162" s="12">
        <f>'Raw Orders'!F162</f>
        <v>1792800</v>
      </c>
      <c r="F162" s="12">
        <f>'Raw Orders'!F162*0.75</f>
        <v>1344600</v>
      </c>
      <c r="G162" s="10">
        <f>'Raw Orders'!H162</f>
        <v>45658</v>
      </c>
      <c r="H162" s="10">
        <f>'Raw Orders'!I162</f>
        <v>45717</v>
      </c>
      <c r="I162" s="11">
        <f>'Raw Orders'!K162</f>
        <v>1.73</v>
      </c>
      <c r="J162" s="11">
        <f>IF('Raw Orders'!J162,"",(YEAR('Raw Orders'!I162)-YEAR('Raw Orders'!H162))*12+MONTH('Raw Orders'!I162)-MONTH('Raw Orders'!H162))</f>
        <v>2</v>
      </c>
      <c r="K162" t="str">
        <f>IF('Raw Orders'!J162,"Cancelled",IF('Raw Orders'!K162&gt;=2,"Slipped","On plan"))</f>
        <v>On plan</v>
      </c>
      <c r="L162" s="12">
        <f t="shared" si="2"/>
        <v>0</v>
      </c>
    </row>
    <row r="163" spans="1:12" x14ac:dyDescent="0.3">
      <c r="A163" t="str">
        <f>'Raw Orders'!A163</f>
        <v>NX-00159</v>
      </c>
      <c r="B163" t="str">
        <f>'Raw Orders'!B163</f>
        <v>North America</v>
      </c>
      <c r="C163" t="str">
        <f>'Raw Orders'!C163</f>
        <v>US / Canada</v>
      </c>
      <c r="D163" s="11">
        <f>'Raw Orders'!E163</f>
        <v>26.3</v>
      </c>
      <c r="E163" s="12">
        <f>'Raw Orders'!F163</f>
        <v>2182900</v>
      </c>
      <c r="F163" s="12">
        <f>'Raw Orders'!F163*0.75</f>
        <v>1637175</v>
      </c>
      <c r="G163" s="10">
        <f>'Raw Orders'!H163</f>
        <v>45689</v>
      </c>
      <c r="H163" s="10">
        <f>'Raw Orders'!I163</f>
        <v>45839</v>
      </c>
      <c r="I163" s="11">
        <f>'Raw Orders'!K163</f>
        <v>5.19</v>
      </c>
      <c r="J163" s="11">
        <f>IF('Raw Orders'!J163,"",(YEAR('Raw Orders'!I163)-YEAR('Raw Orders'!H163))*12+MONTH('Raw Orders'!I163)-MONTH('Raw Orders'!H163))</f>
        <v>5</v>
      </c>
      <c r="K163" t="str">
        <f>IF('Raw Orders'!J163,"Cancelled",IF('Raw Orders'!K163&gt;=2,"Slipped","On plan"))</f>
        <v>Slipped</v>
      </c>
      <c r="L163" s="12">
        <f t="shared" si="2"/>
        <v>1637175</v>
      </c>
    </row>
    <row r="164" spans="1:12" x14ac:dyDescent="0.3">
      <c r="A164" t="str">
        <f>'Raw Orders'!A164</f>
        <v>NX-00160</v>
      </c>
      <c r="B164" t="str">
        <f>'Raw Orders'!B164</f>
        <v>North America</v>
      </c>
      <c r="C164" t="str">
        <f>'Raw Orders'!C164</f>
        <v>US / Canada</v>
      </c>
      <c r="D164" s="11">
        <f>'Raw Orders'!E164</f>
        <v>15.4</v>
      </c>
      <c r="E164" s="12">
        <f>'Raw Orders'!F164</f>
        <v>1278200</v>
      </c>
      <c r="F164" s="12">
        <f>'Raw Orders'!F164*0.75</f>
        <v>958650</v>
      </c>
      <c r="G164" s="10">
        <f>'Raw Orders'!H164</f>
        <v>45689</v>
      </c>
      <c r="H164" s="10">
        <f>'Raw Orders'!I164</f>
        <v>45689</v>
      </c>
      <c r="I164" s="11">
        <f>'Raw Orders'!K164</f>
        <v>0</v>
      </c>
      <c r="J164" s="11">
        <f>IF('Raw Orders'!J164,"",(YEAR('Raw Orders'!I164)-YEAR('Raw Orders'!H164))*12+MONTH('Raw Orders'!I164)-MONTH('Raw Orders'!H164))</f>
        <v>0</v>
      </c>
      <c r="K164" t="str">
        <f>IF('Raw Orders'!J164,"Cancelled",IF('Raw Orders'!K164&gt;=2,"Slipped","On plan"))</f>
        <v>On plan</v>
      </c>
      <c r="L164" s="12">
        <f t="shared" si="2"/>
        <v>0</v>
      </c>
    </row>
    <row r="165" spans="1:12" x14ac:dyDescent="0.3">
      <c r="A165" t="str">
        <f>'Raw Orders'!A165</f>
        <v>NX-00161</v>
      </c>
      <c r="B165" t="str">
        <f>'Raw Orders'!B165</f>
        <v>North America</v>
      </c>
      <c r="C165" t="str">
        <f>'Raw Orders'!C165</f>
        <v>US / Canada</v>
      </c>
      <c r="D165" s="11">
        <f>'Raw Orders'!E165</f>
        <v>5.7</v>
      </c>
      <c r="E165" s="12">
        <f>'Raw Orders'!F165</f>
        <v>473100</v>
      </c>
      <c r="F165" s="12">
        <f>'Raw Orders'!F165*0.75</f>
        <v>354825</v>
      </c>
      <c r="G165" s="10">
        <f>'Raw Orders'!H165</f>
        <v>45717</v>
      </c>
      <c r="H165" s="10">
        <f>'Raw Orders'!I165</f>
        <v>45717</v>
      </c>
      <c r="I165" s="11">
        <f>'Raw Orders'!K165</f>
        <v>0.26</v>
      </c>
      <c r="J165" s="11">
        <f>IF('Raw Orders'!J165,"",(YEAR('Raw Orders'!I165)-YEAR('Raw Orders'!H165))*12+MONTH('Raw Orders'!I165)-MONTH('Raw Orders'!H165))</f>
        <v>0</v>
      </c>
      <c r="K165" t="str">
        <f>IF('Raw Orders'!J165,"Cancelled",IF('Raw Orders'!K165&gt;=2,"Slipped","On plan"))</f>
        <v>On plan</v>
      </c>
      <c r="L165" s="12">
        <f t="shared" si="2"/>
        <v>0</v>
      </c>
    </row>
    <row r="166" spans="1:12" x14ac:dyDescent="0.3">
      <c r="A166" t="str">
        <f>'Raw Orders'!A166</f>
        <v>NX-00162</v>
      </c>
      <c r="B166" t="str">
        <f>'Raw Orders'!B166</f>
        <v>North America</v>
      </c>
      <c r="C166" t="str">
        <f>'Raw Orders'!C166</f>
        <v>US / Canada</v>
      </c>
      <c r="D166" s="11">
        <f>'Raw Orders'!E166</f>
        <v>24.9</v>
      </c>
      <c r="E166" s="12">
        <f>'Raw Orders'!F166</f>
        <v>2066700</v>
      </c>
      <c r="F166" s="12">
        <f>'Raw Orders'!F166*0.75</f>
        <v>1550025</v>
      </c>
      <c r="G166" s="10">
        <f>'Raw Orders'!H166</f>
        <v>45566</v>
      </c>
      <c r="H166" s="10">
        <f>'Raw Orders'!I166</f>
        <v>45627</v>
      </c>
      <c r="I166" s="11">
        <f>'Raw Orders'!K166</f>
        <v>1.74</v>
      </c>
      <c r="J166" s="11">
        <f>IF('Raw Orders'!J166,"",(YEAR('Raw Orders'!I166)-YEAR('Raw Orders'!H166))*12+MONTH('Raw Orders'!I166)-MONTH('Raw Orders'!H166))</f>
        <v>2</v>
      </c>
      <c r="K166" t="str">
        <f>IF('Raw Orders'!J166,"Cancelled",IF('Raw Orders'!K166&gt;=2,"Slipped","On plan"))</f>
        <v>On plan</v>
      </c>
      <c r="L166" s="12">
        <f t="shared" si="2"/>
        <v>0</v>
      </c>
    </row>
    <row r="167" spans="1:12" x14ac:dyDescent="0.3">
      <c r="A167" t="str">
        <f>'Raw Orders'!A167</f>
        <v>NX-00163</v>
      </c>
      <c r="B167" t="str">
        <f>'Raw Orders'!B167</f>
        <v>North America</v>
      </c>
      <c r="C167" t="str">
        <f>'Raw Orders'!C167</f>
        <v>US / Canada</v>
      </c>
      <c r="D167" s="11">
        <f>'Raw Orders'!E167</f>
        <v>10.199999999999999</v>
      </c>
      <c r="E167" s="12">
        <f>'Raw Orders'!F167</f>
        <v>846599.99999999988</v>
      </c>
      <c r="F167" s="12">
        <f>'Raw Orders'!F167*0.75</f>
        <v>634949.99999999988</v>
      </c>
      <c r="G167" s="10">
        <f>'Raw Orders'!H167</f>
        <v>45566</v>
      </c>
      <c r="H167" s="10">
        <f>'Raw Orders'!I167</f>
        <v>45597</v>
      </c>
      <c r="I167" s="11">
        <f>'Raw Orders'!K167</f>
        <v>0.52</v>
      </c>
      <c r="J167" s="11">
        <f>IF('Raw Orders'!J167,"",(YEAR('Raw Orders'!I167)-YEAR('Raw Orders'!H167))*12+MONTH('Raw Orders'!I167)-MONTH('Raw Orders'!H167))</f>
        <v>1</v>
      </c>
      <c r="K167" t="str">
        <f>IF('Raw Orders'!J167,"Cancelled",IF('Raw Orders'!K167&gt;=2,"Slipped","On plan"))</f>
        <v>On plan</v>
      </c>
      <c r="L167" s="12">
        <f t="shared" si="2"/>
        <v>0</v>
      </c>
    </row>
    <row r="168" spans="1:12" x14ac:dyDescent="0.3">
      <c r="A168" t="str">
        <f>'Raw Orders'!A168</f>
        <v>NX-00164</v>
      </c>
      <c r="B168" t="str">
        <f>'Raw Orders'!B168</f>
        <v>North America</v>
      </c>
      <c r="C168" t="str">
        <f>'Raw Orders'!C168</f>
        <v>US / Canada</v>
      </c>
      <c r="D168" s="11">
        <f>'Raw Orders'!E168</f>
        <v>18.100000000000001</v>
      </c>
      <c r="E168" s="12">
        <f>'Raw Orders'!F168</f>
        <v>1502300</v>
      </c>
      <c r="F168" s="12">
        <f>'Raw Orders'!F168*0.75</f>
        <v>1126725</v>
      </c>
      <c r="G168" s="10">
        <f>'Raw Orders'!H168</f>
        <v>45717</v>
      </c>
      <c r="H168" s="10">
        <f>'Raw Orders'!I168</f>
        <v>45717</v>
      </c>
      <c r="I168" s="11">
        <f>'Raw Orders'!K168</f>
        <v>0.45</v>
      </c>
      <c r="J168" s="11">
        <f>IF('Raw Orders'!J168,"",(YEAR('Raw Orders'!I168)-YEAR('Raw Orders'!H168))*12+MONTH('Raw Orders'!I168)-MONTH('Raw Orders'!H168))</f>
        <v>0</v>
      </c>
      <c r="K168" t="str">
        <f>IF('Raw Orders'!J168,"Cancelled",IF('Raw Orders'!K168&gt;=2,"Slipped","On plan"))</f>
        <v>On plan</v>
      </c>
      <c r="L168" s="12">
        <f t="shared" si="2"/>
        <v>0</v>
      </c>
    </row>
    <row r="169" spans="1:12" x14ac:dyDescent="0.3">
      <c r="A169" t="str">
        <f>'Raw Orders'!A169</f>
        <v>NX-00165</v>
      </c>
      <c r="B169" t="str">
        <f>'Raw Orders'!B169</f>
        <v>North America</v>
      </c>
      <c r="C169" t="str">
        <f>'Raw Orders'!C169</f>
        <v>US / Canada</v>
      </c>
      <c r="D169" s="11">
        <f>'Raw Orders'!E169</f>
        <v>41.9</v>
      </c>
      <c r="E169" s="12">
        <f>'Raw Orders'!F169</f>
        <v>3477700</v>
      </c>
      <c r="F169" s="12">
        <f>'Raw Orders'!F169*0.75</f>
        <v>2608275</v>
      </c>
      <c r="G169" s="10">
        <f>'Raw Orders'!H169</f>
        <v>45627</v>
      </c>
      <c r="H169" s="10">
        <f>'Raw Orders'!I169</f>
        <v>45627</v>
      </c>
      <c r="I169" s="11">
        <f>'Raw Orders'!K169</f>
        <v>0.04</v>
      </c>
      <c r="J169" s="11">
        <f>IF('Raw Orders'!J169,"",(YEAR('Raw Orders'!I169)-YEAR('Raw Orders'!H169))*12+MONTH('Raw Orders'!I169)-MONTH('Raw Orders'!H169))</f>
        <v>0</v>
      </c>
      <c r="K169" t="str">
        <f>IF('Raw Orders'!J169,"Cancelled",IF('Raw Orders'!K169&gt;=2,"Slipped","On plan"))</f>
        <v>On plan</v>
      </c>
      <c r="L169" s="12">
        <f t="shared" si="2"/>
        <v>0</v>
      </c>
    </row>
    <row r="170" spans="1:12" x14ac:dyDescent="0.3">
      <c r="A170" t="str">
        <f>'Raw Orders'!A170</f>
        <v>NX-00166</v>
      </c>
      <c r="B170" t="str">
        <f>'Raw Orders'!B170</f>
        <v>EMEA</v>
      </c>
      <c r="C170" t="str">
        <f>'Raw Orders'!C170</f>
        <v>Europe</v>
      </c>
      <c r="D170" s="11">
        <f>'Raw Orders'!E170</f>
        <v>23.3</v>
      </c>
      <c r="E170" s="12">
        <f>'Raw Orders'!F170</f>
        <v>2050400</v>
      </c>
      <c r="F170" s="12">
        <f>'Raw Orders'!F170*0.75</f>
        <v>1537800</v>
      </c>
      <c r="G170" s="10">
        <f>'Raw Orders'!H170</f>
        <v>45717</v>
      </c>
      <c r="H170" s="10">
        <f>'Raw Orders'!I170</f>
        <v>45748</v>
      </c>
      <c r="I170" s="11">
        <f>'Raw Orders'!K170</f>
        <v>1.42</v>
      </c>
      <c r="J170" s="11">
        <f>IF('Raw Orders'!J170,"",(YEAR('Raw Orders'!I170)-YEAR('Raw Orders'!H170))*12+MONTH('Raw Orders'!I170)-MONTH('Raw Orders'!H170))</f>
        <v>1</v>
      </c>
      <c r="K170" t="str">
        <f>IF('Raw Orders'!J170,"Cancelled",IF('Raw Orders'!K170&gt;=2,"Slipped","On plan"))</f>
        <v>On plan</v>
      </c>
      <c r="L170" s="12">
        <f t="shared" si="2"/>
        <v>0</v>
      </c>
    </row>
    <row r="171" spans="1:12" x14ac:dyDescent="0.3">
      <c r="A171" t="str">
        <f>'Raw Orders'!A171</f>
        <v>NX-00167</v>
      </c>
      <c r="B171" t="str">
        <f>'Raw Orders'!B171</f>
        <v>EMEA</v>
      </c>
      <c r="C171" t="str">
        <f>'Raw Orders'!C171</f>
        <v>MENA</v>
      </c>
      <c r="D171" s="11">
        <f>'Raw Orders'!E171</f>
        <v>5.9</v>
      </c>
      <c r="E171" s="12">
        <f>'Raw Orders'!F171</f>
        <v>477900</v>
      </c>
      <c r="F171" s="12">
        <f>'Raw Orders'!F171*0.75</f>
        <v>358425</v>
      </c>
      <c r="G171" s="10">
        <f>'Raw Orders'!H171</f>
        <v>45627</v>
      </c>
      <c r="H171" s="10">
        <f>'Raw Orders'!I171</f>
        <v>45778</v>
      </c>
      <c r="I171" s="11">
        <f>'Raw Orders'!K171</f>
        <v>4.78</v>
      </c>
      <c r="J171" s="11">
        <f>IF('Raw Orders'!J171,"",(YEAR('Raw Orders'!I171)-YEAR('Raw Orders'!H171))*12+MONTH('Raw Orders'!I171)-MONTH('Raw Orders'!H171))</f>
        <v>5</v>
      </c>
      <c r="K171" t="str">
        <f>IF('Raw Orders'!J171,"Cancelled",IF('Raw Orders'!K171&gt;=2,"Slipped","On plan"))</f>
        <v>Slipped</v>
      </c>
      <c r="L171" s="12">
        <f t="shared" si="2"/>
        <v>358425</v>
      </c>
    </row>
    <row r="172" spans="1:12" x14ac:dyDescent="0.3">
      <c r="A172" t="str">
        <f>'Raw Orders'!A172</f>
        <v>NX-00168</v>
      </c>
      <c r="B172" t="str">
        <f>'Raw Orders'!B172</f>
        <v>APAC</v>
      </c>
      <c r="C172" t="str">
        <f>'Raw Orders'!C172</f>
        <v>Australia/SEA</v>
      </c>
      <c r="D172" s="11">
        <f>'Raw Orders'!E172</f>
        <v>20.5</v>
      </c>
      <c r="E172" s="12">
        <f>'Raw Orders'!F172</f>
        <v>1722000</v>
      </c>
      <c r="F172" s="12">
        <f>'Raw Orders'!F172*0.75</f>
        <v>1291500</v>
      </c>
      <c r="G172" s="10">
        <f>'Raw Orders'!H172</f>
        <v>45597</v>
      </c>
      <c r="H172" s="10">
        <f>'Raw Orders'!I172</f>
        <v>45627</v>
      </c>
      <c r="I172" s="11">
        <f>'Raw Orders'!K172</f>
        <v>0.54</v>
      </c>
      <c r="J172" s="11">
        <f>IF('Raw Orders'!J172,"",(YEAR('Raw Orders'!I172)-YEAR('Raw Orders'!H172))*12+MONTH('Raw Orders'!I172)-MONTH('Raw Orders'!H172))</f>
        <v>1</v>
      </c>
      <c r="K172" t="str">
        <f>IF('Raw Orders'!J172,"Cancelled",IF('Raw Orders'!K172&gt;=2,"Slipped","On plan"))</f>
        <v>On plan</v>
      </c>
      <c r="L172" s="12">
        <f t="shared" si="2"/>
        <v>0</v>
      </c>
    </row>
    <row r="173" spans="1:12" x14ac:dyDescent="0.3">
      <c r="A173" t="str">
        <f>'Raw Orders'!A173</f>
        <v>NX-00169</v>
      </c>
      <c r="B173" t="str">
        <f>'Raw Orders'!B173</f>
        <v>LATAM</v>
      </c>
      <c r="C173" t="str">
        <f>'Raw Orders'!C173</f>
        <v>LATAM</v>
      </c>
      <c r="D173" s="11">
        <f>'Raw Orders'!E173</f>
        <v>9.1999999999999993</v>
      </c>
      <c r="E173" s="12">
        <f>'Raw Orders'!F173</f>
        <v>726800</v>
      </c>
      <c r="F173" s="12">
        <f>'Raw Orders'!F173*0.75</f>
        <v>545100</v>
      </c>
      <c r="G173" s="10">
        <f>'Raw Orders'!H173</f>
        <v>45658</v>
      </c>
      <c r="H173" s="10">
        <f>'Raw Orders'!I173</f>
        <v>0</v>
      </c>
      <c r="I173" s="11">
        <f>'Raw Orders'!K173</f>
        <v>0.57999999999999996</v>
      </c>
      <c r="J173" s="11" t="str">
        <f>IF('Raw Orders'!J173,"",(YEAR('Raw Orders'!I173)-YEAR('Raw Orders'!H173))*12+MONTH('Raw Orders'!I173)-MONTH('Raw Orders'!H173))</f>
        <v/>
      </c>
      <c r="K173" t="str">
        <f>IF('Raw Orders'!J173,"Cancelled",IF('Raw Orders'!K173&gt;=2,"Slipped","On plan"))</f>
        <v>Cancelled</v>
      </c>
      <c r="L173" s="12">
        <f t="shared" si="2"/>
        <v>545100</v>
      </c>
    </row>
    <row r="174" spans="1:12" x14ac:dyDescent="0.3">
      <c r="A174" t="str">
        <f>'Raw Orders'!A174</f>
        <v>NX-00170</v>
      </c>
      <c r="B174" t="str">
        <f>'Raw Orders'!B174</f>
        <v>LATAM</v>
      </c>
      <c r="C174" t="str">
        <f>'Raw Orders'!C174</f>
        <v>LATAM</v>
      </c>
      <c r="D174" s="11">
        <f>'Raw Orders'!E174</f>
        <v>11.2</v>
      </c>
      <c r="E174" s="12">
        <f>'Raw Orders'!F174</f>
        <v>884800</v>
      </c>
      <c r="F174" s="12">
        <f>'Raw Orders'!F174*0.75</f>
        <v>663600</v>
      </c>
      <c r="G174" s="10">
        <f>'Raw Orders'!H174</f>
        <v>45658</v>
      </c>
      <c r="H174" s="10">
        <f>'Raw Orders'!I174</f>
        <v>45689</v>
      </c>
      <c r="I174" s="11">
        <f>'Raw Orders'!K174</f>
        <v>0.82</v>
      </c>
      <c r="J174" s="11">
        <f>IF('Raw Orders'!J174,"",(YEAR('Raw Orders'!I174)-YEAR('Raw Orders'!H174))*12+MONTH('Raw Orders'!I174)-MONTH('Raw Orders'!H174))</f>
        <v>1</v>
      </c>
      <c r="K174" t="str">
        <f>IF('Raw Orders'!J174,"Cancelled",IF('Raw Orders'!K174&gt;=2,"Slipped","On plan"))</f>
        <v>On plan</v>
      </c>
      <c r="L174" s="12">
        <f t="shared" si="2"/>
        <v>0</v>
      </c>
    </row>
    <row r="175" spans="1:12" x14ac:dyDescent="0.3">
      <c r="A175" t="str">
        <f>'Raw Orders'!A175</f>
        <v>NX-00171</v>
      </c>
      <c r="B175" t="str">
        <f>'Raw Orders'!B175</f>
        <v>LATAM</v>
      </c>
      <c r="C175" t="str">
        <f>'Raw Orders'!C175</f>
        <v>LATAM</v>
      </c>
      <c r="D175" s="11">
        <f>'Raw Orders'!E175</f>
        <v>4.4000000000000004</v>
      </c>
      <c r="E175" s="12">
        <f>'Raw Orders'!F175</f>
        <v>347600</v>
      </c>
      <c r="F175" s="12">
        <f>'Raw Orders'!F175*0.75</f>
        <v>260700</v>
      </c>
      <c r="G175" s="10">
        <f>'Raw Orders'!H175</f>
        <v>45566</v>
      </c>
      <c r="H175" s="10">
        <f>'Raw Orders'!I175</f>
        <v>45597</v>
      </c>
      <c r="I175" s="11">
        <f>'Raw Orders'!K175</f>
        <v>0.57999999999999996</v>
      </c>
      <c r="J175" s="11">
        <f>IF('Raw Orders'!J175,"",(YEAR('Raw Orders'!I175)-YEAR('Raw Orders'!H175))*12+MONTH('Raw Orders'!I175)-MONTH('Raw Orders'!H175))</f>
        <v>1</v>
      </c>
      <c r="K175" t="str">
        <f>IF('Raw Orders'!J175,"Cancelled",IF('Raw Orders'!K175&gt;=2,"Slipped","On plan"))</f>
        <v>On plan</v>
      </c>
      <c r="L175" s="12">
        <f t="shared" si="2"/>
        <v>0</v>
      </c>
    </row>
    <row r="176" spans="1:12" x14ac:dyDescent="0.3">
      <c r="A176" t="str">
        <f>'Raw Orders'!A176</f>
        <v>NX-00172</v>
      </c>
      <c r="B176" t="str">
        <f>'Raw Orders'!B176</f>
        <v>LATAM</v>
      </c>
      <c r="C176" t="str">
        <f>'Raw Orders'!C176</f>
        <v>LATAM</v>
      </c>
      <c r="D176" s="11">
        <f>'Raw Orders'!E176</f>
        <v>8.9</v>
      </c>
      <c r="E176" s="12">
        <f>'Raw Orders'!F176</f>
        <v>703100</v>
      </c>
      <c r="F176" s="12">
        <f>'Raw Orders'!F176*0.75</f>
        <v>527325</v>
      </c>
      <c r="G176" s="10">
        <f>'Raw Orders'!H176</f>
        <v>45658</v>
      </c>
      <c r="H176" s="10">
        <f>'Raw Orders'!I176</f>
        <v>45689</v>
      </c>
      <c r="I176" s="11">
        <f>'Raw Orders'!K176</f>
        <v>1.04</v>
      </c>
      <c r="J176" s="11">
        <f>IF('Raw Orders'!J176,"",(YEAR('Raw Orders'!I176)-YEAR('Raw Orders'!H176))*12+MONTH('Raw Orders'!I176)-MONTH('Raw Orders'!H176))</f>
        <v>1</v>
      </c>
      <c r="K176" t="str">
        <f>IF('Raw Orders'!J176,"Cancelled",IF('Raw Orders'!K176&gt;=2,"Slipped","On plan"))</f>
        <v>On plan</v>
      </c>
      <c r="L176" s="12">
        <f t="shared" si="2"/>
        <v>0</v>
      </c>
    </row>
    <row r="177" spans="1:12" x14ac:dyDescent="0.3">
      <c r="A177" t="str">
        <f>'Raw Orders'!A177</f>
        <v>NX-00173</v>
      </c>
      <c r="B177" t="str">
        <f>'Raw Orders'!B177</f>
        <v>LATAM</v>
      </c>
      <c r="C177" t="str">
        <f>'Raw Orders'!C177</f>
        <v>LATAM</v>
      </c>
      <c r="D177" s="11">
        <f>'Raw Orders'!E177</f>
        <v>15.6</v>
      </c>
      <c r="E177" s="12">
        <f>'Raw Orders'!F177</f>
        <v>1232400</v>
      </c>
      <c r="F177" s="12">
        <f>'Raw Orders'!F177*0.75</f>
        <v>924300</v>
      </c>
      <c r="G177" s="10">
        <f>'Raw Orders'!H177</f>
        <v>45748</v>
      </c>
      <c r="H177" s="10">
        <f>'Raw Orders'!I177</f>
        <v>45901</v>
      </c>
      <c r="I177" s="11">
        <f>'Raw Orders'!K177</f>
        <v>4.6500000000000004</v>
      </c>
      <c r="J177" s="11">
        <f>IF('Raw Orders'!J177,"",(YEAR('Raw Orders'!I177)-YEAR('Raw Orders'!H177))*12+MONTH('Raw Orders'!I177)-MONTH('Raw Orders'!H177))</f>
        <v>5</v>
      </c>
      <c r="K177" t="str">
        <f>IF('Raw Orders'!J177,"Cancelled",IF('Raw Orders'!K177&gt;=2,"Slipped","On plan"))</f>
        <v>Slipped</v>
      </c>
      <c r="L177" s="12">
        <f t="shared" si="2"/>
        <v>924300</v>
      </c>
    </row>
    <row r="178" spans="1:12" x14ac:dyDescent="0.3">
      <c r="A178" t="str">
        <f>'Raw Orders'!A178</f>
        <v>NX-00174</v>
      </c>
      <c r="B178" t="str">
        <f>'Raw Orders'!B178</f>
        <v>North America</v>
      </c>
      <c r="C178" t="str">
        <f>'Raw Orders'!C178</f>
        <v>US / Canada</v>
      </c>
      <c r="D178" s="11">
        <f>'Raw Orders'!E178</f>
        <v>38.200000000000003</v>
      </c>
      <c r="E178" s="12">
        <f>'Raw Orders'!F178</f>
        <v>3170600</v>
      </c>
      <c r="F178" s="12">
        <f>'Raw Orders'!F178*0.75</f>
        <v>2377950</v>
      </c>
      <c r="G178" s="10">
        <f>'Raw Orders'!H178</f>
        <v>45597</v>
      </c>
      <c r="H178" s="10">
        <f>'Raw Orders'!I178</f>
        <v>45627</v>
      </c>
      <c r="I178" s="11">
        <f>'Raw Orders'!K178</f>
        <v>0.76</v>
      </c>
      <c r="J178" s="11">
        <f>IF('Raw Orders'!J178,"",(YEAR('Raw Orders'!I178)-YEAR('Raw Orders'!H178))*12+MONTH('Raw Orders'!I178)-MONTH('Raw Orders'!H178))</f>
        <v>1</v>
      </c>
      <c r="K178" t="str">
        <f>IF('Raw Orders'!J178,"Cancelled",IF('Raw Orders'!K178&gt;=2,"Slipped","On plan"))</f>
        <v>On plan</v>
      </c>
      <c r="L178" s="12">
        <f t="shared" si="2"/>
        <v>0</v>
      </c>
    </row>
    <row r="179" spans="1:12" x14ac:dyDescent="0.3">
      <c r="A179" t="str">
        <f>'Raw Orders'!A179</f>
        <v>NX-00175</v>
      </c>
      <c r="B179" t="str">
        <f>'Raw Orders'!B179</f>
        <v>North America</v>
      </c>
      <c r="C179" t="str">
        <f>'Raw Orders'!C179</f>
        <v>US / Canada</v>
      </c>
      <c r="D179" s="11">
        <f>'Raw Orders'!E179</f>
        <v>14.6</v>
      </c>
      <c r="E179" s="12">
        <f>'Raw Orders'!F179</f>
        <v>1211800</v>
      </c>
      <c r="F179" s="12">
        <f>'Raw Orders'!F179*0.75</f>
        <v>908850</v>
      </c>
      <c r="G179" s="10">
        <f>'Raw Orders'!H179</f>
        <v>45627</v>
      </c>
      <c r="H179" s="10">
        <f>'Raw Orders'!I179</f>
        <v>45658</v>
      </c>
      <c r="I179" s="11">
        <f>'Raw Orders'!K179</f>
        <v>0.77</v>
      </c>
      <c r="J179" s="11">
        <f>IF('Raw Orders'!J179,"",(YEAR('Raw Orders'!I179)-YEAR('Raw Orders'!H179))*12+MONTH('Raw Orders'!I179)-MONTH('Raw Orders'!H179))</f>
        <v>1</v>
      </c>
      <c r="K179" t="str">
        <f>IF('Raw Orders'!J179,"Cancelled",IF('Raw Orders'!K179&gt;=2,"Slipped","On plan"))</f>
        <v>On plan</v>
      </c>
      <c r="L179" s="12">
        <f t="shared" si="2"/>
        <v>0</v>
      </c>
    </row>
    <row r="180" spans="1:12" x14ac:dyDescent="0.3">
      <c r="A180" t="str">
        <f>'Raw Orders'!A180</f>
        <v>NX-00176</v>
      </c>
      <c r="B180" t="str">
        <f>'Raw Orders'!B180</f>
        <v>North America</v>
      </c>
      <c r="C180" t="str">
        <f>'Raw Orders'!C180</f>
        <v>US / Canada</v>
      </c>
      <c r="D180" s="11">
        <f>'Raw Orders'!E180</f>
        <v>7</v>
      </c>
      <c r="E180" s="12">
        <f>'Raw Orders'!F180</f>
        <v>581000</v>
      </c>
      <c r="F180" s="12">
        <f>'Raw Orders'!F180*0.75</f>
        <v>435750</v>
      </c>
      <c r="G180" s="10">
        <f>'Raw Orders'!H180</f>
        <v>45597</v>
      </c>
      <c r="H180" s="10">
        <f>'Raw Orders'!I180</f>
        <v>45597</v>
      </c>
      <c r="I180" s="11">
        <f>'Raw Orders'!K180</f>
        <v>0.09</v>
      </c>
      <c r="J180" s="11">
        <f>IF('Raw Orders'!J180,"",(YEAR('Raw Orders'!I180)-YEAR('Raw Orders'!H180))*12+MONTH('Raw Orders'!I180)-MONTH('Raw Orders'!H180))</f>
        <v>0</v>
      </c>
      <c r="K180" t="str">
        <f>IF('Raw Orders'!J180,"Cancelled",IF('Raw Orders'!K180&gt;=2,"Slipped","On plan"))</f>
        <v>On plan</v>
      </c>
      <c r="L180" s="12">
        <f t="shared" si="2"/>
        <v>0</v>
      </c>
    </row>
    <row r="181" spans="1:12" x14ac:dyDescent="0.3">
      <c r="A181" t="str">
        <f>'Raw Orders'!A181</f>
        <v>NX-00177</v>
      </c>
      <c r="B181" t="str">
        <f>'Raw Orders'!B181</f>
        <v>North America</v>
      </c>
      <c r="C181" t="str">
        <f>'Raw Orders'!C181</f>
        <v>US / Canada</v>
      </c>
      <c r="D181" s="11">
        <f>'Raw Orders'!E181</f>
        <v>5.9</v>
      </c>
      <c r="E181" s="12">
        <f>'Raw Orders'!F181</f>
        <v>489700.00000000012</v>
      </c>
      <c r="F181" s="12">
        <f>'Raw Orders'!F181*0.75</f>
        <v>367275.00000000012</v>
      </c>
      <c r="G181" s="10">
        <f>'Raw Orders'!H181</f>
        <v>45717</v>
      </c>
      <c r="H181" s="10">
        <f>'Raw Orders'!I181</f>
        <v>45748</v>
      </c>
      <c r="I181" s="11">
        <f>'Raw Orders'!K181</f>
        <v>0.84</v>
      </c>
      <c r="J181" s="11">
        <f>IF('Raw Orders'!J181,"",(YEAR('Raw Orders'!I181)-YEAR('Raw Orders'!H181))*12+MONTH('Raw Orders'!I181)-MONTH('Raw Orders'!H181))</f>
        <v>1</v>
      </c>
      <c r="K181" t="str">
        <f>IF('Raw Orders'!J181,"Cancelled",IF('Raw Orders'!K181&gt;=2,"Slipped","On plan"))</f>
        <v>On plan</v>
      </c>
      <c r="L181" s="12">
        <f t="shared" si="2"/>
        <v>0</v>
      </c>
    </row>
    <row r="182" spans="1:12" x14ac:dyDescent="0.3">
      <c r="A182" t="str">
        <f>'Raw Orders'!A182</f>
        <v>NX-00178</v>
      </c>
      <c r="B182" t="str">
        <f>'Raw Orders'!B182</f>
        <v>North America</v>
      </c>
      <c r="C182" t="str">
        <f>'Raw Orders'!C182</f>
        <v>US / Canada</v>
      </c>
      <c r="D182" s="11">
        <f>'Raw Orders'!E182</f>
        <v>28.3</v>
      </c>
      <c r="E182" s="12">
        <f>'Raw Orders'!F182</f>
        <v>2348900</v>
      </c>
      <c r="F182" s="12">
        <f>'Raw Orders'!F182*0.75</f>
        <v>1761675</v>
      </c>
      <c r="G182" s="10">
        <f>'Raw Orders'!H182</f>
        <v>45627</v>
      </c>
      <c r="H182" s="10">
        <f>'Raw Orders'!I182</f>
        <v>45627</v>
      </c>
      <c r="I182" s="11">
        <f>'Raw Orders'!K182</f>
        <v>0</v>
      </c>
      <c r="J182" s="11">
        <f>IF('Raw Orders'!J182,"",(YEAR('Raw Orders'!I182)-YEAR('Raw Orders'!H182))*12+MONTH('Raw Orders'!I182)-MONTH('Raw Orders'!H182))</f>
        <v>0</v>
      </c>
      <c r="K182" t="str">
        <f>IF('Raw Orders'!J182,"Cancelled",IF('Raw Orders'!K182&gt;=2,"Slipped","On plan"))</f>
        <v>On plan</v>
      </c>
      <c r="L182" s="12">
        <f t="shared" si="2"/>
        <v>0</v>
      </c>
    </row>
    <row r="183" spans="1:12" x14ac:dyDescent="0.3">
      <c r="A183" t="str">
        <f>'Raw Orders'!A183</f>
        <v>NX-00179</v>
      </c>
      <c r="B183" t="str">
        <f>'Raw Orders'!B183</f>
        <v>North America</v>
      </c>
      <c r="C183" t="str">
        <f>'Raw Orders'!C183</f>
        <v>US / Canada</v>
      </c>
      <c r="D183" s="11">
        <f>'Raw Orders'!E183</f>
        <v>12.8</v>
      </c>
      <c r="E183" s="12">
        <f>'Raw Orders'!F183</f>
        <v>1062400</v>
      </c>
      <c r="F183" s="12">
        <f>'Raw Orders'!F183*0.75</f>
        <v>796800</v>
      </c>
      <c r="G183" s="10">
        <f>'Raw Orders'!H183</f>
        <v>45597</v>
      </c>
      <c r="H183" s="10">
        <f>'Raw Orders'!I183</f>
        <v>45627</v>
      </c>
      <c r="I183" s="11">
        <f>'Raw Orders'!K183</f>
        <v>0.99</v>
      </c>
      <c r="J183" s="11">
        <f>IF('Raw Orders'!J183,"",(YEAR('Raw Orders'!I183)-YEAR('Raw Orders'!H183))*12+MONTH('Raw Orders'!I183)-MONTH('Raw Orders'!H183))</f>
        <v>1</v>
      </c>
      <c r="K183" t="str">
        <f>IF('Raw Orders'!J183,"Cancelled",IF('Raw Orders'!K183&gt;=2,"Slipped","On plan"))</f>
        <v>On plan</v>
      </c>
      <c r="L183" s="12">
        <f t="shared" si="2"/>
        <v>0</v>
      </c>
    </row>
    <row r="184" spans="1:12" x14ac:dyDescent="0.3">
      <c r="A184" t="str">
        <f>'Raw Orders'!A184</f>
        <v>NX-00180</v>
      </c>
      <c r="B184" t="str">
        <f>'Raw Orders'!B184</f>
        <v>North America</v>
      </c>
      <c r="C184" t="str">
        <f>'Raw Orders'!C184</f>
        <v>US / Canada</v>
      </c>
      <c r="D184" s="11">
        <f>'Raw Orders'!E184</f>
        <v>8.1999999999999993</v>
      </c>
      <c r="E184" s="12">
        <f>'Raw Orders'!F184</f>
        <v>680599.99999999988</v>
      </c>
      <c r="F184" s="12">
        <f>'Raw Orders'!F184*0.75</f>
        <v>510449.99999999988</v>
      </c>
      <c r="G184" s="10">
        <f>'Raw Orders'!H184</f>
        <v>45627</v>
      </c>
      <c r="H184" s="10">
        <f>'Raw Orders'!I184</f>
        <v>45627</v>
      </c>
      <c r="I184" s="11">
        <f>'Raw Orders'!K184</f>
        <v>0</v>
      </c>
      <c r="J184" s="11">
        <f>IF('Raw Orders'!J184,"",(YEAR('Raw Orders'!I184)-YEAR('Raw Orders'!H184))*12+MONTH('Raw Orders'!I184)-MONTH('Raw Orders'!H184))</f>
        <v>0</v>
      </c>
      <c r="K184" t="str">
        <f>IF('Raw Orders'!J184,"Cancelled",IF('Raw Orders'!K184&gt;=2,"Slipped","On plan"))</f>
        <v>On plan</v>
      </c>
      <c r="L184" s="12">
        <f t="shared" si="2"/>
        <v>0</v>
      </c>
    </row>
    <row r="185" spans="1:12" x14ac:dyDescent="0.3">
      <c r="A185" t="str">
        <f>'Raw Orders'!A185</f>
        <v>NX-00181</v>
      </c>
      <c r="B185" t="str">
        <f>'Raw Orders'!B185</f>
        <v>North America</v>
      </c>
      <c r="C185" t="str">
        <f>'Raw Orders'!C185</f>
        <v>US / Canada</v>
      </c>
      <c r="D185" s="11">
        <f>'Raw Orders'!E185</f>
        <v>11.5</v>
      </c>
      <c r="E185" s="12">
        <f>'Raw Orders'!F185</f>
        <v>954500</v>
      </c>
      <c r="F185" s="12">
        <f>'Raw Orders'!F185*0.75</f>
        <v>715875</v>
      </c>
      <c r="G185" s="10">
        <f>'Raw Orders'!H185</f>
        <v>45627</v>
      </c>
      <c r="H185" s="10">
        <f>'Raw Orders'!I185</f>
        <v>45627</v>
      </c>
      <c r="I185" s="11">
        <f>'Raw Orders'!K185</f>
        <v>0.06</v>
      </c>
      <c r="J185" s="11">
        <f>IF('Raw Orders'!J185,"",(YEAR('Raw Orders'!I185)-YEAR('Raw Orders'!H185))*12+MONTH('Raw Orders'!I185)-MONTH('Raw Orders'!H185))</f>
        <v>0</v>
      </c>
      <c r="K185" t="str">
        <f>IF('Raw Orders'!J185,"Cancelled",IF('Raw Orders'!K185&gt;=2,"Slipped","On plan"))</f>
        <v>On plan</v>
      </c>
      <c r="L185" s="12">
        <f t="shared" si="2"/>
        <v>0</v>
      </c>
    </row>
    <row r="186" spans="1:12" x14ac:dyDescent="0.3">
      <c r="A186" t="str">
        <f>'Raw Orders'!A186</f>
        <v>NX-00182</v>
      </c>
      <c r="B186" t="str">
        <f>'Raw Orders'!B186</f>
        <v>North America</v>
      </c>
      <c r="C186" t="str">
        <f>'Raw Orders'!C186</f>
        <v>US / Canada</v>
      </c>
      <c r="D186" s="11">
        <f>'Raw Orders'!E186</f>
        <v>7.8</v>
      </c>
      <c r="E186" s="12">
        <f>'Raw Orders'!F186</f>
        <v>647400</v>
      </c>
      <c r="F186" s="12">
        <f>'Raw Orders'!F186*0.75</f>
        <v>485550</v>
      </c>
      <c r="G186" s="10">
        <f>'Raw Orders'!H186</f>
        <v>45627</v>
      </c>
      <c r="H186" s="10">
        <f>'Raw Orders'!I186</f>
        <v>45627</v>
      </c>
      <c r="I186" s="11">
        <f>'Raw Orders'!K186</f>
        <v>0</v>
      </c>
      <c r="J186" s="11">
        <f>IF('Raw Orders'!J186,"",(YEAR('Raw Orders'!I186)-YEAR('Raw Orders'!H186))*12+MONTH('Raw Orders'!I186)-MONTH('Raw Orders'!H186))</f>
        <v>0</v>
      </c>
      <c r="K186" t="str">
        <f>IF('Raw Orders'!J186,"Cancelled",IF('Raw Orders'!K186&gt;=2,"Slipped","On plan"))</f>
        <v>On plan</v>
      </c>
      <c r="L186" s="12">
        <f t="shared" si="2"/>
        <v>0</v>
      </c>
    </row>
    <row r="187" spans="1:12" x14ac:dyDescent="0.3">
      <c r="A187" t="str">
        <f>'Raw Orders'!A187</f>
        <v>NX-00183</v>
      </c>
      <c r="B187" t="str">
        <f>'Raw Orders'!B187</f>
        <v>North America</v>
      </c>
      <c r="C187" t="str">
        <f>'Raw Orders'!C187</f>
        <v>US / Canada</v>
      </c>
      <c r="D187" s="11">
        <f>'Raw Orders'!E187</f>
        <v>8.3000000000000007</v>
      </c>
      <c r="E187" s="12">
        <f>'Raw Orders'!F187</f>
        <v>688900.00000000012</v>
      </c>
      <c r="F187" s="12">
        <f>'Raw Orders'!F187*0.75</f>
        <v>516675.00000000012</v>
      </c>
      <c r="G187" s="10">
        <f>'Raw Orders'!H187</f>
        <v>45748</v>
      </c>
      <c r="H187" s="10">
        <f>'Raw Orders'!I187</f>
        <v>45748</v>
      </c>
      <c r="I187" s="11">
        <f>'Raw Orders'!K187</f>
        <v>0</v>
      </c>
      <c r="J187" s="11">
        <f>IF('Raw Orders'!J187,"",(YEAR('Raw Orders'!I187)-YEAR('Raw Orders'!H187))*12+MONTH('Raw Orders'!I187)-MONTH('Raw Orders'!H187))</f>
        <v>0</v>
      </c>
      <c r="K187" t="str">
        <f>IF('Raw Orders'!J187,"Cancelled",IF('Raw Orders'!K187&gt;=2,"Slipped","On plan"))</f>
        <v>On plan</v>
      </c>
      <c r="L187" s="12">
        <f t="shared" si="2"/>
        <v>0</v>
      </c>
    </row>
    <row r="188" spans="1:12" x14ac:dyDescent="0.3">
      <c r="A188" t="str">
        <f>'Raw Orders'!A188</f>
        <v>NX-00184</v>
      </c>
      <c r="B188" t="str">
        <f>'Raw Orders'!B188</f>
        <v>North America</v>
      </c>
      <c r="C188" t="str">
        <f>'Raw Orders'!C188</f>
        <v>US / Canada</v>
      </c>
      <c r="D188" s="11">
        <f>'Raw Orders'!E188</f>
        <v>4.5999999999999996</v>
      </c>
      <c r="E188" s="12">
        <f>'Raw Orders'!F188</f>
        <v>381800</v>
      </c>
      <c r="F188" s="12">
        <f>'Raw Orders'!F188*0.75</f>
        <v>286350</v>
      </c>
      <c r="G188" s="10">
        <f>'Raw Orders'!H188</f>
        <v>45627</v>
      </c>
      <c r="H188" s="10">
        <f>'Raw Orders'!I188</f>
        <v>45658</v>
      </c>
      <c r="I188" s="11">
        <f>'Raw Orders'!K188</f>
        <v>1.06</v>
      </c>
      <c r="J188" s="11">
        <f>IF('Raw Orders'!J188,"",(YEAR('Raw Orders'!I188)-YEAR('Raw Orders'!H188))*12+MONTH('Raw Orders'!I188)-MONTH('Raw Orders'!H188))</f>
        <v>1</v>
      </c>
      <c r="K188" t="str">
        <f>IF('Raw Orders'!J188,"Cancelled",IF('Raw Orders'!K188&gt;=2,"Slipped","On plan"))</f>
        <v>On plan</v>
      </c>
      <c r="L188" s="12">
        <f t="shared" si="2"/>
        <v>0</v>
      </c>
    </row>
    <row r="189" spans="1:12" x14ac:dyDescent="0.3">
      <c r="A189" t="str">
        <f>'Raw Orders'!A189</f>
        <v>NX-00185</v>
      </c>
      <c r="B189" t="str">
        <f>'Raw Orders'!B189</f>
        <v>North America</v>
      </c>
      <c r="C189" t="str">
        <f>'Raw Orders'!C189</f>
        <v>US / Canada</v>
      </c>
      <c r="D189" s="11">
        <f>'Raw Orders'!E189</f>
        <v>23.1</v>
      </c>
      <c r="E189" s="12">
        <f>'Raw Orders'!F189</f>
        <v>1917300</v>
      </c>
      <c r="F189" s="12">
        <f>'Raw Orders'!F189*0.75</f>
        <v>1437975</v>
      </c>
      <c r="G189" s="10">
        <f>'Raw Orders'!H189</f>
        <v>45778</v>
      </c>
      <c r="H189" s="10">
        <f>'Raw Orders'!I189</f>
        <v>45778</v>
      </c>
      <c r="I189" s="11">
        <f>'Raw Orders'!K189</f>
        <v>0.01</v>
      </c>
      <c r="J189" s="11">
        <f>IF('Raw Orders'!J189,"",(YEAR('Raw Orders'!I189)-YEAR('Raw Orders'!H189))*12+MONTH('Raw Orders'!I189)-MONTH('Raw Orders'!H189))</f>
        <v>0</v>
      </c>
      <c r="K189" t="str">
        <f>IF('Raw Orders'!J189,"Cancelled",IF('Raw Orders'!K189&gt;=2,"Slipped","On plan"))</f>
        <v>On plan</v>
      </c>
      <c r="L189" s="12">
        <f t="shared" si="2"/>
        <v>0</v>
      </c>
    </row>
    <row r="190" spans="1:12" x14ac:dyDescent="0.3">
      <c r="A190" t="str">
        <f>'Raw Orders'!A190</f>
        <v>NX-00186</v>
      </c>
      <c r="B190" t="str">
        <f>'Raw Orders'!B190</f>
        <v>North America</v>
      </c>
      <c r="C190" t="str">
        <f>'Raw Orders'!C190</f>
        <v>US / Canada</v>
      </c>
      <c r="D190" s="11">
        <f>'Raw Orders'!E190</f>
        <v>13.6</v>
      </c>
      <c r="E190" s="12">
        <f>'Raw Orders'!F190</f>
        <v>1128800</v>
      </c>
      <c r="F190" s="12">
        <f>'Raw Orders'!F190*0.75</f>
        <v>846600</v>
      </c>
      <c r="G190" s="10">
        <f>'Raw Orders'!H190</f>
        <v>45748</v>
      </c>
      <c r="H190" s="10">
        <f>'Raw Orders'!I190</f>
        <v>45748</v>
      </c>
      <c r="I190" s="11">
        <f>'Raw Orders'!K190</f>
        <v>0.01</v>
      </c>
      <c r="J190" s="11">
        <f>IF('Raw Orders'!J190,"",(YEAR('Raw Orders'!I190)-YEAR('Raw Orders'!H190))*12+MONTH('Raw Orders'!I190)-MONTH('Raw Orders'!H190))</f>
        <v>0</v>
      </c>
      <c r="K190" t="str">
        <f>IF('Raw Orders'!J190,"Cancelled",IF('Raw Orders'!K190&gt;=2,"Slipped","On plan"))</f>
        <v>On plan</v>
      </c>
      <c r="L190" s="12">
        <f t="shared" si="2"/>
        <v>0</v>
      </c>
    </row>
    <row r="191" spans="1:12" x14ac:dyDescent="0.3">
      <c r="A191" t="str">
        <f>'Raw Orders'!A191</f>
        <v>NX-00187</v>
      </c>
      <c r="B191" t="str">
        <f>'Raw Orders'!B191</f>
        <v>North America</v>
      </c>
      <c r="C191" t="str">
        <f>'Raw Orders'!C191</f>
        <v>US / Canada</v>
      </c>
      <c r="D191" s="11">
        <f>'Raw Orders'!E191</f>
        <v>4.5</v>
      </c>
      <c r="E191" s="12">
        <f>'Raw Orders'!F191</f>
        <v>373500</v>
      </c>
      <c r="F191" s="12">
        <f>'Raw Orders'!F191*0.75</f>
        <v>280125</v>
      </c>
      <c r="G191" s="10">
        <f>'Raw Orders'!H191</f>
        <v>45717</v>
      </c>
      <c r="H191" s="10">
        <f>'Raw Orders'!I191</f>
        <v>45717</v>
      </c>
      <c r="I191" s="11">
        <f>'Raw Orders'!K191</f>
        <v>0</v>
      </c>
      <c r="J191" s="11">
        <f>IF('Raw Orders'!J191,"",(YEAR('Raw Orders'!I191)-YEAR('Raw Orders'!H191))*12+MONTH('Raw Orders'!I191)-MONTH('Raw Orders'!H191))</f>
        <v>0</v>
      </c>
      <c r="K191" t="str">
        <f>IF('Raw Orders'!J191,"Cancelled",IF('Raw Orders'!K191&gt;=2,"Slipped","On plan"))</f>
        <v>On plan</v>
      </c>
      <c r="L191" s="12">
        <f t="shared" si="2"/>
        <v>0</v>
      </c>
    </row>
    <row r="192" spans="1:12" x14ac:dyDescent="0.3">
      <c r="A192" t="str">
        <f>'Raw Orders'!A192</f>
        <v>NX-00188</v>
      </c>
      <c r="B192" t="str">
        <f>'Raw Orders'!B192</f>
        <v>North America</v>
      </c>
      <c r="C192" t="str">
        <f>'Raw Orders'!C192</f>
        <v>US / Canada</v>
      </c>
      <c r="D192" s="11">
        <f>'Raw Orders'!E192</f>
        <v>29.7</v>
      </c>
      <c r="E192" s="12">
        <f>'Raw Orders'!F192</f>
        <v>2465100</v>
      </c>
      <c r="F192" s="12">
        <f>'Raw Orders'!F192*0.75</f>
        <v>1848825</v>
      </c>
      <c r="G192" s="10">
        <f>'Raw Orders'!H192</f>
        <v>45597</v>
      </c>
      <c r="H192" s="10">
        <f>'Raw Orders'!I192</f>
        <v>45627</v>
      </c>
      <c r="I192" s="11">
        <f>'Raw Orders'!K192</f>
        <v>1.38</v>
      </c>
      <c r="J192" s="11">
        <f>IF('Raw Orders'!J192,"",(YEAR('Raw Orders'!I192)-YEAR('Raw Orders'!H192))*12+MONTH('Raw Orders'!I192)-MONTH('Raw Orders'!H192))</f>
        <v>1</v>
      </c>
      <c r="K192" t="str">
        <f>IF('Raw Orders'!J192,"Cancelled",IF('Raw Orders'!K192&gt;=2,"Slipped","On plan"))</f>
        <v>On plan</v>
      </c>
      <c r="L192" s="12">
        <f t="shared" si="2"/>
        <v>0</v>
      </c>
    </row>
    <row r="193" spans="1:12" x14ac:dyDescent="0.3">
      <c r="A193" t="str">
        <f>'Raw Orders'!A193</f>
        <v>NX-00189</v>
      </c>
      <c r="B193" t="str">
        <f>'Raw Orders'!B193</f>
        <v>North America</v>
      </c>
      <c r="C193" t="str">
        <f>'Raw Orders'!C193</f>
        <v>US / Canada</v>
      </c>
      <c r="D193" s="11">
        <f>'Raw Orders'!E193</f>
        <v>9</v>
      </c>
      <c r="E193" s="12">
        <f>'Raw Orders'!F193</f>
        <v>747000</v>
      </c>
      <c r="F193" s="12">
        <f>'Raw Orders'!F193*0.75</f>
        <v>560250</v>
      </c>
      <c r="G193" s="10">
        <f>'Raw Orders'!H193</f>
        <v>45717</v>
      </c>
      <c r="H193" s="10">
        <f>'Raw Orders'!I193</f>
        <v>45748</v>
      </c>
      <c r="I193" s="11">
        <f>'Raw Orders'!K193</f>
        <v>0.88</v>
      </c>
      <c r="J193" s="11">
        <f>IF('Raw Orders'!J193,"",(YEAR('Raw Orders'!I193)-YEAR('Raw Orders'!H193))*12+MONTH('Raw Orders'!I193)-MONTH('Raw Orders'!H193))</f>
        <v>1</v>
      </c>
      <c r="K193" t="str">
        <f>IF('Raw Orders'!J193,"Cancelled",IF('Raw Orders'!K193&gt;=2,"Slipped","On plan"))</f>
        <v>On plan</v>
      </c>
      <c r="L193" s="12">
        <f t="shared" si="2"/>
        <v>0</v>
      </c>
    </row>
    <row r="194" spans="1:12" x14ac:dyDescent="0.3">
      <c r="A194" t="str">
        <f>'Raw Orders'!A194</f>
        <v>NX-00190</v>
      </c>
      <c r="B194" t="str">
        <f>'Raw Orders'!B194</f>
        <v>North America</v>
      </c>
      <c r="C194" t="str">
        <f>'Raw Orders'!C194</f>
        <v>US / Canada</v>
      </c>
      <c r="D194" s="11">
        <f>'Raw Orders'!E194</f>
        <v>15</v>
      </c>
      <c r="E194" s="12">
        <f>'Raw Orders'!F194</f>
        <v>1245000</v>
      </c>
      <c r="F194" s="12">
        <f>'Raw Orders'!F194*0.75</f>
        <v>933750</v>
      </c>
      <c r="G194" s="10">
        <f>'Raw Orders'!H194</f>
        <v>45689</v>
      </c>
      <c r="H194" s="10">
        <f>'Raw Orders'!I194</f>
        <v>45689</v>
      </c>
      <c r="I194" s="11">
        <f>'Raw Orders'!K194</f>
        <v>0</v>
      </c>
      <c r="J194" s="11">
        <f>IF('Raw Orders'!J194,"",(YEAR('Raw Orders'!I194)-YEAR('Raw Orders'!H194))*12+MONTH('Raw Orders'!I194)-MONTH('Raw Orders'!H194))</f>
        <v>0</v>
      </c>
      <c r="K194" t="str">
        <f>IF('Raw Orders'!J194,"Cancelled",IF('Raw Orders'!K194&gt;=2,"Slipped","On plan"))</f>
        <v>On plan</v>
      </c>
      <c r="L194" s="12">
        <f t="shared" si="2"/>
        <v>0</v>
      </c>
    </row>
    <row r="195" spans="1:12" x14ac:dyDescent="0.3">
      <c r="A195" t="str">
        <f>'Raw Orders'!A195</f>
        <v>NX-00191</v>
      </c>
      <c r="B195" t="str">
        <f>'Raw Orders'!B195</f>
        <v>North America</v>
      </c>
      <c r="C195" t="str">
        <f>'Raw Orders'!C195</f>
        <v>US / Canada</v>
      </c>
      <c r="D195" s="11">
        <f>'Raw Orders'!E195</f>
        <v>5.3</v>
      </c>
      <c r="E195" s="12">
        <f>'Raw Orders'!F195</f>
        <v>439900</v>
      </c>
      <c r="F195" s="12">
        <f>'Raw Orders'!F195*0.75</f>
        <v>329925</v>
      </c>
      <c r="G195" s="10">
        <f>'Raw Orders'!H195</f>
        <v>45627</v>
      </c>
      <c r="H195" s="10">
        <f>'Raw Orders'!I195</f>
        <v>45627</v>
      </c>
      <c r="I195" s="11">
        <f>'Raw Orders'!K195</f>
        <v>0</v>
      </c>
      <c r="J195" s="11">
        <f>IF('Raw Orders'!J195,"",(YEAR('Raw Orders'!I195)-YEAR('Raw Orders'!H195))*12+MONTH('Raw Orders'!I195)-MONTH('Raw Orders'!H195))</f>
        <v>0</v>
      </c>
      <c r="K195" t="str">
        <f>IF('Raw Orders'!J195,"Cancelled",IF('Raw Orders'!K195&gt;=2,"Slipped","On plan"))</f>
        <v>On plan</v>
      </c>
      <c r="L195" s="12">
        <f t="shared" si="2"/>
        <v>0</v>
      </c>
    </row>
    <row r="196" spans="1:12" x14ac:dyDescent="0.3">
      <c r="A196" t="str">
        <f>'Raw Orders'!A196</f>
        <v>NX-00192</v>
      </c>
      <c r="B196" t="str">
        <f>'Raw Orders'!B196</f>
        <v>North America</v>
      </c>
      <c r="C196" t="str">
        <f>'Raw Orders'!C196</f>
        <v>US / Canada</v>
      </c>
      <c r="D196" s="11">
        <f>'Raw Orders'!E196</f>
        <v>9.5</v>
      </c>
      <c r="E196" s="12">
        <f>'Raw Orders'!F196</f>
        <v>788500</v>
      </c>
      <c r="F196" s="12">
        <f>'Raw Orders'!F196*0.75</f>
        <v>591375</v>
      </c>
      <c r="G196" s="10">
        <f>'Raw Orders'!H196</f>
        <v>45658</v>
      </c>
      <c r="H196" s="10">
        <f>'Raw Orders'!I196</f>
        <v>45658</v>
      </c>
      <c r="I196" s="11">
        <f>'Raw Orders'!K196</f>
        <v>0.15</v>
      </c>
      <c r="J196" s="11">
        <f>IF('Raw Orders'!J196,"",(YEAR('Raw Orders'!I196)-YEAR('Raw Orders'!H196))*12+MONTH('Raw Orders'!I196)-MONTH('Raw Orders'!H196))</f>
        <v>0</v>
      </c>
      <c r="K196" t="str">
        <f>IF('Raw Orders'!J196,"Cancelled",IF('Raw Orders'!K196&gt;=2,"Slipped","On plan"))</f>
        <v>On plan</v>
      </c>
      <c r="L196" s="12">
        <f t="shared" si="2"/>
        <v>0</v>
      </c>
    </row>
    <row r="197" spans="1:12" x14ac:dyDescent="0.3">
      <c r="A197" t="str">
        <f>'Raw Orders'!A197</f>
        <v>NX-00193</v>
      </c>
      <c r="B197" t="str">
        <f>'Raw Orders'!B197</f>
        <v>North America</v>
      </c>
      <c r="C197" t="str">
        <f>'Raw Orders'!C197</f>
        <v>US / Canada</v>
      </c>
      <c r="D197" s="11">
        <f>'Raw Orders'!E197</f>
        <v>11.6</v>
      </c>
      <c r="E197" s="12">
        <f>'Raw Orders'!F197</f>
        <v>962800</v>
      </c>
      <c r="F197" s="12">
        <f>'Raw Orders'!F197*0.75</f>
        <v>722100</v>
      </c>
      <c r="G197" s="10">
        <f>'Raw Orders'!H197</f>
        <v>45597</v>
      </c>
      <c r="H197" s="10">
        <f>'Raw Orders'!I197</f>
        <v>45597</v>
      </c>
      <c r="I197" s="11">
        <f>'Raw Orders'!K197</f>
        <v>0.39</v>
      </c>
      <c r="J197" s="11">
        <f>IF('Raw Orders'!J197,"",(YEAR('Raw Orders'!I197)-YEAR('Raw Orders'!H197))*12+MONTH('Raw Orders'!I197)-MONTH('Raw Orders'!H197))</f>
        <v>0</v>
      </c>
      <c r="K197" t="str">
        <f>IF('Raw Orders'!J197,"Cancelled",IF('Raw Orders'!K197&gt;=2,"Slipped","On plan"))</f>
        <v>On plan</v>
      </c>
      <c r="L197" s="12">
        <f t="shared" ref="L197:L260" si="3">IF(K197="On plan",0,F197)</f>
        <v>0</v>
      </c>
    </row>
    <row r="198" spans="1:12" x14ac:dyDescent="0.3">
      <c r="A198" t="str">
        <f>'Raw Orders'!A198</f>
        <v>NX-00194</v>
      </c>
      <c r="B198" t="str">
        <f>'Raw Orders'!B198</f>
        <v>North America</v>
      </c>
      <c r="C198" t="str">
        <f>'Raw Orders'!C198</f>
        <v>US / Canada</v>
      </c>
      <c r="D198" s="11">
        <f>'Raw Orders'!E198</f>
        <v>6.9</v>
      </c>
      <c r="E198" s="12">
        <f>'Raw Orders'!F198</f>
        <v>572700</v>
      </c>
      <c r="F198" s="12">
        <f>'Raw Orders'!F198*0.75</f>
        <v>429525</v>
      </c>
      <c r="G198" s="10">
        <f>'Raw Orders'!H198</f>
        <v>45658</v>
      </c>
      <c r="H198" s="10">
        <f>'Raw Orders'!I198</f>
        <v>45658</v>
      </c>
      <c r="I198" s="11">
        <f>'Raw Orders'!K198</f>
        <v>0.11</v>
      </c>
      <c r="J198" s="11">
        <f>IF('Raw Orders'!J198,"",(YEAR('Raw Orders'!I198)-YEAR('Raw Orders'!H198))*12+MONTH('Raw Orders'!I198)-MONTH('Raw Orders'!H198))</f>
        <v>0</v>
      </c>
      <c r="K198" t="str">
        <f>IF('Raw Orders'!J198,"Cancelled",IF('Raw Orders'!K198&gt;=2,"Slipped","On plan"))</f>
        <v>On plan</v>
      </c>
      <c r="L198" s="12">
        <f t="shared" si="3"/>
        <v>0</v>
      </c>
    </row>
    <row r="199" spans="1:12" x14ac:dyDescent="0.3">
      <c r="A199" t="str">
        <f>'Raw Orders'!A199</f>
        <v>NX-00195</v>
      </c>
      <c r="B199" t="str">
        <f>'Raw Orders'!B199</f>
        <v>North America</v>
      </c>
      <c r="C199" t="str">
        <f>'Raw Orders'!C199</f>
        <v>US / Canada</v>
      </c>
      <c r="D199" s="11">
        <f>'Raw Orders'!E199</f>
        <v>18.5</v>
      </c>
      <c r="E199" s="12">
        <f>'Raw Orders'!F199</f>
        <v>1535500</v>
      </c>
      <c r="F199" s="12">
        <f>'Raw Orders'!F199*0.75</f>
        <v>1151625</v>
      </c>
      <c r="G199" s="10">
        <f>'Raw Orders'!H199</f>
        <v>45748</v>
      </c>
      <c r="H199" s="10">
        <f>'Raw Orders'!I199</f>
        <v>45748</v>
      </c>
      <c r="I199" s="11">
        <f>'Raw Orders'!K199</f>
        <v>0.15</v>
      </c>
      <c r="J199" s="11">
        <f>IF('Raw Orders'!J199,"",(YEAR('Raw Orders'!I199)-YEAR('Raw Orders'!H199))*12+MONTH('Raw Orders'!I199)-MONTH('Raw Orders'!H199))</f>
        <v>0</v>
      </c>
      <c r="K199" t="str">
        <f>IF('Raw Orders'!J199,"Cancelled",IF('Raw Orders'!K199&gt;=2,"Slipped","On plan"))</f>
        <v>On plan</v>
      </c>
      <c r="L199" s="12">
        <f t="shared" si="3"/>
        <v>0</v>
      </c>
    </row>
    <row r="200" spans="1:12" x14ac:dyDescent="0.3">
      <c r="A200" t="str">
        <f>'Raw Orders'!A200</f>
        <v>NX-00196</v>
      </c>
      <c r="B200" t="str">
        <f>'Raw Orders'!B200</f>
        <v>North America</v>
      </c>
      <c r="C200" t="str">
        <f>'Raw Orders'!C200</f>
        <v>US / Canada</v>
      </c>
      <c r="D200" s="11">
        <f>'Raw Orders'!E200</f>
        <v>38.4</v>
      </c>
      <c r="E200" s="12">
        <f>'Raw Orders'!F200</f>
        <v>3187200</v>
      </c>
      <c r="F200" s="12">
        <f>'Raw Orders'!F200*0.75</f>
        <v>2390400</v>
      </c>
      <c r="G200" s="10">
        <f>'Raw Orders'!H200</f>
        <v>45717</v>
      </c>
      <c r="H200" s="10">
        <f>'Raw Orders'!I200</f>
        <v>45748</v>
      </c>
      <c r="I200" s="11">
        <f>'Raw Orders'!K200</f>
        <v>1.08</v>
      </c>
      <c r="J200" s="11">
        <f>IF('Raw Orders'!J200,"",(YEAR('Raw Orders'!I200)-YEAR('Raw Orders'!H200))*12+MONTH('Raw Orders'!I200)-MONTH('Raw Orders'!H200))</f>
        <v>1</v>
      </c>
      <c r="K200" t="str">
        <f>IF('Raw Orders'!J200,"Cancelled",IF('Raw Orders'!K200&gt;=2,"Slipped","On plan"))</f>
        <v>On plan</v>
      </c>
      <c r="L200" s="12">
        <f t="shared" si="3"/>
        <v>0</v>
      </c>
    </row>
    <row r="201" spans="1:12" x14ac:dyDescent="0.3">
      <c r="A201" t="str">
        <f>'Raw Orders'!A201</f>
        <v>NX-00197</v>
      </c>
      <c r="B201" t="str">
        <f>'Raw Orders'!B201</f>
        <v>North America</v>
      </c>
      <c r="C201" t="str">
        <f>'Raw Orders'!C201</f>
        <v>US / Canada</v>
      </c>
      <c r="D201" s="11">
        <f>'Raw Orders'!E201</f>
        <v>61.2</v>
      </c>
      <c r="E201" s="12">
        <f>'Raw Orders'!F201</f>
        <v>5079600</v>
      </c>
      <c r="F201" s="12">
        <f>'Raw Orders'!F201*0.75</f>
        <v>3809700</v>
      </c>
      <c r="G201" s="10">
        <f>'Raw Orders'!H201</f>
        <v>45778</v>
      </c>
      <c r="H201" s="10">
        <f>'Raw Orders'!I201</f>
        <v>45778</v>
      </c>
      <c r="I201" s="11">
        <f>'Raw Orders'!K201</f>
        <v>0</v>
      </c>
      <c r="J201" s="11">
        <f>IF('Raw Orders'!J201,"",(YEAR('Raw Orders'!I201)-YEAR('Raw Orders'!H201))*12+MONTH('Raw Orders'!I201)-MONTH('Raw Orders'!H201))</f>
        <v>0</v>
      </c>
      <c r="K201" t="str">
        <f>IF('Raw Orders'!J201,"Cancelled",IF('Raw Orders'!K201&gt;=2,"Slipped","On plan"))</f>
        <v>On plan</v>
      </c>
      <c r="L201" s="12">
        <f t="shared" si="3"/>
        <v>0</v>
      </c>
    </row>
    <row r="202" spans="1:12" x14ac:dyDescent="0.3">
      <c r="A202" t="str">
        <f>'Raw Orders'!A202</f>
        <v>NX-00198</v>
      </c>
      <c r="B202" t="str">
        <f>'Raw Orders'!B202</f>
        <v>North America</v>
      </c>
      <c r="C202" t="str">
        <f>'Raw Orders'!C202</f>
        <v>US / Canada</v>
      </c>
      <c r="D202" s="11">
        <f>'Raw Orders'!E202</f>
        <v>11.5</v>
      </c>
      <c r="E202" s="12">
        <f>'Raw Orders'!F202</f>
        <v>954500</v>
      </c>
      <c r="F202" s="12">
        <f>'Raw Orders'!F202*0.75</f>
        <v>715875</v>
      </c>
      <c r="G202" s="10">
        <f>'Raw Orders'!H202</f>
        <v>45658</v>
      </c>
      <c r="H202" s="10">
        <f>'Raw Orders'!I202</f>
        <v>45658</v>
      </c>
      <c r="I202" s="11">
        <f>'Raw Orders'!K202</f>
        <v>0.49</v>
      </c>
      <c r="J202" s="11">
        <f>IF('Raw Orders'!J202,"",(YEAR('Raw Orders'!I202)-YEAR('Raw Orders'!H202))*12+MONTH('Raw Orders'!I202)-MONTH('Raw Orders'!H202))</f>
        <v>0</v>
      </c>
      <c r="K202" t="str">
        <f>IF('Raw Orders'!J202,"Cancelled",IF('Raw Orders'!K202&gt;=2,"Slipped","On plan"))</f>
        <v>On plan</v>
      </c>
      <c r="L202" s="12">
        <f t="shared" si="3"/>
        <v>0</v>
      </c>
    </row>
    <row r="203" spans="1:12" x14ac:dyDescent="0.3">
      <c r="A203" t="str">
        <f>'Raw Orders'!A203</f>
        <v>NX-00199</v>
      </c>
      <c r="B203" t="str">
        <f>'Raw Orders'!B203</f>
        <v>North America</v>
      </c>
      <c r="C203" t="str">
        <f>'Raw Orders'!C203</f>
        <v>US / Canada</v>
      </c>
      <c r="D203" s="11">
        <f>'Raw Orders'!E203</f>
        <v>16.8</v>
      </c>
      <c r="E203" s="12">
        <f>'Raw Orders'!F203</f>
        <v>1394400</v>
      </c>
      <c r="F203" s="12">
        <f>'Raw Orders'!F203*0.75</f>
        <v>1045800</v>
      </c>
      <c r="G203" s="10">
        <f>'Raw Orders'!H203</f>
        <v>45717</v>
      </c>
      <c r="H203" s="10">
        <f>'Raw Orders'!I203</f>
        <v>45717</v>
      </c>
      <c r="I203" s="11">
        <f>'Raw Orders'!K203</f>
        <v>0</v>
      </c>
      <c r="J203" s="11">
        <f>IF('Raw Orders'!J203,"",(YEAR('Raw Orders'!I203)-YEAR('Raw Orders'!H203))*12+MONTH('Raw Orders'!I203)-MONTH('Raw Orders'!H203))</f>
        <v>0</v>
      </c>
      <c r="K203" t="str">
        <f>IF('Raw Orders'!J203,"Cancelled",IF('Raw Orders'!K203&gt;=2,"Slipped","On plan"))</f>
        <v>On plan</v>
      </c>
      <c r="L203" s="12">
        <f t="shared" si="3"/>
        <v>0</v>
      </c>
    </row>
    <row r="204" spans="1:12" x14ac:dyDescent="0.3">
      <c r="A204" t="str">
        <f>'Raw Orders'!A204</f>
        <v>NX-00200</v>
      </c>
      <c r="B204" t="str">
        <f>'Raw Orders'!B204</f>
        <v>North America</v>
      </c>
      <c r="C204" t="str">
        <f>'Raw Orders'!C204</f>
        <v>US / Canada</v>
      </c>
      <c r="D204" s="11">
        <f>'Raw Orders'!E204</f>
        <v>9.9</v>
      </c>
      <c r="E204" s="12">
        <f>'Raw Orders'!F204</f>
        <v>821700</v>
      </c>
      <c r="F204" s="12">
        <f>'Raw Orders'!F204*0.75</f>
        <v>616275</v>
      </c>
      <c r="G204" s="10">
        <f>'Raw Orders'!H204</f>
        <v>45597</v>
      </c>
      <c r="H204" s="10">
        <f>'Raw Orders'!I204</f>
        <v>45658</v>
      </c>
      <c r="I204" s="11">
        <f>'Raw Orders'!K204</f>
        <v>1.6</v>
      </c>
      <c r="J204" s="11">
        <f>IF('Raw Orders'!J204,"",(YEAR('Raw Orders'!I204)-YEAR('Raw Orders'!H204))*12+MONTH('Raw Orders'!I204)-MONTH('Raw Orders'!H204))</f>
        <v>2</v>
      </c>
      <c r="K204" t="str">
        <f>IF('Raw Orders'!J204,"Cancelled",IF('Raw Orders'!K204&gt;=2,"Slipped","On plan"))</f>
        <v>On plan</v>
      </c>
      <c r="L204" s="12">
        <f t="shared" si="3"/>
        <v>0</v>
      </c>
    </row>
    <row r="205" spans="1:12" x14ac:dyDescent="0.3">
      <c r="A205" t="str">
        <f>'Raw Orders'!A205</f>
        <v>NX-00201</v>
      </c>
      <c r="B205" t="str">
        <f>'Raw Orders'!B205</f>
        <v>North America</v>
      </c>
      <c r="C205" t="str">
        <f>'Raw Orders'!C205</f>
        <v>US / Canada</v>
      </c>
      <c r="D205" s="11">
        <f>'Raw Orders'!E205</f>
        <v>62.8</v>
      </c>
      <c r="E205" s="12">
        <f>'Raw Orders'!F205</f>
        <v>5212400</v>
      </c>
      <c r="F205" s="12">
        <f>'Raw Orders'!F205*0.75</f>
        <v>3909300</v>
      </c>
      <c r="G205" s="10">
        <f>'Raw Orders'!H205</f>
        <v>45627</v>
      </c>
      <c r="H205" s="10">
        <f>'Raw Orders'!I205</f>
        <v>45627</v>
      </c>
      <c r="I205" s="11">
        <f>'Raw Orders'!K205</f>
        <v>0.36</v>
      </c>
      <c r="J205" s="11">
        <f>IF('Raw Orders'!J205,"",(YEAR('Raw Orders'!I205)-YEAR('Raw Orders'!H205))*12+MONTH('Raw Orders'!I205)-MONTH('Raw Orders'!H205))</f>
        <v>0</v>
      </c>
      <c r="K205" t="str">
        <f>IF('Raw Orders'!J205,"Cancelled",IF('Raw Orders'!K205&gt;=2,"Slipped","On plan"))</f>
        <v>On plan</v>
      </c>
      <c r="L205" s="12">
        <f t="shared" si="3"/>
        <v>0</v>
      </c>
    </row>
    <row r="206" spans="1:12" x14ac:dyDescent="0.3">
      <c r="A206" t="str">
        <f>'Raw Orders'!A206</f>
        <v>NX-00202</v>
      </c>
      <c r="B206" t="str">
        <f>'Raw Orders'!B206</f>
        <v>North America</v>
      </c>
      <c r="C206" t="str">
        <f>'Raw Orders'!C206</f>
        <v>US / Canada</v>
      </c>
      <c r="D206" s="11">
        <f>'Raw Orders'!E206</f>
        <v>29.6</v>
      </c>
      <c r="E206" s="12">
        <f>'Raw Orders'!F206</f>
        <v>2456800</v>
      </c>
      <c r="F206" s="12">
        <f>'Raw Orders'!F206*0.75</f>
        <v>1842600</v>
      </c>
      <c r="G206" s="10">
        <f>'Raw Orders'!H206</f>
        <v>45627</v>
      </c>
      <c r="H206" s="10">
        <f>'Raw Orders'!I206</f>
        <v>45627</v>
      </c>
      <c r="I206" s="11">
        <f>'Raw Orders'!K206</f>
        <v>0.2</v>
      </c>
      <c r="J206" s="11">
        <f>IF('Raw Orders'!J206,"",(YEAR('Raw Orders'!I206)-YEAR('Raw Orders'!H206))*12+MONTH('Raw Orders'!I206)-MONTH('Raw Orders'!H206))</f>
        <v>0</v>
      </c>
      <c r="K206" t="str">
        <f>IF('Raw Orders'!J206,"Cancelled",IF('Raw Orders'!K206&gt;=2,"Slipped","On plan"))</f>
        <v>On plan</v>
      </c>
      <c r="L206" s="12">
        <f t="shared" si="3"/>
        <v>0</v>
      </c>
    </row>
    <row r="207" spans="1:12" x14ac:dyDescent="0.3">
      <c r="A207" t="str">
        <f>'Raw Orders'!A207</f>
        <v>NX-00203</v>
      </c>
      <c r="B207" t="str">
        <f>'Raw Orders'!B207</f>
        <v>North America</v>
      </c>
      <c r="C207" t="str">
        <f>'Raw Orders'!C207</f>
        <v>US / Canada</v>
      </c>
      <c r="D207" s="11">
        <f>'Raw Orders'!E207</f>
        <v>76</v>
      </c>
      <c r="E207" s="12">
        <f>'Raw Orders'!F207</f>
        <v>6308000</v>
      </c>
      <c r="F207" s="12">
        <f>'Raw Orders'!F207*0.75</f>
        <v>4731000</v>
      </c>
      <c r="G207" s="10">
        <f>'Raw Orders'!H207</f>
        <v>45627</v>
      </c>
      <c r="H207" s="10">
        <f>'Raw Orders'!I207</f>
        <v>45627</v>
      </c>
      <c r="I207" s="11">
        <f>'Raw Orders'!K207</f>
        <v>0</v>
      </c>
      <c r="J207" s="11">
        <f>IF('Raw Orders'!J207,"",(YEAR('Raw Orders'!I207)-YEAR('Raw Orders'!H207))*12+MONTH('Raw Orders'!I207)-MONTH('Raw Orders'!H207))</f>
        <v>0</v>
      </c>
      <c r="K207" t="str">
        <f>IF('Raw Orders'!J207,"Cancelled",IF('Raw Orders'!K207&gt;=2,"Slipped","On plan"))</f>
        <v>On plan</v>
      </c>
      <c r="L207" s="12">
        <f t="shared" si="3"/>
        <v>0</v>
      </c>
    </row>
    <row r="208" spans="1:12" x14ac:dyDescent="0.3">
      <c r="A208" t="str">
        <f>'Raw Orders'!A208</f>
        <v>NX-00204</v>
      </c>
      <c r="B208" t="str">
        <f>'Raw Orders'!B208</f>
        <v>North America</v>
      </c>
      <c r="C208" t="str">
        <f>'Raw Orders'!C208</f>
        <v>US / Canada</v>
      </c>
      <c r="D208" s="11">
        <f>'Raw Orders'!E208</f>
        <v>21.4</v>
      </c>
      <c r="E208" s="12">
        <f>'Raw Orders'!F208</f>
        <v>1776200</v>
      </c>
      <c r="F208" s="12">
        <f>'Raw Orders'!F208*0.75</f>
        <v>1332150</v>
      </c>
      <c r="G208" s="10">
        <f>'Raw Orders'!H208</f>
        <v>45658</v>
      </c>
      <c r="H208" s="10">
        <f>'Raw Orders'!I208</f>
        <v>45658</v>
      </c>
      <c r="I208" s="11">
        <f>'Raw Orders'!K208</f>
        <v>0.01</v>
      </c>
      <c r="J208" s="11">
        <f>IF('Raw Orders'!J208,"",(YEAR('Raw Orders'!I208)-YEAR('Raw Orders'!H208))*12+MONTH('Raw Orders'!I208)-MONTH('Raw Orders'!H208))</f>
        <v>0</v>
      </c>
      <c r="K208" t="str">
        <f>IF('Raw Orders'!J208,"Cancelled",IF('Raw Orders'!K208&gt;=2,"Slipped","On plan"))</f>
        <v>On plan</v>
      </c>
      <c r="L208" s="12">
        <f t="shared" si="3"/>
        <v>0</v>
      </c>
    </row>
    <row r="209" spans="1:12" x14ac:dyDescent="0.3">
      <c r="A209" t="str">
        <f>'Raw Orders'!A209</f>
        <v>NX-00205</v>
      </c>
      <c r="B209" t="str">
        <f>'Raw Orders'!B209</f>
        <v>North America</v>
      </c>
      <c r="C209" t="str">
        <f>'Raw Orders'!C209</f>
        <v>US / Canada</v>
      </c>
      <c r="D209" s="11">
        <f>'Raw Orders'!E209</f>
        <v>4.7</v>
      </c>
      <c r="E209" s="12">
        <f>'Raw Orders'!F209</f>
        <v>390100</v>
      </c>
      <c r="F209" s="12">
        <f>'Raw Orders'!F209*0.75</f>
        <v>292575</v>
      </c>
      <c r="G209" s="10">
        <f>'Raw Orders'!H209</f>
        <v>45658</v>
      </c>
      <c r="H209" s="10">
        <f>'Raw Orders'!I209</f>
        <v>45658</v>
      </c>
      <c r="I209" s="11">
        <f>'Raw Orders'!K209</f>
        <v>0</v>
      </c>
      <c r="J209" s="11">
        <f>IF('Raw Orders'!J209,"",(YEAR('Raw Orders'!I209)-YEAR('Raw Orders'!H209))*12+MONTH('Raw Orders'!I209)-MONTH('Raw Orders'!H209))</f>
        <v>0</v>
      </c>
      <c r="K209" t="str">
        <f>IF('Raw Orders'!J209,"Cancelled",IF('Raw Orders'!K209&gt;=2,"Slipped","On plan"))</f>
        <v>On plan</v>
      </c>
      <c r="L209" s="12">
        <f t="shared" si="3"/>
        <v>0</v>
      </c>
    </row>
    <row r="210" spans="1:12" x14ac:dyDescent="0.3">
      <c r="A210" t="str">
        <f>'Raw Orders'!A210</f>
        <v>NX-00206</v>
      </c>
      <c r="B210" t="str">
        <f>'Raw Orders'!B210</f>
        <v>North America</v>
      </c>
      <c r="C210" t="str">
        <f>'Raw Orders'!C210</f>
        <v>US / Canada</v>
      </c>
      <c r="D210" s="11">
        <f>'Raw Orders'!E210</f>
        <v>7.9</v>
      </c>
      <c r="E210" s="12">
        <f>'Raw Orders'!F210</f>
        <v>655700</v>
      </c>
      <c r="F210" s="12">
        <f>'Raw Orders'!F210*0.75</f>
        <v>491775</v>
      </c>
      <c r="G210" s="10">
        <f>'Raw Orders'!H210</f>
        <v>45658</v>
      </c>
      <c r="H210" s="10">
        <f>'Raw Orders'!I210</f>
        <v>45658</v>
      </c>
      <c r="I210" s="11">
        <f>'Raw Orders'!K210</f>
        <v>0.09</v>
      </c>
      <c r="J210" s="11">
        <f>IF('Raw Orders'!J210,"",(YEAR('Raw Orders'!I210)-YEAR('Raw Orders'!H210))*12+MONTH('Raw Orders'!I210)-MONTH('Raw Orders'!H210))</f>
        <v>0</v>
      </c>
      <c r="K210" t="str">
        <f>IF('Raw Orders'!J210,"Cancelled",IF('Raw Orders'!K210&gt;=2,"Slipped","On plan"))</f>
        <v>On plan</v>
      </c>
      <c r="L210" s="12">
        <f t="shared" si="3"/>
        <v>0</v>
      </c>
    </row>
    <row r="211" spans="1:12" x14ac:dyDescent="0.3">
      <c r="A211" t="str">
        <f>'Raw Orders'!A211</f>
        <v>NX-00207</v>
      </c>
      <c r="B211" t="str">
        <f>'Raw Orders'!B211</f>
        <v>North America</v>
      </c>
      <c r="C211" t="str">
        <f>'Raw Orders'!C211</f>
        <v>US / Canada</v>
      </c>
      <c r="D211" s="11">
        <f>'Raw Orders'!E211</f>
        <v>17.399999999999999</v>
      </c>
      <c r="E211" s="12">
        <f>'Raw Orders'!F211</f>
        <v>1444200</v>
      </c>
      <c r="F211" s="12">
        <f>'Raw Orders'!F211*0.75</f>
        <v>1083150</v>
      </c>
      <c r="G211" s="10">
        <f>'Raw Orders'!H211</f>
        <v>45778</v>
      </c>
      <c r="H211" s="10">
        <f>'Raw Orders'!I211</f>
        <v>45778</v>
      </c>
      <c r="I211" s="11">
        <f>'Raw Orders'!K211</f>
        <v>0.01</v>
      </c>
      <c r="J211" s="11">
        <f>IF('Raw Orders'!J211,"",(YEAR('Raw Orders'!I211)-YEAR('Raw Orders'!H211))*12+MONTH('Raw Orders'!I211)-MONTH('Raw Orders'!H211))</f>
        <v>0</v>
      </c>
      <c r="K211" t="str">
        <f>IF('Raw Orders'!J211,"Cancelled",IF('Raw Orders'!K211&gt;=2,"Slipped","On plan"))</f>
        <v>On plan</v>
      </c>
      <c r="L211" s="12">
        <f t="shared" si="3"/>
        <v>0</v>
      </c>
    </row>
    <row r="212" spans="1:12" x14ac:dyDescent="0.3">
      <c r="A212" t="str">
        <f>'Raw Orders'!A212</f>
        <v>NX-00208</v>
      </c>
      <c r="B212" t="str">
        <f>'Raw Orders'!B212</f>
        <v>North America</v>
      </c>
      <c r="C212" t="str">
        <f>'Raw Orders'!C212</f>
        <v>US / Canada</v>
      </c>
      <c r="D212" s="11">
        <f>'Raw Orders'!E212</f>
        <v>11</v>
      </c>
      <c r="E212" s="12">
        <f>'Raw Orders'!F212</f>
        <v>913000</v>
      </c>
      <c r="F212" s="12">
        <f>'Raw Orders'!F212*0.75</f>
        <v>684750</v>
      </c>
      <c r="G212" s="10">
        <f>'Raw Orders'!H212</f>
        <v>45658</v>
      </c>
      <c r="H212" s="10">
        <f>'Raw Orders'!I212</f>
        <v>45658</v>
      </c>
      <c r="I212" s="11">
        <f>'Raw Orders'!K212</f>
        <v>0.48</v>
      </c>
      <c r="J212" s="11">
        <f>IF('Raw Orders'!J212,"",(YEAR('Raw Orders'!I212)-YEAR('Raw Orders'!H212))*12+MONTH('Raw Orders'!I212)-MONTH('Raw Orders'!H212))</f>
        <v>0</v>
      </c>
      <c r="K212" t="str">
        <f>IF('Raw Orders'!J212,"Cancelled",IF('Raw Orders'!K212&gt;=2,"Slipped","On plan"))</f>
        <v>On plan</v>
      </c>
      <c r="L212" s="12">
        <f t="shared" si="3"/>
        <v>0</v>
      </c>
    </row>
    <row r="213" spans="1:12" x14ac:dyDescent="0.3">
      <c r="A213" t="str">
        <f>'Raw Orders'!A213</f>
        <v>NX-00209</v>
      </c>
      <c r="B213" t="str">
        <f>'Raw Orders'!B213</f>
        <v>EMEA</v>
      </c>
      <c r="C213" t="str">
        <f>'Raw Orders'!C213</f>
        <v>Europe</v>
      </c>
      <c r="D213" s="11">
        <f>'Raw Orders'!E213</f>
        <v>39.200000000000003</v>
      </c>
      <c r="E213" s="12">
        <f>'Raw Orders'!F213</f>
        <v>3449600</v>
      </c>
      <c r="F213" s="12">
        <f>'Raw Orders'!F213*0.75</f>
        <v>2587200</v>
      </c>
      <c r="G213" s="10">
        <f>'Raw Orders'!H213</f>
        <v>45717</v>
      </c>
      <c r="H213" s="10">
        <f>'Raw Orders'!I213</f>
        <v>45748</v>
      </c>
      <c r="I213" s="11">
        <f>'Raw Orders'!K213</f>
        <v>0.51</v>
      </c>
      <c r="J213" s="11">
        <f>IF('Raw Orders'!J213,"",(YEAR('Raw Orders'!I213)-YEAR('Raw Orders'!H213))*12+MONTH('Raw Orders'!I213)-MONTH('Raw Orders'!H213))</f>
        <v>1</v>
      </c>
      <c r="K213" t="str">
        <f>IF('Raw Orders'!J213,"Cancelled",IF('Raw Orders'!K213&gt;=2,"Slipped","On plan"))</f>
        <v>On plan</v>
      </c>
      <c r="L213" s="12">
        <f t="shared" si="3"/>
        <v>0</v>
      </c>
    </row>
    <row r="214" spans="1:12" x14ac:dyDescent="0.3">
      <c r="A214" t="str">
        <f>'Raw Orders'!A214</f>
        <v>NX-00210</v>
      </c>
      <c r="B214" t="str">
        <f>'Raw Orders'!B214</f>
        <v>EMEA</v>
      </c>
      <c r="C214" t="str">
        <f>'Raw Orders'!C214</f>
        <v>Europe</v>
      </c>
      <c r="D214" s="11">
        <f>'Raw Orders'!E214</f>
        <v>6.1</v>
      </c>
      <c r="E214" s="12">
        <f>'Raw Orders'!F214</f>
        <v>536800</v>
      </c>
      <c r="F214" s="12">
        <f>'Raw Orders'!F214*0.75</f>
        <v>402600</v>
      </c>
      <c r="G214" s="10">
        <f>'Raw Orders'!H214</f>
        <v>45717</v>
      </c>
      <c r="H214" s="10">
        <f>'Raw Orders'!I214</f>
        <v>45748</v>
      </c>
      <c r="I214" s="11">
        <f>'Raw Orders'!K214</f>
        <v>0.64</v>
      </c>
      <c r="J214" s="11">
        <f>IF('Raw Orders'!J214,"",(YEAR('Raw Orders'!I214)-YEAR('Raw Orders'!H214))*12+MONTH('Raw Orders'!I214)-MONTH('Raw Orders'!H214))</f>
        <v>1</v>
      </c>
      <c r="K214" t="str">
        <f>IF('Raw Orders'!J214,"Cancelled",IF('Raw Orders'!K214&gt;=2,"Slipped","On plan"))</f>
        <v>On plan</v>
      </c>
      <c r="L214" s="12">
        <f t="shared" si="3"/>
        <v>0</v>
      </c>
    </row>
    <row r="215" spans="1:12" x14ac:dyDescent="0.3">
      <c r="A215" t="str">
        <f>'Raw Orders'!A215</f>
        <v>NX-00211</v>
      </c>
      <c r="B215" t="str">
        <f>'Raw Orders'!B215</f>
        <v>EMEA</v>
      </c>
      <c r="C215" t="str">
        <f>'Raw Orders'!C215</f>
        <v>MENA</v>
      </c>
      <c r="D215" s="11">
        <f>'Raw Orders'!E215</f>
        <v>13.2</v>
      </c>
      <c r="E215" s="12">
        <f>'Raw Orders'!F215</f>
        <v>1069200</v>
      </c>
      <c r="F215" s="12">
        <f>'Raw Orders'!F215*0.75</f>
        <v>801900</v>
      </c>
      <c r="G215" s="10">
        <f>'Raw Orders'!H215</f>
        <v>45627</v>
      </c>
      <c r="H215" s="10">
        <f>'Raw Orders'!I215</f>
        <v>45689</v>
      </c>
      <c r="I215" s="11">
        <f>'Raw Orders'!K215</f>
        <v>2.19</v>
      </c>
      <c r="J215" s="11">
        <f>IF('Raw Orders'!J215,"",(YEAR('Raw Orders'!I215)-YEAR('Raw Orders'!H215))*12+MONTH('Raw Orders'!I215)-MONTH('Raw Orders'!H215))</f>
        <v>2</v>
      </c>
      <c r="K215" t="str">
        <f>IF('Raw Orders'!J215,"Cancelled",IF('Raw Orders'!K215&gt;=2,"Slipped","On plan"))</f>
        <v>Slipped</v>
      </c>
      <c r="L215" s="12">
        <f t="shared" si="3"/>
        <v>801900</v>
      </c>
    </row>
    <row r="216" spans="1:12" x14ac:dyDescent="0.3">
      <c r="A216" t="str">
        <f>'Raw Orders'!A216</f>
        <v>NX-00212</v>
      </c>
      <c r="B216" t="str">
        <f>'Raw Orders'!B216</f>
        <v>APAC</v>
      </c>
      <c r="C216" t="str">
        <f>'Raw Orders'!C216</f>
        <v>India</v>
      </c>
      <c r="D216" s="11">
        <f>'Raw Orders'!E216</f>
        <v>17.3</v>
      </c>
      <c r="E216" s="12">
        <f>'Raw Orders'!F216</f>
        <v>1228300</v>
      </c>
      <c r="F216" s="12">
        <f>'Raw Orders'!F216*0.75</f>
        <v>921225</v>
      </c>
      <c r="G216" s="10">
        <f>'Raw Orders'!H216</f>
        <v>45748</v>
      </c>
      <c r="H216" s="10">
        <f>'Raw Orders'!I216</f>
        <v>45839</v>
      </c>
      <c r="I216" s="11">
        <f>'Raw Orders'!K216</f>
        <v>3.38</v>
      </c>
      <c r="J216" s="11">
        <f>IF('Raw Orders'!J216,"",(YEAR('Raw Orders'!I216)-YEAR('Raw Orders'!H216))*12+MONTH('Raw Orders'!I216)-MONTH('Raw Orders'!H216))</f>
        <v>3</v>
      </c>
      <c r="K216" t="str">
        <f>IF('Raw Orders'!J216,"Cancelled",IF('Raw Orders'!K216&gt;=2,"Slipped","On plan"))</f>
        <v>Slipped</v>
      </c>
      <c r="L216" s="12">
        <f t="shared" si="3"/>
        <v>921225</v>
      </c>
    </row>
    <row r="217" spans="1:12" x14ac:dyDescent="0.3">
      <c r="A217" t="str">
        <f>'Raw Orders'!A217</f>
        <v>NX-00213</v>
      </c>
      <c r="B217" t="str">
        <f>'Raw Orders'!B217</f>
        <v>APAC</v>
      </c>
      <c r="C217" t="str">
        <f>'Raw Orders'!C217</f>
        <v>India</v>
      </c>
      <c r="D217" s="11">
        <f>'Raw Orders'!E217</f>
        <v>12.3</v>
      </c>
      <c r="E217" s="12">
        <f>'Raw Orders'!F217</f>
        <v>873300</v>
      </c>
      <c r="F217" s="12">
        <f>'Raw Orders'!F217*0.75</f>
        <v>654975</v>
      </c>
      <c r="G217" s="10">
        <f>'Raw Orders'!H217</f>
        <v>45778</v>
      </c>
      <c r="H217" s="10">
        <f>'Raw Orders'!I217</f>
        <v>0</v>
      </c>
      <c r="I217" s="11">
        <f>'Raw Orders'!K217</f>
        <v>2.94</v>
      </c>
      <c r="J217" s="11" t="str">
        <f>IF('Raw Orders'!J217,"",(YEAR('Raw Orders'!I217)-YEAR('Raw Orders'!H217))*12+MONTH('Raw Orders'!I217)-MONTH('Raw Orders'!H217))</f>
        <v/>
      </c>
      <c r="K217" t="str">
        <f>IF('Raw Orders'!J217,"Cancelled",IF('Raw Orders'!K217&gt;=2,"Slipped","On plan"))</f>
        <v>Cancelled</v>
      </c>
      <c r="L217" s="12">
        <f t="shared" si="3"/>
        <v>654975</v>
      </c>
    </row>
    <row r="218" spans="1:12" x14ac:dyDescent="0.3">
      <c r="A218" t="str">
        <f>'Raw Orders'!A218</f>
        <v>NX-00214</v>
      </c>
      <c r="B218" t="str">
        <f>'Raw Orders'!B218</f>
        <v>APAC</v>
      </c>
      <c r="C218" t="str">
        <f>'Raw Orders'!C218</f>
        <v>India</v>
      </c>
      <c r="D218" s="11">
        <f>'Raw Orders'!E218</f>
        <v>4.9000000000000004</v>
      </c>
      <c r="E218" s="12">
        <f>'Raw Orders'!F218</f>
        <v>347900</v>
      </c>
      <c r="F218" s="12">
        <f>'Raw Orders'!F218*0.75</f>
        <v>260925</v>
      </c>
      <c r="G218" s="10">
        <f>'Raw Orders'!H218</f>
        <v>45689</v>
      </c>
      <c r="H218" s="10">
        <f>'Raw Orders'!I218</f>
        <v>45689</v>
      </c>
      <c r="I218" s="11">
        <f>'Raw Orders'!K218</f>
        <v>0.22</v>
      </c>
      <c r="J218" s="11">
        <f>IF('Raw Orders'!J218,"",(YEAR('Raw Orders'!I218)-YEAR('Raw Orders'!H218))*12+MONTH('Raw Orders'!I218)-MONTH('Raw Orders'!H218))</f>
        <v>0</v>
      </c>
      <c r="K218" t="str">
        <f>IF('Raw Orders'!J218,"Cancelled",IF('Raw Orders'!K218&gt;=2,"Slipped","On plan"))</f>
        <v>On plan</v>
      </c>
      <c r="L218" s="12">
        <f t="shared" si="3"/>
        <v>0</v>
      </c>
    </row>
    <row r="219" spans="1:12" x14ac:dyDescent="0.3">
      <c r="A219" t="str">
        <f>'Raw Orders'!A219</f>
        <v>NX-00215</v>
      </c>
      <c r="B219" t="str">
        <f>'Raw Orders'!B219</f>
        <v>APAC</v>
      </c>
      <c r="C219" t="str">
        <f>'Raw Orders'!C219</f>
        <v>India</v>
      </c>
      <c r="D219" s="11">
        <f>'Raw Orders'!E219</f>
        <v>7.7</v>
      </c>
      <c r="E219" s="12">
        <f>'Raw Orders'!F219</f>
        <v>546700</v>
      </c>
      <c r="F219" s="12">
        <f>'Raw Orders'!F219*0.75</f>
        <v>410025</v>
      </c>
      <c r="G219" s="10">
        <f>'Raw Orders'!H219</f>
        <v>45778</v>
      </c>
      <c r="H219" s="10">
        <f>'Raw Orders'!I219</f>
        <v>45839</v>
      </c>
      <c r="I219" s="11">
        <f>'Raw Orders'!K219</f>
        <v>1.71</v>
      </c>
      <c r="J219" s="11">
        <f>IF('Raw Orders'!J219,"",(YEAR('Raw Orders'!I219)-YEAR('Raw Orders'!H219))*12+MONTH('Raw Orders'!I219)-MONTH('Raw Orders'!H219))</f>
        <v>2</v>
      </c>
      <c r="K219" t="str">
        <f>IF('Raw Orders'!J219,"Cancelled",IF('Raw Orders'!K219&gt;=2,"Slipped","On plan"))</f>
        <v>On plan</v>
      </c>
      <c r="L219" s="12">
        <f t="shared" si="3"/>
        <v>0</v>
      </c>
    </row>
    <row r="220" spans="1:12" x14ac:dyDescent="0.3">
      <c r="A220" t="str">
        <f>'Raw Orders'!A220</f>
        <v>NX-00216</v>
      </c>
      <c r="B220" t="str">
        <f>'Raw Orders'!B220</f>
        <v>APAC</v>
      </c>
      <c r="C220" t="str">
        <f>'Raw Orders'!C220</f>
        <v>India</v>
      </c>
      <c r="D220" s="11">
        <f>'Raw Orders'!E220</f>
        <v>11.9</v>
      </c>
      <c r="E220" s="12">
        <f>'Raw Orders'!F220</f>
        <v>844900</v>
      </c>
      <c r="F220" s="12">
        <f>'Raw Orders'!F220*0.75</f>
        <v>633675</v>
      </c>
      <c r="G220" s="10">
        <f>'Raw Orders'!H220</f>
        <v>45658</v>
      </c>
      <c r="H220" s="10">
        <f>'Raw Orders'!I220</f>
        <v>46204</v>
      </c>
      <c r="I220" s="11">
        <f>'Raw Orders'!K220</f>
        <v>18</v>
      </c>
      <c r="J220" s="11">
        <f>IF('Raw Orders'!J220,"",(YEAR('Raw Orders'!I220)-YEAR('Raw Orders'!H220))*12+MONTH('Raw Orders'!I220)-MONTH('Raw Orders'!H220))</f>
        <v>18</v>
      </c>
      <c r="K220" t="str">
        <f>IF('Raw Orders'!J220,"Cancelled",IF('Raw Orders'!K220&gt;=2,"Slipped","On plan"))</f>
        <v>Slipped</v>
      </c>
      <c r="L220" s="12">
        <f t="shared" si="3"/>
        <v>633675</v>
      </c>
    </row>
    <row r="221" spans="1:12" x14ac:dyDescent="0.3">
      <c r="A221" t="str">
        <f>'Raw Orders'!A221</f>
        <v>NX-00217</v>
      </c>
      <c r="B221" t="str">
        <f>'Raw Orders'!B221</f>
        <v>APAC</v>
      </c>
      <c r="C221" t="str">
        <f>'Raw Orders'!C221</f>
        <v>Australia/SEA</v>
      </c>
      <c r="D221" s="11">
        <f>'Raw Orders'!E221</f>
        <v>34.1</v>
      </c>
      <c r="E221" s="12">
        <f>'Raw Orders'!F221</f>
        <v>2864400</v>
      </c>
      <c r="F221" s="12">
        <f>'Raw Orders'!F221*0.75</f>
        <v>2148300</v>
      </c>
      <c r="G221" s="10">
        <f>'Raw Orders'!H221</f>
        <v>45689</v>
      </c>
      <c r="H221" s="10">
        <f>'Raw Orders'!I221</f>
        <v>45809</v>
      </c>
      <c r="I221" s="11">
        <f>'Raw Orders'!K221</f>
        <v>4.2</v>
      </c>
      <c r="J221" s="11">
        <f>IF('Raw Orders'!J221,"",(YEAR('Raw Orders'!I221)-YEAR('Raw Orders'!H221))*12+MONTH('Raw Orders'!I221)-MONTH('Raw Orders'!H221))</f>
        <v>4</v>
      </c>
      <c r="K221" t="str">
        <f>IF('Raw Orders'!J221,"Cancelled",IF('Raw Orders'!K221&gt;=2,"Slipped","On plan"))</f>
        <v>Slipped</v>
      </c>
      <c r="L221" s="12">
        <f t="shared" si="3"/>
        <v>2148300</v>
      </c>
    </row>
    <row r="222" spans="1:12" x14ac:dyDescent="0.3">
      <c r="A222" t="str">
        <f>'Raw Orders'!A222</f>
        <v>NX-00218</v>
      </c>
      <c r="B222" t="str">
        <f>'Raw Orders'!B222</f>
        <v>LATAM</v>
      </c>
      <c r="C222" t="str">
        <f>'Raw Orders'!C222</f>
        <v>LATAM</v>
      </c>
      <c r="D222" s="11">
        <f>'Raw Orders'!E222</f>
        <v>5.5</v>
      </c>
      <c r="E222" s="12">
        <f>'Raw Orders'!F222</f>
        <v>434500</v>
      </c>
      <c r="F222" s="12">
        <f>'Raw Orders'!F222*0.75</f>
        <v>325875</v>
      </c>
      <c r="G222" s="10">
        <f>'Raw Orders'!H222</f>
        <v>45627</v>
      </c>
      <c r="H222" s="10">
        <f>'Raw Orders'!I222</f>
        <v>45658</v>
      </c>
      <c r="I222" s="11">
        <f>'Raw Orders'!K222</f>
        <v>0.6</v>
      </c>
      <c r="J222" s="11">
        <f>IF('Raw Orders'!J222,"",(YEAR('Raw Orders'!I222)-YEAR('Raw Orders'!H222))*12+MONTH('Raw Orders'!I222)-MONTH('Raw Orders'!H222))</f>
        <v>1</v>
      </c>
      <c r="K222" t="str">
        <f>IF('Raw Orders'!J222,"Cancelled",IF('Raw Orders'!K222&gt;=2,"Slipped","On plan"))</f>
        <v>On plan</v>
      </c>
      <c r="L222" s="12">
        <f t="shared" si="3"/>
        <v>0</v>
      </c>
    </row>
    <row r="223" spans="1:12" x14ac:dyDescent="0.3">
      <c r="A223" t="str">
        <f>'Raw Orders'!A223</f>
        <v>NX-00219</v>
      </c>
      <c r="B223" t="str">
        <f>'Raw Orders'!B223</f>
        <v>LATAM</v>
      </c>
      <c r="C223" t="str">
        <f>'Raw Orders'!C223</f>
        <v>LATAM</v>
      </c>
      <c r="D223" s="11">
        <f>'Raw Orders'!E223</f>
        <v>13.4</v>
      </c>
      <c r="E223" s="12">
        <f>'Raw Orders'!F223</f>
        <v>1058600</v>
      </c>
      <c r="F223" s="12">
        <f>'Raw Orders'!F223*0.75</f>
        <v>793950</v>
      </c>
      <c r="G223" s="10">
        <f>'Raw Orders'!H223</f>
        <v>45778</v>
      </c>
      <c r="H223" s="10">
        <f>'Raw Orders'!I223</f>
        <v>45778</v>
      </c>
      <c r="I223" s="11">
        <f>'Raw Orders'!K223</f>
        <v>0.37</v>
      </c>
      <c r="J223" s="11">
        <f>IF('Raw Orders'!J223,"",(YEAR('Raw Orders'!I223)-YEAR('Raw Orders'!H223))*12+MONTH('Raw Orders'!I223)-MONTH('Raw Orders'!H223))</f>
        <v>0</v>
      </c>
      <c r="K223" t="str">
        <f>IF('Raw Orders'!J223,"Cancelled",IF('Raw Orders'!K223&gt;=2,"Slipped","On plan"))</f>
        <v>On plan</v>
      </c>
      <c r="L223" s="12">
        <f t="shared" si="3"/>
        <v>0</v>
      </c>
    </row>
    <row r="224" spans="1:12" x14ac:dyDescent="0.3">
      <c r="A224" t="str">
        <f>'Raw Orders'!A224</f>
        <v>NX-00220</v>
      </c>
      <c r="B224" t="str">
        <f>'Raw Orders'!B224</f>
        <v>LATAM</v>
      </c>
      <c r="C224" t="str">
        <f>'Raw Orders'!C224</f>
        <v>LATAM</v>
      </c>
      <c r="D224" s="11">
        <f>'Raw Orders'!E224</f>
        <v>19.399999999999999</v>
      </c>
      <c r="E224" s="12">
        <f>'Raw Orders'!F224</f>
        <v>1532600</v>
      </c>
      <c r="F224" s="12">
        <f>'Raw Orders'!F224*0.75</f>
        <v>1149450</v>
      </c>
      <c r="G224" s="10">
        <f>'Raw Orders'!H224</f>
        <v>45597</v>
      </c>
      <c r="H224" s="10">
        <f>'Raw Orders'!I224</f>
        <v>45597</v>
      </c>
      <c r="I224" s="11">
        <f>'Raw Orders'!K224</f>
        <v>0.04</v>
      </c>
      <c r="J224" s="11">
        <f>IF('Raw Orders'!J224,"",(YEAR('Raw Orders'!I224)-YEAR('Raw Orders'!H224))*12+MONTH('Raw Orders'!I224)-MONTH('Raw Orders'!H224))</f>
        <v>0</v>
      </c>
      <c r="K224" t="str">
        <f>IF('Raw Orders'!J224,"Cancelled",IF('Raw Orders'!K224&gt;=2,"Slipped","On plan"))</f>
        <v>On plan</v>
      </c>
      <c r="L224" s="12">
        <f t="shared" si="3"/>
        <v>0</v>
      </c>
    </row>
    <row r="225" spans="1:12" x14ac:dyDescent="0.3">
      <c r="A225" t="str">
        <f>'Raw Orders'!A225</f>
        <v>NX-00221</v>
      </c>
      <c r="B225" t="str">
        <f>'Raw Orders'!B225</f>
        <v>LATAM</v>
      </c>
      <c r="C225" t="str">
        <f>'Raw Orders'!C225</f>
        <v>LATAM</v>
      </c>
      <c r="D225" s="11">
        <f>'Raw Orders'!E225</f>
        <v>12.5</v>
      </c>
      <c r="E225" s="12">
        <f>'Raw Orders'!F225</f>
        <v>987500</v>
      </c>
      <c r="F225" s="12">
        <f>'Raw Orders'!F225*0.75</f>
        <v>740625</v>
      </c>
      <c r="G225" s="10">
        <f>'Raw Orders'!H225</f>
        <v>45627</v>
      </c>
      <c r="H225" s="10">
        <f>'Raw Orders'!I225</f>
        <v>45627</v>
      </c>
      <c r="I225" s="11">
        <f>'Raw Orders'!K225</f>
        <v>0</v>
      </c>
      <c r="J225" s="11">
        <f>IF('Raw Orders'!J225,"",(YEAR('Raw Orders'!I225)-YEAR('Raw Orders'!H225))*12+MONTH('Raw Orders'!I225)-MONTH('Raw Orders'!H225))</f>
        <v>0</v>
      </c>
      <c r="K225" t="str">
        <f>IF('Raw Orders'!J225,"Cancelled",IF('Raw Orders'!K225&gt;=2,"Slipped","On plan"))</f>
        <v>On plan</v>
      </c>
      <c r="L225" s="12">
        <f t="shared" si="3"/>
        <v>0</v>
      </c>
    </row>
    <row r="226" spans="1:12" x14ac:dyDescent="0.3">
      <c r="A226" t="str">
        <f>'Raw Orders'!A226</f>
        <v>NX-00222</v>
      </c>
      <c r="B226" t="str">
        <f>'Raw Orders'!B226</f>
        <v>LATAM</v>
      </c>
      <c r="C226" t="str">
        <f>'Raw Orders'!C226</f>
        <v>LATAM</v>
      </c>
      <c r="D226" s="11">
        <f>'Raw Orders'!E226</f>
        <v>73.599999999999994</v>
      </c>
      <c r="E226" s="12">
        <f>'Raw Orders'!F226</f>
        <v>5814400</v>
      </c>
      <c r="F226" s="12">
        <f>'Raw Orders'!F226*0.75</f>
        <v>4360800</v>
      </c>
      <c r="G226" s="10">
        <f>'Raw Orders'!H226</f>
        <v>45748</v>
      </c>
      <c r="H226" s="10">
        <f>'Raw Orders'!I226</f>
        <v>45748</v>
      </c>
      <c r="I226" s="11">
        <f>'Raw Orders'!K226</f>
        <v>0.27</v>
      </c>
      <c r="J226" s="11">
        <f>IF('Raw Orders'!J226,"",(YEAR('Raw Orders'!I226)-YEAR('Raw Orders'!H226))*12+MONTH('Raw Orders'!I226)-MONTH('Raw Orders'!H226))</f>
        <v>0</v>
      </c>
      <c r="K226" t="str">
        <f>IF('Raw Orders'!J226,"Cancelled",IF('Raw Orders'!K226&gt;=2,"Slipped","On plan"))</f>
        <v>On plan</v>
      </c>
      <c r="L226" s="12">
        <f t="shared" si="3"/>
        <v>0</v>
      </c>
    </row>
    <row r="227" spans="1:12" x14ac:dyDescent="0.3">
      <c r="A227" t="str">
        <f>'Raw Orders'!A227</f>
        <v>NX-00223</v>
      </c>
      <c r="B227" t="str">
        <f>'Raw Orders'!B227</f>
        <v>North America</v>
      </c>
      <c r="C227" t="str">
        <f>'Raw Orders'!C227</f>
        <v>US / Canada</v>
      </c>
      <c r="D227" s="11">
        <f>'Raw Orders'!E227</f>
        <v>11.5</v>
      </c>
      <c r="E227" s="12">
        <f>'Raw Orders'!F227</f>
        <v>954500</v>
      </c>
      <c r="F227" s="12">
        <f>'Raw Orders'!F227*0.75</f>
        <v>715875</v>
      </c>
      <c r="G227" s="10">
        <f>'Raw Orders'!H227</f>
        <v>45627</v>
      </c>
      <c r="H227" s="10">
        <f>'Raw Orders'!I227</f>
        <v>45627</v>
      </c>
      <c r="I227" s="11">
        <f>'Raw Orders'!K227</f>
        <v>0.26</v>
      </c>
      <c r="J227" s="11">
        <f>IF('Raw Orders'!J227,"",(YEAR('Raw Orders'!I227)-YEAR('Raw Orders'!H227))*12+MONTH('Raw Orders'!I227)-MONTH('Raw Orders'!H227))</f>
        <v>0</v>
      </c>
      <c r="K227" t="str">
        <f>IF('Raw Orders'!J227,"Cancelled",IF('Raw Orders'!K227&gt;=2,"Slipped","On plan"))</f>
        <v>On plan</v>
      </c>
      <c r="L227" s="12">
        <f t="shared" si="3"/>
        <v>0</v>
      </c>
    </row>
    <row r="228" spans="1:12" x14ac:dyDescent="0.3">
      <c r="A228" t="str">
        <f>'Raw Orders'!A228</f>
        <v>NX-00224</v>
      </c>
      <c r="B228" t="str">
        <f>'Raw Orders'!B228</f>
        <v>North America</v>
      </c>
      <c r="C228" t="str">
        <f>'Raw Orders'!C228</f>
        <v>US / Canada</v>
      </c>
      <c r="D228" s="11">
        <f>'Raw Orders'!E228</f>
        <v>21.2</v>
      </c>
      <c r="E228" s="12">
        <f>'Raw Orders'!F228</f>
        <v>1759600</v>
      </c>
      <c r="F228" s="12">
        <f>'Raw Orders'!F228*0.75</f>
        <v>1319700</v>
      </c>
      <c r="G228" s="10">
        <f>'Raw Orders'!H228</f>
        <v>45809</v>
      </c>
      <c r="H228" s="10">
        <f>'Raw Orders'!I228</f>
        <v>45870</v>
      </c>
      <c r="I228" s="11">
        <f>'Raw Orders'!K228</f>
        <v>1.72</v>
      </c>
      <c r="J228" s="11">
        <f>IF('Raw Orders'!J228,"",(YEAR('Raw Orders'!I228)-YEAR('Raw Orders'!H228))*12+MONTH('Raw Orders'!I228)-MONTH('Raw Orders'!H228))</f>
        <v>2</v>
      </c>
      <c r="K228" t="str">
        <f>IF('Raw Orders'!J228,"Cancelled",IF('Raw Orders'!K228&gt;=2,"Slipped","On plan"))</f>
        <v>On plan</v>
      </c>
      <c r="L228" s="12">
        <f t="shared" si="3"/>
        <v>0</v>
      </c>
    </row>
    <row r="229" spans="1:12" x14ac:dyDescent="0.3">
      <c r="A229" t="str">
        <f>'Raw Orders'!A229</f>
        <v>NX-00225</v>
      </c>
      <c r="B229" t="str">
        <f>'Raw Orders'!B229</f>
        <v>North America</v>
      </c>
      <c r="C229" t="str">
        <f>'Raw Orders'!C229</f>
        <v>US / Canada</v>
      </c>
      <c r="D229" s="11">
        <f>'Raw Orders'!E229</f>
        <v>7.8</v>
      </c>
      <c r="E229" s="12">
        <f>'Raw Orders'!F229</f>
        <v>647400</v>
      </c>
      <c r="F229" s="12">
        <f>'Raw Orders'!F229*0.75</f>
        <v>485550</v>
      </c>
      <c r="G229" s="10">
        <f>'Raw Orders'!H229</f>
        <v>45778</v>
      </c>
      <c r="H229" s="10">
        <f>'Raw Orders'!I229</f>
        <v>45778</v>
      </c>
      <c r="I229" s="11">
        <f>'Raw Orders'!K229</f>
        <v>0.15</v>
      </c>
      <c r="J229" s="11">
        <f>IF('Raw Orders'!J229,"",(YEAR('Raw Orders'!I229)-YEAR('Raw Orders'!H229))*12+MONTH('Raw Orders'!I229)-MONTH('Raw Orders'!H229))</f>
        <v>0</v>
      </c>
      <c r="K229" t="str">
        <f>IF('Raw Orders'!J229,"Cancelled",IF('Raw Orders'!K229&gt;=2,"Slipped","On plan"))</f>
        <v>On plan</v>
      </c>
      <c r="L229" s="12">
        <f t="shared" si="3"/>
        <v>0</v>
      </c>
    </row>
    <row r="230" spans="1:12" x14ac:dyDescent="0.3">
      <c r="A230" t="str">
        <f>'Raw Orders'!A230</f>
        <v>NX-00226</v>
      </c>
      <c r="B230" t="str">
        <f>'Raw Orders'!B230</f>
        <v>North America</v>
      </c>
      <c r="C230" t="str">
        <f>'Raw Orders'!C230</f>
        <v>US / Canada</v>
      </c>
      <c r="D230" s="11">
        <f>'Raw Orders'!E230</f>
        <v>43.9</v>
      </c>
      <c r="E230" s="12">
        <f>'Raw Orders'!F230</f>
        <v>3643700</v>
      </c>
      <c r="F230" s="12">
        <f>'Raw Orders'!F230*0.75</f>
        <v>2732775</v>
      </c>
      <c r="G230" s="10">
        <f>'Raw Orders'!H230</f>
        <v>45748</v>
      </c>
      <c r="H230" s="10">
        <f>'Raw Orders'!I230</f>
        <v>45748</v>
      </c>
      <c r="I230" s="11">
        <f>'Raw Orders'!K230</f>
        <v>0.04</v>
      </c>
      <c r="J230" s="11">
        <f>IF('Raw Orders'!J230,"",(YEAR('Raw Orders'!I230)-YEAR('Raw Orders'!H230))*12+MONTH('Raw Orders'!I230)-MONTH('Raw Orders'!H230))</f>
        <v>0</v>
      </c>
      <c r="K230" t="str">
        <f>IF('Raw Orders'!J230,"Cancelled",IF('Raw Orders'!K230&gt;=2,"Slipped","On plan"))</f>
        <v>On plan</v>
      </c>
      <c r="L230" s="12">
        <f t="shared" si="3"/>
        <v>0</v>
      </c>
    </row>
    <row r="231" spans="1:12" x14ac:dyDescent="0.3">
      <c r="A231" t="str">
        <f>'Raw Orders'!A231</f>
        <v>NX-00227</v>
      </c>
      <c r="B231" t="str">
        <f>'Raw Orders'!B231</f>
        <v>North America</v>
      </c>
      <c r="C231" t="str">
        <f>'Raw Orders'!C231</f>
        <v>US / Canada</v>
      </c>
      <c r="D231" s="11">
        <f>'Raw Orders'!E231</f>
        <v>20.7</v>
      </c>
      <c r="E231" s="12">
        <f>'Raw Orders'!F231</f>
        <v>1718100</v>
      </c>
      <c r="F231" s="12">
        <f>'Raw Orders'!F231*0.75</f>
        <v>1288575</v>
      </c>
      <c r="G231" s="10">
        <f>'Raw Orders'!H231</f>
        <v>45778</v>
      </c>
      <c r="H231" s="10">
        <f>'Raw Orders'!I231</f>
        <v>45778</v>
      </c>
      <c r="I231" s="11">
        <f>'Raw Orders'!K231</f>
        <v>0.03</v>
      </c>
      <c r="J231" s="11">
        <f>IF('Raw Orders'!J231,"",(YEAR('Raw Orders'!I231)-YEAR('Raw Orders'!H231))*12+MONTH('Raw Orders'!I231)-MONTH('Raw Orders'!H231))</f>
        <v>0</v>
      </c>
      <c r="K231" t="str">
        <f>IF('Raw Orders'!J231,"Cancelled",IF('Raw Orders'!K231&gt;=2,"Slipped","On plan"))</f>
        <v>On plan</v>
      </c>
      <c r="L231" s="12">
        <f t="shared" si="3"/>
        <v>0</v>
      </c>
    </row>
    <row r="232" spans="1:12" x14ac:dyDescent="0.3">
      <c r="A232" t="str">
        <f>'Raw Orders'!A232</f>
        <v>NX-00228</v>
      </c>
      <c r="B232" t="str">
        <f>'Raw Orders'!B232</f>
        <v>North America</v>
      </c>
      <c r="C232" t="str">
        <f>'Raw Orders'!C232</f>
        <v>US / Canada</v>
      </c>
      <c r="D232" s="11">
        <f>'Raw Orders'!E232</f>
        <v>0.7</v>
      </c>
      <c r="E232" s="12">
        <f>'Raw Orders'!F232</f>
        <v>58099.999999999993</v>
      </c>
      <c r="F232" s="12">
        <f>'Raw Orders'!F232*0.75</f>
        <v>43574.999999999993</v>
      </c>
      <c r="G232" s="10">
        <f>'Raw Orders'!H232</f>
        <v>45658</v>
      </c>
      <c r="H232" s="10">
        <f>'Raw Orders'!I232</f>
        <v>45658</v>
      </c>
      <c r="I232" s="11">
        <f>'Raw Orders'!K232</f>
        <v>0.11</v>
      </c>
      <c r="J232" s="11">
        <f>IF('Raw Orders'!J232,"",(YEAR('Raw Orders'!I232)-YEAR('Raw Orders'!H232))*12+MONTH('Raw Orders'!I232)-MONTH('Raw Orders'!H232))</f>
        <v>0</v>
      </c>
      <c r="K232" t="str">
        <f>IF('Raw Orders'!J232,"Cancelled",IF('Raw Orders'!K232&gt;=2,"Slipped","On plan"))</f>
        <v>On plan</v>
      </c>
      <c r="L232" s="12">
        <f t="shared" si="3"/>
        <v>0</v>
      </c>
    </row>
    <row r="233" spans="1:12" x14ac:dyDescent="0.3">
      <c r="A233" t="str">
        <f>'Raw Orders'!A233</f>
        <v>NX-00229</v>
      </c>
      <c r="B233" t="str">
        <f>'Raw Orders'!B233</f>
        <v>North America</v>
      </c>
      <c r="C233" t="str">
        <f>'Raw Orders'!C233</f>
        <v>US / Canada</v>
      </c>
      <c r="D233" s="11">
        <f>'Raw Orders'!E233</f>
        <v>7.7</v>
      </c>
      <c r="E233" s="12">
        <f>'Raw Orders'!F233</f>
        <v>639100</v>
      </c>
      <c r="F233" s="12">
        <f>'Raw Orders'!F233*0.75</f>
        <v>479325</v>
      </c>
      <c r="G233" s="10">
        <f>'Raw Orders'!H233</f>
        <v>45689</v>
      </c>
      <c r="H233" s="10">
        <f>'Raw Orders'!I233</f>
        <v>45717</v>
      </c>
      <c r="I233" s="11">
        <f>'Raw Orders'!K233</f>
        <v>1.41</v>
      </c>
      <c r="J233" s="11">
        <f>IF('Raw Orders'!J233,"",(YEAR('Raw Orders'!I233)-YEAR('Raw Orders'!H233))*12+MONTH('Raw Orders'!I233)-MONTH('Raw Orders'!H233))</f>
        <v>1</v>
      </c>
      <c r="K233" t="str">
        <f>IF('Raw Orders'!J233,"Cancelled",IF('Raw Orders'!K233&gt;=2,"Slipped","On plan"))</f>
        <v>On plan</v>
      </c>
      <c r="L233" s="12">
        <f t="shared" si="3"/>
        <v>0</v>
      </c>
    </row>
    <row r="234" spans="1:12" x14ac:dyDescent="0.3">
      <c r="A234" t="str">
        <f>'Raw Orders'!A234</f>
        <v>NX-00230</v>
      </c>
      <c r="B234" t="str">
        <f>'Raw Orders'!B234</f>
        <v>North America</v>
      </c>
      <c r="C234" t="str">
        <f>'Raw Orders'!C234</f>
        <v>US / Canada</v>
      </c>
      <c r="D234" s="11">
        <f>'Raw Orders'!E234</f>
        <v>13.2</v>
      </c>
      <c r="E234" s="12">
        <f>'Raw Orders'!F234</f>
        <v>1095600</v>
      </c>
      <c r="F234" s="12">
        <f>'Raw Orders'!F234*0.75</f>
        <v>821700</v>
      </c>
      <c r="G234" s="10">
        <f>'Raw Orders'!H234</f>
        <v>45689</v>
      </c>
      <c r="H234" s="10">
        <f>'Raw Orders'!I234</f>
        <v>0</v>
      </c>
      <c r="I234" s="11">
        <f>'Raw Orders'!K234</f>
        <v>0.36</v>
      </c>
      <c r="J234" s="11" t="str">
        <f>IF('Raw Orders'!J234,"",(YEAR('Raw Orders'!I234)-YEAR('Raw Orders'!H234))*12+MONTH('Raw Orders'!I234)-MONTH('Raw Orders'!H234))</f>
        <v/>
      </c>
      <c r="K234" t="str">
        <f>IF('Raw Orders'!J234,"Cancelled",IF('Raw Orders'!K234&gt;=2,"Slipped","On plan"))</f>
        <v>Cancelled</v>
      </c>
      <c r="L234" s="12">
        <f t="shared" si="3"/>
        <v>821700</v>
      </c>
    </row>
    <row r="235" spans="1:12" x14ac:dyDescent="0.3">
      <c r="A235" t="str">
        <f>'Raw Orders'!A235</f>
        <v>NX-00231</v>
      </c>
      <c r="B235" t="str">
        <f>'Raw Orders'!B235</f>
        <v>North America</v>
      </c>
      <c r="C235" t="str">
        <f>'Raw Orders'!C235</f>
        <v>US / Canada</v>
      </c>
      <c r="D235" s="11">
        <f>'Raw Orders'!E235</f>
        <v>10.199999999999999</v>
      </c>
      <c r="E235" s="12">
        <f>'Raw Orders'!F235</f>
        <v>846599.99999999988</v>
      </c>
      <c r="F235" s="12">
        <f>'Raw Orders'!F235*0.75</f>
        <v>634949.99999999988</v>
      </c>
      <c r="G235" s="10">
        <f>'Raw Orders'!H235</f>
        <v>45717</v>
      </c>
      <c r="H235" s="10">
        <f>'Raw Orders'!I235</f>
        <v>45717</v>
      </c>
      <c r="I235" s="11">
        <f>'Raw Orders'!K235</f>
        <v>0</v>
      </c>
      <c r="J235" s="11">
        <f>IF('Raw Orders'!J235,"",(YEAR('Raw Orders'!I235)-YEAR('Raw Orders'!H235))*12+MONTH('Raw Orders'!I235)-MONTH('Raw Orders'!H235))</f>
        <v>0</v>
      </c>
      <c r="K235" t="str">
        <f>IF('Raw Orders'!J235,"Cancelled",IF('Raw Orders'!K235&gt;=2,"Slipped","On plan"))</f>
        <v>On plan</v>
      </c>
      <c r="L235" s="12">
        <f t="shared" si="3"/>
        <v>0</v>
      </c>
    </row>
    <row r="236" spans="1:12" x14ac:dyDescent="0.3">
      <c r="A236" t="str">
        <f>'Raw Orders'!A236</f>
        <v>NX-00232</v>
      </c>
      <c r="B236" t="str">
        <f>'Raw Orders'!B236</f>
        <v>North America</v>
      </c>
      <c r="C236" t="str">
        <f>'Raw Orders'!C236</f>
        <v>US / Canada</v>
      </c>
      <c r="D236" s="11">
        <f>'Raw Orders'!E236</f>
        <v>13</v>
      </c>
      <c r="E236" s="12">
        <f>'Raw Orders'!F236</f>
        <v>1079000</v>
      </c>
      <c r="F236" s="12">
        <f>'Raw Orders'!F236*0.75</f>
        <v>809250</v>
      </c>
      <c r="G236" s="10">
        <f>'Raw Orders'!H236</f>
        <v>45689</v>
      </c>
      <c r="H236" s="10">
        <f>'Raw Orders'!I236</f>
        <v>45689</v>
      </c>
      <c r="I236" s="11">
        <f>'Raw Orders'!K236</f>
        <v>0.17</v>
      </c>
      <c r="J236" s="11">
        <f>IF('Raw Orders'!J236,"",(YEAR('Raw Orders'!I236)-YEAR('Raw Orders'!H236))*12+MONTH('Raw Orders'!I236)-MONTH('Raw Orders'!H236))</f>
        <v>0</v>
      </c>
      <c r="K236" t="str">
        <f>IF('Raw Orders'!J236,"Cancelled",IF('Raw Orders'!K236&gt;=2,"Slipped","On plan"))</f>
        <v>On plan</v>
      </c>
      <c r="L236" s="12">
        <f t="shared" si="3"/>
        <v>0</v>
      </c>
    </row>
    <row r="237" spans="1:12" x14ac:dyDescent="0.3">
      <c r="A237" t="str">
        <f>'Raw Orders'!A237</f>
        <v>NX-00233</v>
      </c>
      <c r="B237" t="str">
        <f>'Raw Orders'!B237</f>
        <v>North America</v>
      </c>
      <c r="C237" t="str">
        <f>'Raw Orders'!C237</f>
        <v>US / Canada</v>
      </c>
      <c r="D237" s="11">
        <f>'Raw Orders'!E237</f>
        <v>25.6</v>
      </c>
      <c r="E237" s="12">
        <f>'Raw Orders'!F237</f>
        <v>2124800</v>
      </c>
      <c r="F237" s="12">
        <f>'Raw Orders'!F237*0.75</f>
        <v>1593600</v>
      </c>
      <c r="G237" s="10">
        <f>'Raw Orders'!H237</f>
        <v>45778</v>
      </c>
      <c r="H237" s="10">
        <f>'Raw Orders'!I237</f>
        <v>45778</v>
      </c>
      <c r="I237" s="11">
        <f>'Raw Orders'!K237</f>
        <v>0</v>
      </c>
      <c r="J237" s="11">
        <f>IF('Raw Orders'!J237,"",(YEAR('Raw Orders'!I237)-YEAR('Raw Orders'!H237))*12+MONTH('Raw Orders'!I237)-MONTH('Raw Orders'!H237))</f>
        <v>0</v>
      </c>
      <c r="K237" t="str">
        <f>IF('Raw Orders'!J237,"Cancelled",IF('Raw Orders'!K237&gt;=2,"Slipped","On plan"))</f>
        <v>On plan</v>
      </c>
      <c r="L237" s="12">
        <f t="shared" si="3"/>
        <v>0</v>
      </c>
    </row>
    <row r="238" spans="1:12" x14ac:dyDescent="0.3">
      <c r="A238" t="str">
        <f>'Raw Orders'!A238</f>
        <v>NX-00234</v>
      </c>
      <c r="B238" t="str">
        <f>'Raw Orders'!B238</f>
        <v>North America</v>
      </c>
      <c r="C238" t="str">
        <f>'Raw Orders'!C238</f>
        <v>US / Canada</v>
      </c>
      <c r="D238" s="11">
        <f>'Raw Orders'!E238</f>
        <v>32.700000000000003</v>
      </c>
      <c r="E238" s="12">
        <f>'Raw Orders'!F238</f>
        <v>2714100</v>
      </c>
      <c r="F238" s="12">
        <f>'Raw Orders'!F238*0.75</f>
        <v>2035575</v>
      </c>
      <c r="G238" s="10">
        <f>'Raw Orders'!H238</f>
        <v>45658</v>
      </c>
      <c r="H238" s="10">
        <f>'Raw Orders'!I238</f>
        <v>45901</v>
      </c>
      <c r="I238" s="11">
        <f>'Raw Orders'!K238</f>
        <v>7.77</v>
      </c>
      <c r="J238" s="11">
        <f>IF('Raw Orders'!J238,"",(YEAR('Raw Orders'!I238)-YEAR('Raw Orders'!H238))*12+MONTH('Raw Orders'!I238)-MONTH('Raw Orders'!H238))</f>
        <v>8</v>
      </c>
      <c r="K238" t="str">
        <f>IF('Raw Orders'!J238,"Cancelled",IF('Raw Orders'!K238&gt;=2,"Slipped","On plan"))</f>
        <v>Slipped</v>
      </c>
      <c r="L238" s="12">
        <f t="shared" si="3"/>
        <v>2035575</v>
      </c>
    </row>
    <row r="239" spans="1:12" x14ac:dyDescent="0.3">
      <c r="A239" t="str">
        <f>'Raw Orders'!A239</f>
        <v>NX-00235</v>
      </c>
      <c r="B239" t="str">
        <f>'Raw Orders'!B239</f>
        <v>North America</v>
      </c>
      <c r="C239" t="str">
        <f>'Raw Orders'!C239</f>
        <v>US / Canada</v>
      </c>
      <c r="D239" s="11">
        <f>'Raw Orders'!E239</f>
        <v>39.799999999999997</v>
      </c>
      <c r="E239" s="12">
        <f>'Raw Orders'!F239</f>
        <v>3303400</v>
      </c>
      <c r="F239" s="12">
        <f>'Raw Orders'!F239*0.75</f>
        <v>2477550</v>
      </c>
      <c r="G239" s="10">
        <f>'Raw Orders'!H239</f>
        <v>45689</v>
      </c>
      <c r="H239" s="10">
        <f>'Raw Orders'!I239</f>
        <v>45689</v>
      </c>
      <c r="I239" s="11">
        <f>'Raw Orders'!K239</f>
        <v>0.01</v>
      </c>
      <c r="J239" s="11">
        <f>IF('Raw Orders'!J239,"",(YEAR('Raw Orders'!I239)-YEAR('Raw Orders'!H239))*12+MONTH('Raw Orders'!I239)-MONTH('Raw Orders'!H239))</f>
        <v>0</v>
      </c>
      <c r="K239" t="str">
        <f>IF('Raw Orders'!J239,"Cancelled",IF('Raw Orders'!K239&gt;=2,"Slipped","On plan"))</f>
        <v>On plan</v>
      </c>
      <c r="L239" s="12">
        <f t="shared" si="3"/>
        <v>0</v>
      </c>
    </row>
    <row r="240" spans="1:12" x14ac:dyDescent="0.3">
      <c r="A240" t="str">
        <f>'Raw Orders'!A240</f>
        <v>NX-00236</v>
      </c>
      <c r="B240" t="str">
        <f>'Raw Orders'!B240</f>
        <v>North America</v>
      </c>
      <c r="C240" t="str">
        <f>'Raw Orders'!C240</f>
        <v>US / Canada</v>
      </c>
      <c r="D240" s="11">
        <f>'Raw Orders'!E240</f>
        <v>46.2</v>
      </c>
      <c r="E240" s="12">
        <f>'Raw Orders'!F240</f>
        <v>3834600.0000000009</v>
      </c>
      <c r="F240" s="12">
        <f>'Raw Orders'!F240*0.75</f>
        <v>2875950.0000000009</v>
      </c>
      <c r="G240" s="10">
        <f>'Raw Orders'!H240</f>
        <v>45778</v>
      </c>
      <c r="H240" s="10">
        <f>'Raw Orders'!I240</f>
        <v>45778</v>
      </c>
      <c r="I240" s="11">
        <f>'Raw Orders'!K240</f>
        <v>0</v>
      </c>
      <c r="J240" s="11">
        <f>IF('Raw Orders'!J240,"",(YEAR('Raw Orders'!I240)-YEAR('Raw Orders'!H240))*12+MONTH('Raw Orders'!I240)-MONTH('Raw Orders'!H240))</f>
        <v>0</v>
      </c>
      <c r="K240" t="str">
        <f>IF('Raw Orders'!J240,"Cancelled",IF('Raw Orders'!K240&gt;=2,"Slipped","On plan"))</f>
        <v>On plan</v>
      </c>
      <c r="L240" s="12">
        <f t="shared" si="3"/>
        <v>0</v>
      </c>
    </row>
    <row r="241" spans="1:12" x14ac:dyDescent="0.3">
      <c r="A241" t="str">
        <f>'Raw Orders'!A241</f>
        <v>NX-00237</v>
      </c>
      <c r="B241" t="str">
        <f>'Raw Orders'!B241</f>
        <v>North America</v>
      </c>
      <c r="C241" t="str">
        <f>'Raw Orders'!C241</f>
        <v>US / Canada</v>
      </c>
      <c r="D241" s="11">
        <f>'Raw Orders'!E241</f>
        <v>51.3</v>
      </c>
      <c r="E241" s="12">
        <f>'Raw Orders'!F241</f>
        <v>4257900</v>
      </c>
      <c r="F241" s="12">
        <f>'Raw Orders'!F241*0.75</f>
        <v>3193425</v>
      </c>
      <c r="G241" s="10">
        <f>'Raw Orders'!H241</f>
        <v>45778</v>
      </c>
      <c r="H241" s="10">
        <f>'Raw Orders'!I241</f>
        <v>45809</v>
      </c>
      <c r="I241" s="11">
        <f>'Raw Orders'!K241</f>
        <v>1.39</v>
      </c>
      <c r="J241" s="11">
        <f>IF('Raw Orders'!J241,"",(YEAR('Raw Orders'!I241)-YEAR('Raw Orders'!H241))*12+MONTH('Raw Orders'!I241)-MONTH('Raw Orders'!H241))</f>
        <v>1</v>
      </c>
      <c r="K241" t="str">
        <f>IF('Raw Orders'!J241,"Cancelled",IF('Raw Orders'!K241&gt;=2,"Slipped","On plan"))</f>
        <v>On plan</v>
      </c>
      <c r="L241" s="12">
        <f t="shared" si="3"/>
        <v>0</v>
      </c>
    </row>
    <row r="242" spans="1:12" x14ac:dyDescent="0.3">
      <c r="A242" t="str">
        <f>'Raw Orders'!A242</f>
        <v>NX-00238</v>
      </c>
      <c r="B242" t="str">
        <f>'Raw Orders'!B242</f>
        <v>North America</v>
      </c>
      <c r="C242" t="str">
        <f>'Raw Orders'!C242</f>
        <v>US / Canada</v>
      </c>
      <c r="D242" s="11">
        <f>'Raw Orders'!E242</f>
        <v>10.9</v>
      </c>
      <c r="E242" s="12">
        <f>'Raw Orders'!F242</f>
        <v>904700</v>
      </c>
      <c r="F242" s="12">
        <f>'Raw Orders'!F242*0.75</f>
        <v>678525</v>
      </c>
      <c r="G242" s="10">
        <f>'Raw Orders'!H242</f>
        <v>45658</v>
      </c>
      <c r="H242" s="10">
        <f>'Raw Orders'!I242</f>
        <v>45658</v>
      </c>
      <c r="I242" s="11">
        <f>'Raw Orders'!K242</f>
        <v>0.01</v>
      </c>
      <c r="J242" s="11">
        <f>IF('Raw Orders'!J242,"",(YEAR('Raw Orders'!I242)-YEAR('Raw Orders'!H242))*12+MONTH('Raw Orders'!I242)-MONTH('Raw Orders'!H242))</f>
        <v>0</v>
      </c>
      <c r="K242" t="str">
        <f>IF('Raw Orders'!J242,"Cancelled",IF('Raw Orders'!K242&gt;=2,"Slipped","On plan"))</f>
        <v>On plan</v>
      </c>
      <c r="L242" s="12">
        <f t="shared" si="3"/>
        <v>0</v>
      </c>
    </row>
    <row r="243" spans="1:12" x14ac:dyDescent="0.3">
      <c r="A243" t="str">
        <f>'Raw Orders'!A243</f>
        <v>NX-00239</v>
      </c>
      <c r="B243" t="str">
        <f>'Raw Orders'!B243</f>
        <v>North America</v>
      </c>
      <c r="C243" t="str">
        <f>'Raw Orders'!C243</f>
        <v>US / Canada</v>
      </c>
      <c r="D243" s="11">
        <f>'Raw Orders'!E243</f>
        <v>11.4</v>
      </c>
      <c r="E243" s="12">
        <f>'Raw Orders'!F243</f>
        <v>946200</v>
      </c>
      <c r="F243" s="12">
        <f>'Raw Orders'!F243*0.75</f>
        <v>709650</v>
      </c>
      <c r="G243" s="10">
        <f>'Raw Orders'!H243</f>
        <v>45689</v>
      </c>
      <c r="H243" s="10">
        <f>'Raw Orders'!I243</f>
        <v>45689</v>
      </c>
      <c r="I243" s="11">
        <f>'Raw Orders'!K243</f>
        <v>0.39</v>
      </c>
      <c r="J243" s="11">
        <f>IF('Raw Orders'!J243,"",(YEAR('Raw Orders'!I243)-YEAR('Raw Orders'!H243))*12+MONTH('Raw Orders'!I243)-MONTH('Raw Orders'!H243))</f>
        <v>0</v>
      </c>
      <c r="K243" t="str">
        <f>IF('Raw Orders'!J243,"Cancelled",IF('Raw Orders'!K243&gt;=2,"Slipped","On plan"))</f>
        <v>On plan</v>
      </c>
      <c r="L243" s="12">
        <f t="shared" si="3"/>
        <v>0</v>
      </c>
    </row>
    <row r="244" spans="1:12" x14ac:dyDescent="0.3">
      <c r="A244" t="str">
        <f>'Raw Orders'!A244</f>
        <v>NX-00240</v>
      </c>
      <c r="B244" t="str">
        <f>'Raw Orders'!B244</f>
        <v>North America</v>
      </c>
      <c r="C244" t="str">
        <f>'Raw Orders'!C244</f>
        <v>US / Canada</v>
      </c>
      <c r="D244" s="11">
        <f>'Raw Orders'!E244</f>
        <v>9.3000000000000007</v>
      </c>
      <c r="E244" s="12">
        <f>'Raw Orders'!F244</f>
        <v>771900.00000000012</v>
      </c>
      <c r="F244" s="12">
        <f>'Raw Orders'!F244*0.75</f>
        <v>578925.00000000012</v>
      </c>
      <c r="G244" s="10">
        <f>'Raw Orders'!H244</f>
        <v>45658</v>
      </c>
      <c r="H244" s="10">
        <f>'Raw Orders'!I244</f>
        <v>45658</v>
      </c>
      <c r="I244" s="11">
        <f>'Raw Orders'!K244</f>
        <v>0.04</v>
      </c>
      <c r="J244" s="11">
        <f>IF('Raw Orders'!J244,"",(YEAR('Raw Orders'!I244)-YEAR('Raw Orders'!H244))*12+MONTH('Raw Orders'!I244)-MONTH('Raw Orders'!H244))</f>
        <v>0</v>
      </c>
      <c r="K244" t="str">
        <f>IF('Raw Orders'!J244,"Cancelled",IF('Raw Orders'!K244&gt;=2,"Slipped","On plan"))</f>
        <v>On plan</v>
      </c>
      <c r="L244" s="12">
        <f t="shared" si="3"/>
        <v>0</v>
      </c>
    </row>
    <row r="245" spans="1:12" x14ac:dyDescent="0.3">
      <c r="A245" t="str">
        <f>'Raw Orders'!A245</f>
        <v>NX-00241</v>
      </c>
      <c r="B245" t="str">
        <f>'Raw Orders'!B245</f>
        <v>North America</v>
      </c>
      <c r="C245" t="str">
        <f>'Raw Orders'!C245</f>
        <v>US / Canada</v>
      </c>
      <c r="D245" s="11">
        <f>'Raw Orders'!E245</f>
        <v>30.9</v>
      </c>
      <c r="E245" s="12">
        <f>'Raw Orders'!F245</f>
        <v>2564700</v>
      </c>
      <c r="F245" s="12">
        <f>'Raw Orders'!F245*0.75</f>
        <v>1923525</v>
      </c>
      <c r="G245" s="10">
        <f>'Raw Orders'!H245</f>
        <v>45658</v>
      </c>
      <c r="H245" s="10">
        <f>'Raw Orders'!I245</f>
        <v>45658</v>
      </c>
      <c r="I245" s="11">
        <f>'Raw Orders'!K245</f>
        <v>0</v>
      </c>
      <c r="J245" s="11">
        <f>IF('Raw Orders'!J245,"",(YEAR('Raw Orders'!I245)-YEAR('Raw Orders'!H245))*12+MONTH('Raw Orders'!I245)-MONTH('Raw Orders'!H245))</f>
        <v>0</v>
      </c>
      <c r="K245" t="str">
        <f>IF('Raw Orders'!J245,"Cancelled",IF('Raw Orders'!K245&gt;=2,"Slipped","On plan"))</f>
        <v>On plan</v>
      </c>
      <c r="L245" s="12">
        <f t="shared" si="3"/>
        <v>0</v>
      </c>
    </row>
    <row r="246" spans="1:12" x14ac:dyDescent="0.3">
      <c r="A246" t="str">
        <f>'Raw Orders'!A246</f>
        <v>NX-00242</v>
      </c>
      <c r="B246" t="str">
        <f>'Raw Orders'!B246</f>
        <v>North America</v>
      </c>
      <c r="C246" t="str">
        <f>'Raw Orders'!C246</f>
        <v>US / Canada</v>
      </c>
      <c r="D246" s="11">
        <f>'Raw Orders'!E246</f>
        <v>18.2</v>
      </c>
      <c r="E246" s="12">
        <f>'Raw Orders'!F246</f>
        <v>1510600</v>
      </c>
      <c r="F246" s="12">
        <f>'Raw Orders'!F246*0.75</f>
        <v>1132950</v>
      </c>
      <c r="G246" s="10">
        <f>'Raw Orders'!H246</f>
        <v>45748</v>
      </c>
      <c r="H246" s="10">
        <f>'Raw Orders'!I246</f>
        <v>45748</v>
      </c>
      <c r="I246" s="11">
        <f>'Raw Orders'!K246</f>
        <v>0</v>
      </c>
      <c r="J246" s="11">
        <f>IF('Raw Orders'!J246,"",(YEAR('Raw Orders'!I246)-YEAR('Raw Orders'!H246))*12+MONTH('Raw Orders'!I246)-MONTH('Raw Orders'!H246))</f>
        <v>0</v>
      </c>
      <c r="K246" t="str">
        <f>IF('Raw Orders'!J246,"Cancelled",IF('Raw Orders'!K246&gt;=2,"Slipped","On plan"))</f>
        <v>On plan</v>
      </c>
      <c r="L246" s="12">
        <f t="shared" si="3"/>
        <v>0</v>
      </c>
    </row>
    <row r="247" spans="1:12" x14ac:dyDescent="0.3">
      <c r="A247" t="str">
        <f>'Raw Orders'!A247</f>
        <v>NX-00243</v>
      </c>
      <c r="B247" t="str">
        <f>'Raw Orders'!B247</f>
        <v>North America</v>
      </c>
      <c r="C247" t="str">
        <f>'Raw Orders'!C247</f>
        <v>US / Canada</v>
      </c>
      <c r="D247" s="11">
        <f>'Raw Orders'!E247</f>
        <v>25.3</v>
      </c>
      <c r="E247" s="12">
        <f>'Raw Orders'!F247</f>
        <v>2099900</v>
      </c>
      <c r="F247" s="12">
        <f>'Raw Orders'!F247*0.75</f>
        <v>1574925</v>
      </c>
      <c r="G247" s="10">
        <f>'Raw Orders'!H247</f>
        <v>45717</v>
      </c>
      <c r="H247" s="10">
        <f>'Raw Orders'!I247</f>
        <v>45717</v>
      </c>
      <c r="I247" s="11">
        <f>'Raw Orders'!K247</f>
        <v>0</v>
      </c>
      <c r="J247" s="11">
        <f>IF('Raw Orders'!J247,"",(YEAR('Raw Orders'!I247)-YEAR('Raw Orders'!H247))*12+MONTH('Raw Orders'!I247)-MONTH('Raw Orders'!H247))</f>
        <v>0</v>
      </c>
      <c r="K247" t="str">
        <f>IF('Raw Orders'!J247,"Cancelled",IF('Raw Orders'!K247&gt;=2,"Slipped","On plan"))</f>
        <v>On plan</v>
      </c>
      <c r="L247" s="12">
        <f t="shared" si="3"/>
        <v>0</v>
      </c>
    </row>
    <row r="248" spans="1:12" x14ac:dyDescent="0.3">
      <c r="A248" t="str">
        <f>'Raw Orders'!A248</f>
        <v>NX-00244</v>
      </c>
      <c r="B248" t="str">
        <f>'Raw Orders'!B248</f>
        <v>North America</v>
      </c>
      <c r="C248" t="str">
        <f>'Raw Orders'!C248</f>
        <v>US / Canada</v>
      </c>
      <c r="D248" s="11">
        <f>'Raw Orders'!E248</f>
        <v>12.8</v>
      </c>
      <c r="E248" s="12">
        <f>'Raw Orders'!F248</f>
        <v>1062400</v>
      </c>
      <c r="F248" s="12">
        <f>'Raw Orders'!F248*0.75</f>
        <v>796800</v>
      </c>
      <c r="G248" s="10">
        <f>'Raw Orders'!H248</f>
        <v>45658</v>
      </c>
      <c r="H248" s="10">
        <f>'Raw Orders'!I248</f>
        <v>45658</v>
      </c>
      <c r="I248" s="11">
        <f>'Raw Orders'!K248</f>
        <v>0</v>
      </c>
      <c r="J248" s="11">
        <f>IF('Raw Orders'!J248,"",(YEAR('Raw Orders'!I248)-YEAR('Raw Orders'!H248))*12+MONTH('Raw Orders'!I248)-MONTH('Raw Orders'!H248))</f>
        <v>0</v>
      </c>
      <c r="K248" t="str">
        <f>IF('Raw Orders'!J248,"Cancelled",IF('Raw Orders'!K248&gt;=2,"Slipped","On plan"))</f>
        <v>On plan</v>
      </c>
      <c r="L248" s="12">
        <f t="shared" si="3"/>
        <v>0</v>
      </c>
    </row>
    <row r="249" spans="1:12" x14ac:dyDescent="0.3">
      <c r="A249" t="str">
        <f>'Raw Orders'!A249</f>
        <v>NX-00245</v>
      </c>
      <c r="B249" t="str">
        <f>'Raw Orders'!B249</f>
        <v>EMEA</v>
      </c>
      <c r="C249" t="str">
        <f>'Raw Orders'!C249</f>
        <v>Europe</v>
      </c>
      <c r="D249" s="11">
        <f>'Raw Orders'!E249</f>
        <v>10.5</v>
      </c>
      <c r="E249" s="12">
        <f>'Raw Orders'!F249</f>
        <v>924000</v>
      </c>
      <c r="F249" s="12">
        <f>'Raw Orders'!F249*0.75</f>
        <v>693000</v>
      </c>
      <c r="G249" s="10">
        <f>'Raw Orders'!H249</f>
        <v>45809</v>
      </c>
      <c r="H249" s="10">
        <f>'Raw Orders'!I249</f>
        <v>45809</v>
      </c>
      <c r="I249" s="11">
        <f>'Raw Orders'!K249</f>
        <v>0.02</v>
      </c>
      <c r="J249" s="11">
        <f>IF('Raw Orders'!J249,"",(YEAR('Raw Orders'!I249)-YEAR('Raw Orders'!H249))*12+MONTH('Raw Orders'!I249)-MONTH('Raw Orders'!H249))</f>
        <v>0</v>
      </c>
      <c r="K249" t="str">
        <f>IF('Raw Orders'!J249,"Cancelled",IF('Raw Orders'!K249&gt;=2,"Slipped","On plan"))</f>
        <v>On plan</v>
      </c>
      <c r="L249" s="12">
        <f t="shared" si="3"/>
        <v>0</v>
      </c>
    </row>
    <row r="250" spans="1:12" x14ac:dyDescent="0.3">
      <c r="A250" t="str">
        <f>'Raw Orders'!A250</f>
        <v>NX-00246</v>
      </c>
      <c r="B250" t="str">
        <f>'Raw Orders'!B250</f>
        <v>EMEA</v>
      </c>
      <c r="C250" t="str">
        <f>'Raw Orders'!C250</f>
        <v>Europe</v>
      </c>
      <c r="D250" s="11">
        <f>'Raw Orders'!E250</f>
        <v>9.6999999999999993</v>
      </c>
      <c r="E250" s="12">
        <f>'Raw Orders'!F250</f>
        <v>853599.99999999988</v>
      </c>
      <c r="F250" s="12">
        <f>'Raw Orders'!F250*0.75</f>
        <v>640199.99999999988</v>
      </c>
      <c r="G250" s="10">
        <f>'Raw Orders'!H250</f>
        <v>45627</v>
      </c>
      <c r="H250" s="10">
        <f>'Raw Orders'!I250</f>
        <v>45870</v>
      </c>
      <c r="I250" s="11">
        <f>'Raw Orders'!K250</f>
        <v>7.56</v>
      </c>
      <c r="J250" s="11">
        <f>IF('Raw Orders'!J250,"",(YEAR('Raw Orders'!I250)-YEAR('Raw Orders'!H250))*12+MONTH('Raw Orders'!I250)-MONTH('Raw Orders'!H250))</f>
        <v>8</v>
      </c>
      <c r="K250" t="str">
        <f>IF('Raw Orders'!J250,"Cancelled",IF('Raw Orders'!K250&gt;=2,"Slipped","On plan"))</f>
        <v>Slipped</v>
      </c>
      <c r="L250" s="12">
        <f t="shared" si="3"/>
        <v>640199.99999999988</v>
      </c>
    </row>
    <row r="251" spans="1:12" x14ac:dyDescent="0.3">
      <c r="A251" t="str">
        <f>'Raw Orders'!A251</f>
        <v>NX-00247</v>
      </c>
      <c r="B251" t="str">
        <f>'Raw Orders'!B251</f>
        <v>EMEA</v>
      </c>
      <c r="C251" t="str">
        <f>'Raw Orders'!C251</f>
        <v>Europe</v>
      </c>
      <c r="D251" s="11">
        <f>'Raw Orders'!E251</f>
        <v>3</v>
      </c>
      <c r="E251" s="12">
        <f>'Raw Orders'!F251</f>
        <v>264000</v>
      </c>
      <c r="F251" s="12">
        <f>'Raw Orders'!F251*0.75</f>
        <v>198000</v>
      </c>
      <c r="G251" s="10">
        <f>'Raw Orders'!H251</f>
        <v>45778</v>
      </c>
      <c r="H251" s="10">
        <f>'Raw Orders'!I251</f>
        <v>45809</v>
      </c>
      <c r="I251" s="11">
        <f>'Raw Orders'!K251</f>
        <v>0.57999999999999996</v>
      </c>
      <c r="J251" s="11">
        <f>IF('Raw Orders'!J251,"",(YEAR('Raw Orders'!I251)-YEAR('Raw Orders'!H251))*12+MONTH('Raw Orders'!I251)-MONTH('Raw Orders'!H251))</f>
        <v>1</v>
      </c>
      <c r="K251" t="str">
        <f>IF('Raw Orders'!J251,"Cancelled",IF('Raw Orders'!K251&gt;=2,"Slipped","On plan"))</f>
        <v>On plan</v>
      </c>
      <c r="L251" s="12">
        <f t="shared" si="3"/>
        <v>0</v>
      </c>
    </row>
    <row r="252" spans="1:12" x14ac:dyDescent="0.3">
      <c r="A252" t="str">
        <f>'Raw Orders'!A252</f>
        <v>NX-00248</v>
      </c>
      <c r="B252" t="str">
        <f>'Raw Orders'!B252</f>
        <v>EMEA</v>
      </c>
      <c r="C252" t="str">
        <f>'Raw Orders'!C252</f>
        <v>Europe</v>
      </c>
      <c r="D252" s="11">
        <f>'Raw Orders'!E252</f>
        <v>20.8</v>
      </c>
      <c r="E252" s="12">
        <f>'Raw Orders'!F252</f>
        <v>1830400</v>
      </c>
      <c r="F252" s="12">
        <f>'Raw Orders'!F252*0.75</f>
        <v>1372800</v>
      </c>
      <c r="G252" s="10">
        <f>'Raw Orders'!H252</f>
        <v>45809</v>
      </c>
      <c r="H252" s="10">
        <f>'Raw Orders'!I252</f>
        <v>45809</v>
      </c>
      <c r="I252" s="11">
        <f>'Raw Orders'!K252</f>
        <v>0.47</v>
      </c>
      <c r="J252" s="11">
        <f>IF('Raw Orders'!J252,"",(YEAR('Raw Orders'!I252)-YEAR('Raw Orders'!H252))*12+MONTH('Raw Orders'!I252)-MONTH('Raw Orders'!H252))</f>
        <v>0</v>
      </c>
      <c r="K252" t="str">
        <f>IF('Raw Orders'!J252,"Cancelled",IF('Raw Orders'!K252&gt;=2,"Slipped","On plan"))</f>
        <v>On plan</v>
      </c>
      <c r="L252" s="12">
        <f t="shared" si="3"/>
        <v>0</v>
      </c>
    </row>
    <row r="253" spans="1:12" x14ac:dyDescent="0.3">
      <c r="A253" t="str">
        <f>'Raw Orders'!A253</f>
        <v>NX-00249</v>
      </c>
      <c r="B253" t="str">
        <f>'Raw Orders'!B253</f>
        <v>EMEA</v>
      </c>
      <c r="C253" t="str">
        <f>'Raw Orders'!C253</f>
        <v>MENA</v>
      </c>
      <c r="D253" s="11">
        <f>'Raw Orders'!E253</f>
        <v>21.1</v>
      </c>
      <c r="E253" s="12">
        <f>'Raw Orders'!F253</f>
        <v>1709100</v>
      </c>
      <c r="F253" s="12">
        <f>'Raw Orders'!F253*0.75</f>
        <v>1281825</v>
      </c>
      <c r="G253" s="10">
        <f>'Raw Orders'!H253</f>
        <v>45658</v>
      </c>
      <c r="H253" s="10">
        <f>'Raw Orders'!I253</f>
        <v>45839</v>
      </c>
      <c r="I253" s="11">
        <f>'Raw Orders'!K253</f>
        <v>5.6</v>
      </c>
      <c r="J253" s="11">
        <f>IF('Raw Orders'!J253,"",(YEAR('Raw Orders'!I253)-YEAR('Raw Orders'!H253))*12+MONTH('Raw Orders'!I253)-MONTH('Raw Orders'!H253))</f>
        <v>6</v>
      </c>
      <c r="K253" t="str">
        <f>IF('Raw Orders'!J253,"Cancelled",IF('Raw Orders'!K253&gt;=2,"Slipped","On plan"))</f>
        <v>Slipped</v>
      </c>
      <c r="L253" s="12">
        <f t="shared" si="3"/>
        <v>1281825</v>
      </c>
    </row>
    <row r="254" spans="1:12" x14ac:dyDescent="0.3">
      <c r="A254" t="str">
        <f>'Raw Orders'!A254</f>
        <v>NX-00250</v>
      </c>
      <c r="B254" t="str">
        <f>'Raw Orders'!B254</f>
        <v>EMEA</v>
      </c>
      <c r="C254" t="str">
        <f>'Raw Orders'!C254</f>
        <v>MENA</v>
      </c>
      <c r="D254" s="11">
        <f>'Raw Orders'!E254</f>
        <v>8.1</v>
      </c>
      <c r="E254" s="12">
        <f>'Raw Orders'!F254</f>
        <v>656100</v>
      </c>
      <c r="F254" s="12">
        <f>'Raw Orders'!F254*0.75</f>
        <v>492075</v>
      </c>
      <c r="G254" s="10">
        <f>'Raw Orders'!H254</f>
        <v>45658</v>
      </c>
      <c r="H254" s="10">
        <f>'Raw Orders'!I254</f>
        <v>45689</v>
      </c>
      <c r="I254" s="11">
        <f>'Raw Orders'!K254</f>
        <v>0.64</v>
      </c>
      <c r="J254" s="11">
        <f>IF('Raw Orders'!J254,"",(YEAR('Raw Orders'!I254)-YEAR('Raw Orders'!H254))*12+MONTH('Raw Orders'!I254)-MONTH('Raw Orders'!H254))</f>
        <v>1</v>
      </c>
      <c r="K254" t="str">
        <f>IF('Raw Orders'!J254,"Cancelled",IF('Raw Orders'!K254&gt;=2,"Slipped","On plan"))</f>
        <v>On plan</v>
      </c>
      <c r="L254" s="12">
        <f t="shared" si="3"/>
        <v>0</v>
      </c>
    </row>
    <row r="255" spans="1:12" x14ac:dyDescent="0.3">
      <c r="A255" t="str">
        <f>'Raw Orders'!A255</f>
        <v>NX-00251</v>
      </c>
      <c r="B255" t="str">
        <f>'Raw Orders'!B255</f>
        <v>EMEA</v>
      </c>
      <c r="C255" t="str">
        <f>'Raw Orders'!C255</f>
        <v>MENA</v>
      </c>
      <c r="D255" s="11">
        <f>'Raw Orders'!E255</f>
        <v>3.8</v>
      </c>
      <c r="E255" s="12">
        <f>'Raw Orders'!F255</f>
        <v>307800</v>
      </c>
      <c r="F255" s="12">
        <f>'Raw Orders'!F255*0.75</f>
        <v>230850</v>
      </c>
      <c r="G255" s="10">
        <f>'Raw Orders'!H255</f>
        <v>45689</v>
      </c>
      <c r="H255" s="10">
        <f>'Raw Orders'!I255</f>
        <v>0</v>
      </c>
      <c r="I255" s="11">
        <f>'Raw Orders'!K255</f>
        <v>1.73</v>
      </c>
      <c r="J255" s="11" t="str">
        <f>IF('Raw Orders'!J255,"",(YEAR('Raw Orders'!I255)-YEAR('Raw Orders'!H255))*12+MONTH('Raw Orders'!I255)-MONTH('Raw Orders'!H255))</f>
        <v/>
      </c>
      <c r="K255" t="str">
        <f>IF('Raw Orders'!J255,"Cancelled",IF('Raw Orders'!K255&gt;=2,"Slipped","On plan"))</f>
        <v>Cancelled</v>
      </c>
      <c r="L255" s="12">
        <f t="shared" si="3"/>
        <v>230850</v>
      </c>
    </row>
    <row r="256" spans="1:12" x14ac:dyDescent="0.3">
      <c r="A256" t="str">
        <f>'Raw Orders'!A256</f>
        <v>NX-00252</v>
      </c>
      <c r="B256" t="str">
        <f>'Raw Orders'!B256</f>
        <v>EMEA</v>
      </c>
      <c r="C256" t="str">
        <f>'Raw Orders'!C256</f>
        <v>MENA</v>
      </c>
      <c r="D256" s="11">
        <f>'Raw Orders'!E256</f>
        <v>17.899999999999999</v>
      </c>
      <c r="E256" s="12">
        <f>'Raw Orders'!F256</f>
        <v>1449900</v>
      </c>
      <c r="F256" s="12">
        <f>'Raw Orders'!F256*0.75</f>
        <v>1087425</v>
      </c>
      <c r="G256" s="10">
        <f>'Raw Orders'!H256</f>
        <v>45748</v>
      </c>
      <c r="H256" s="10">
        <f>'Raw Orders'!I256</f>
        <v>45778</v>
      </c>
      <c r="I256" s="11">
        <f>'Raw Orders'!K256</f>
        <v>1.05</v>
      </c>
      <c r="J256" s="11">
        <f>IF('Raw Orders'!J256,"",(YEAR('Raw Orders'!I256)-YEAR('Raw Orders'!H256))*12+MONTH('Raw Orders'!I256)-MONTH('Raw Orders'!H256))</f>
        <v>1</v>
      </c>
      <c r="K256" t="str">
        <f>IF('Raw Orders'!J256,"Cancelled",IF('Raw Orders'!K256&gt;=2,"Slipped","On plan"))</f>
        <v>On plan</v>
      </c>
      <c r="L256" s="12">
        <f t="shared" si="3"/>
        <v>0</v>
      </c>
    </row>
    <row r="257" spans="1:12" x14ac:dyDescent="0.3">
      <c r="A257" t="str">
        <f>'Raw Orders'!A257</f>
        <v>NX-00253</v>
      </c>
      <c r="B257" t="str">
        <f>'Raw Orders'!B257</f>
        <v>APAC</v>
      </c>
      <c r="C257" t="str">
        <f>'Raw Orders'!C257</f>
        <v>India</v>
      </c>
      <c r="D257" s="11">
        <f>'Raw Orders'!E257</f>
        <v>7.6</v>
      </c>
      <c r="E257" s="12">
        <f>'Raw Orders'!F257</f>
        <v>539600</v>
      </c>
      <c r="F257" s="12">
        <f>'Raw Orders'!F257*0.75</f>
        <v>404700</v>
      </c>
      <c r="G257" s="10">
        <f>'Raw Orders'!H257</f>
        <v>45778</v>
      </c>
      <c r="H257" s="10">
        <f>'Raw Orders'!I257</f>
        <v>0</v>
      </c>
      <c r="I257" s="11">
        <f>'Raw Orders'!K257</f>
        <v>1.39</v>
      </c>
      <c r="J257" s="11" t="str">
        <f>IF('Raw Orders'!J257,"",(YEAR('Raw Orders'!I257)-YEAR('Raw Orders'!H257))*12+MONTH('Raw Orders'!I257)-MONTH('Raw Orders'!H257))</f>
        <v/>
      </c>
      <c r="K257" t="str">
        <f>IF('Raw Orders'!J257,"Cancelled",IF('Raw Orders'!K257&gt;=2,"Slipped","On plan"))</f>
        <v>Cancelled</v>
      </c>
      <c r="L257" s="12">
        <f t="shared" si="3"/>
        <v>404700</v>
      </c>
    </row>
    <row r="258" spans="1:12" x14ac:dyDescent="0.3">
      <c r="A258" t="str">
        <f>'Raw Orders'!A258</f>
        <v>NX-00254</v>
      </c>
      <c r="B258" t="str">
        <f>'Raw Orders'!B258</f>
        <v>APAC</v>
      </c>
      <c r="C258" t="str">
        <f>'Raw Orders'!C258</f>
        <v>India</v>
      </c>
      <c r="D258" s="11">
        <f>'Raw Orders'!E258</f>
        <v>11.3</v>
      </c>
      <c r="E258" s="12">
        <f>'Raw Orders'!F258</f>
        <v>802300</v>
      </c>
      <c r="F258" s="12">
        <f>'Raw Orders'!F258*0.75</f>
        <v>601725</v>
      </c>
      <c r="G258" s="10">
        <f>'Raw Orders'!H258</f>
        <v>45658</v>
      </c>
      <c r="H258" s="10">
        <f>'Raw Orders'!I258</f>
        <v>45778</v>
      </c>
      <c r="I258" s="11">
        <f>'Raw Orders'!K258</f>
        <v>3.85</v>
      </c>
      <c r="J258" s="11">
        <f>IF('Raw Orders'!J258,"",(YEAR('Raw Orders'!I258)-YEAR('Raw Orders'!H258))*12+MONTH('Raw Orders'!I258)-MONTH('Raw Orders'!H258))</f>
        <v>4</v>
      </c>
      <c r="K258" t="str">
        <f>IF('Raw Orders'!J258,"Cancelled",IF('Raw Orders'!K258&gt;=2,"Slipped","On plan"))</f>
        <v>Slipped</v>
      </c>
      <c r="L258" s="12">
        <f t="shared" si="3"/>
        <v>601725</v>
      </c>
    </row>
    <row r="259" spans="1:12" x14ac:dyDescent="0.3">
      <c r="A259" t="str">
        <f>'Raw Orders'!A259</f>
        <v>NX-00255</v>
      </c>
      <c r="B259" t="str">
        <f>'Raw Orders'!B259</f>
        <v>LATAM</v>
      </c>
      <c r="C259" t="str">
        <f>'Raw Orders'!C259</f>
        <v>LATAM</v>
      </c>
      <c r="D259" s="11">
        <f>'Raw Orders'!E259</f>
        <v>7.4</v>
      </c>
      <c r="E259" s="12">
        <f>'Raw Orders'!F259</f>
        <v>584600</v>
      </c>
      <c r="F259" s="12">
        <f>'Raw Orders'!F259*0.75</f>
        <v>438450</v>
      </c>
      <c r="G259" s="10">
        <f>'Raw Orders'!H259</f>
        <v>45658</v>
      </c>
      <c r="H259" s="10">
        <f>'Raw Orders'!I259</f>
        <v>45658</v>
      </c>
      <c r="I259" s="11">
        <f>'Raw Orders'!K259</f>
        <v>0.13</v>
      </c>
      <c r="J259" s="11">
        <f>IF('Raw Orders'!J259,"",(YEAR('Raw Orders'!I259)-YEAR('Raw Orders'!H259))*12+MONTH('Raw Orders'!I259)-MONTH('Raw Orders'!H259))</f>
        <v>0</v>
      </c>
      <c r="K259" t="str">
        <f>IF('Raw Orders'!J259,"Cancelled",IF('Raw Orders'!K259&gt;=2,"Slipped","On plan"))</f>
        <v>On plan</v>
      </c>
      <c r="L259" s="12">
        <f t="shared" si="3"/>
        <v>0</v>
      </c>
    </row>
    <row r="260" spans="1:12" x14ac:dyDescent="0.3">
      <c r="A260" t="str">
        <f>'Raw Orders'!A260</f>
        <v>NX-00256</v>
      </c>
      <c r="B260" t="str">
        <f>'Raw Orders'!B260</f>
        <v>North America</v>
      </c>
      <c r="C260" t="str">
        <f>'Raw Orders'!C260</f>
        <v>US / Canada</v>
      </c>
      <c r="D260" s="11">
        <f>'Raw Orders'!E260</f>
        <v>60.8</v>
      </c>
      <c r="E260" s="12">
        <f>'Raw Orders'!F260</f>
        <v>5046400</v>
      </c>
      <c r="F260" s="12">
        <f>'Raw Orders'!F260*0.75</f>
        <v>3784800</v>
      </c>
      <c r="G260" s="10">
        <f>'Raw Orders'!H260</f>
        <v>45748</v>
      </c>
      <c r="H260" s="10">
        <f>'Raw Orders'!I260</f>
        <v>45778</v>
      </c>
      <c r="I260" s="11">
        <f>'Raw Orders'!K260</f>
        <v>1.04</v>
      </c>
      <c r="J260" s="11">
        <f>IF('Raw Orders'!J260,"",(YEAR('Raw Orders'!I260)-YEAR('Raw Orders'!H260))*12+MONTH('Raw Orders'!I260)-MONTH('Raw Orders'!H260))</f>
        <v>1</v>
      </c>
      <c r="K260" t="str">
        <f>IF('Raw Orders'!J260,"Cancelled",IF('Raw Orders'!K260&gt;=2,"Slipped","On plan"))</f>
        <v>On plan</v>
      </c>
      <c r="L260" s="12">
        <f t="shared" si="3"/>
        <v>0</v>
      </c>
    </row>
    <row r="261" spans="1:12" x14ac:dyDescent="0.3">
      <c r="A261" t="str">
        <f>'Raw Orders'!A261</f>
        <v>NX-00257</v>
      </c>
      <c r="B261" t="str">
        <f>'Raw Orders'!B261</f>
        <v>North America</v>
      </c>
      <c r="C261" t="str">
        <f>'Raw Orders'!C261</f>
        <v>US / Canada</v>
      </c>
      <c r="D261" s="11">
        <f>'Raw Orders'!E261</f>
        <v>15.8</v>
      </c>
      <c r="E261" s="12">
        <f>'Raw Orders'!F261</f>
        <v>1311400</v>
      </c>
      <c r="F261" s="12">
        <f>'Raw Orders'!F261*0.75</f>
        <v>983550</v>
      </c>
      <c r="G261" s="10">
        <f>'Raw Orders'!H261</f>
        <v>45748</v>
      </c>
      <c r="H261" s="10">
        <f>'Raw Orders'!I261</f>
        <v>45778</v>
      </c>
      <c r="I261" s="11">
        <f>'Raw Orders'!K261</f>
        <v>0.62</v>
      </c>
      <c r="J261" s="11">
        <f>IF('Raw Orders'!J261,"",(YEAR('Raw Orders'!I261)-YEAR('Raw Orders'!H261))*12+MONTH('Raw Orders'!I261)-MONTH('Raw Orders'!H261))</f>
        <v>1</v>
      </c>
      <c r="K261" t="str">
        <f>IF('Raw Orders'!J261,"Cancelled",IF('Raw Orders'!K261&gt;=2,"Slipped","On plan"))</f>
        <v>On plan</v>
      </c>
      <c r="L261" s="12">
        <f t="shared" ref="L261:L324" si="4">IF(K261="On plan",0,F261)</f>
        <v>0</v>
      </c>
    </row>
    <row r="262" spans="1:12" x14ac:dyDescent="0.3">
      <c r="A262" t="str">
        <f>'Raw Orders'!A262</f>
        <v>NX-00258</v>
      </c>
      <c r="B262" t="str">
        <f>'Raw Orders'!B262</f>
        <v>North America</v>
      </c>
      <c r="C262" t="str">
        <f>'Raw Orders'!C262</f>
        <v>US / Canada</v>
      </c>
      <c r="D262" s="11">
        <f>'Raw Orders'!E262</f>
        <v>11.7</v>
      </c>
      <c r="E262" s="12">
        <f>'Raw Orders'!F262</f>
        <v>971100</v>
      </c>
      <c r="F262" s="12">
        <f>'Raw Orders'!F262*0.75</f>
        <v>728325</v>
      </c>
      <c r="G262" s="10">
        <f>'Raw Orders'!H262</f>
        <v>45809</v>
      </c>
      <c r="H262" s="10">
        <f>'Raw Orders'!I262</f>
        <v>45809</v>
      </c>
      <c r="I262" s="11">
        <f>'Raw Orders'!K262</f>
        <v>0</v>
      </c>
      <c r="J262" s="11">
        <f>IF('Raw Orders'!J262,"",(YEAR('Raw Orders'!I262)-YEAR('Raw Orders'!H262))*12+MONTH('Raw Orders'!I262)-MONTH('Raw Orders'!H262))</f>
        <v>0</v>
      </c>
      <c r="K262" t="str">
        <f>IF('Raw Orders'!J262,"Cancelled",IF('Raw Orders'!K262&gt;=2,"Slipped","On plan"))</f>
        <v>On plan</v>
      </c>
      <c r="L262" s="12">
        <f t="shared" si="4"/>
        <v>0</v>
      </c>
    </row>
    <row r="263" spans="1:12" x14ac:dyDescent="0.3">
      <c r="A263" t="str">
        <f>'Raw Orders'!A263</f>
        <v>NX-00259</v>
      </c>
      <c r="B263" t="str">
        <f>'Raw Orders'!B263</f>
        <v>North America</v>
      </c>
      <c r="C263" t="str">
        <f>'Raw Orders'!C263</f>
        <v>US / Canada</v>
      </c>
      <c r="D263" s="11">
        <f>'Raw Orders'!E263</f>
        <v>7.5</v>
      </c>
      <c r="E263" s="12">
        <f>'Raw Orders'!F263</f>
        <v>622500</v>
      </c>
      <c r="F263" s="12">
        <f>'Raw Orders'!F263*0.75</f>
        <v>466875</v>
      </c>
      <c r="G263" s="10">
        <f>'Raw Orders'!H263</f>
        <v>45748</v>
      </c>
      <c r="H263" s="10">
        <f>'Raw Orders'!I263</f>
        <v>45748</v>
      </c>
      <c r="I263" s="11">
        <f>'Raw Orders'!K263</f>
        <v>0</v>
      </c>
      <c r="J263" s="11">
        <f>IF('Raw Orders'!J263,"",(YEAR('Raw Orders'!I263)-YEAR('Raw Orders'!H263))*12+MONTH('Raw Orders'!I263)-MONTH('Raw Orders'!H263))</f>
        <v>0</v>
      </c>
      <c r="K263" t="str">
        <f>IF('Raw Orders'!J263,"Cancelled",IF('Raw Orders'!K263&gt;=2,"Slipped","On plan"))</f>
        <v>On plan</v>
      </c>
      <c r="L263" s="12">
        <f t="shared" si="4"/>
        <v>0</v>
      </c>
    </row>
    <row r="264" spans="1:12" x14ac:dyDescent="0.3">
      <c r="A264" t="str">
        <f>'Raw Orders'!A264</f>
        <v>NX-00260</v>
      </c>
      <c r="B264" t="str">
        <f>'Raw Orders'!B264</f>
        <v>North America</v>
      </c>
      <c r="C264" t="str">
        <f>'Raw Orders'!C264</f>
        <v>US / Canada</v>
      </c>
      <c r="D264" s="11">
        <f>'Raw Orders'!E264</f>
        <v>12.6</v>
      </c>
      <c r="E264" s="12">
        <f>'Raw Orders'!F264</f>
        <v>1045800</v>
      </c>
      <c r="F264" s="12">
        <f>'Raw Orders'!F264*0.75</f>
        <v>784350</v>
      </c>
      <c r="G264" s="10">
        <f>'Raw Orders'!H264</f>
        <v>45717</v>
      </c>
      <c r="H264" s="10">
        <f>'Raw Orders'!I264</f>
        <v>45717</v>
      </c>
      <c r="I264" s="11">
        <f>'Raw Orders'!K264</f>
        <v>0.45</v>
      </c>
      <c r="J264" s="11">
        <f>IF('Raw Orders'!J264,"",(YEAR('Raw Orders'!I264)-YEAR('Raw Orders'!H264))*12+MONTH('Raw Orders'!I264)-MONTH('Raw Orders'!H264))</f>
        <v>0</v>
      </c>
      <c r="K264" t="str">
        <f>IF('Raw Orders'!J264,"Cancelled",IF('Raw Orders'!K264&gt;=2,"Slipped","On plan"))</f>
        <v>On plan</v>
      </c>
      <c r="L264" s="12">
        <f t="shared" si="4"/>
        <v>0</v>
      </c>
    </row>
    <row r="265" spans="1:12" x14ac:dyDescent="0.3">
      <c r="A265" t="str">
        <f>'Raw Orders'!A265</f>
        <v>NX-00261</v>
      </c>
      <c r="B265" t="str">
        <f>'Raw Orders'!B265</f>
        <v>North America</v>
      </c>
      <c r="C265" t="str">
        <f>'Raw Orders'!C265</f>
        <v>US / Canada</v>
      </c>
      <c r="D265" s="11">
        <f>'Raw Orders'!E265</f>
        <v>11.1</v>
      </c>
      <c r="E265" s="12">
        <f>'Raw Orders'!F265</f>
        <v>921300</v>
      </c>
      <c r="F265" s="12">
        <f>'Raw Orders'!F265*0.75</f>
        <v>690975</v>
      </c>
      <c r="G265" s="10">
        <f>'Raw Orders'!H265</f>
        <v>45778</v>
      </c>
      <c r="H265" s="10">
        <f>'Raw Orders'!I265</f>
        <v>45778</v>
      </c>
      <c r="I265" s="11">
        <f>'Raw Orders'!K265</f>
        <v>0</v>
      </c>
      <c r="J265" s="11">
        <f>IF('Raw Orders'!J265,"",(YEAR('Raw Orders'!I265)-YEAR('Raw Orders'!H265))*12+MONTH('Raw Orders'!I265)-MONTH('Raw Orders'!H265))</f>
        <v>0</v>
      </c>
      <c r="K265" t="str">
        <f>IF('Raw Orders'!J265,"Cancelled",IF('Raw Orders'!K265&gt;=2,"Slipped","On plan"))</f>
        <v>On plan</v>
      </c>
      <c r="L265" s="12">
        <f t="shared" si="4"/>
        <v>0</v>
      </c>
    </row>
    <row r="266" spans="1:12" x14ac:dyDescent="0.3">
      <c r="A266" t="str">
        <f>'Raw Orders'!A266</f>
        <v>NX-00262</v>
      </c>
      <c r="B266" t="str">
        <f>'Raw Orders'!B266</f>
        <v>North America</v>
      </c>
      <c r="C266" t="str">
        <f>'Raw Orders'!C266</f>
        <v>US / Canada</v>
      </c>
      <c r="D266" s="11">
        <f>'Raw Orders'!E266</f>
        <v>12</v>
      </c>
      <c r="E266" s="12">
        <f>'Raw Orders'!F266</f>
        <v>996000</v>
      </c>
      <c r="F266" s="12">
        <f>'Raw Orders'!F266*0.75</f>
        <v>747000</v>
      </c>
      <c r="G266" s="10">
        <f>'Raw Orders'!H266</f>
        <v>45689</v>
      </c>
      <c r="H266" s="10">
        <f>'Raw Orders'!I266</f>
        <v>45778</v>
      </c>
      <c r="I266" s="11">
        <f>'Raw Orders'!K266</f>
        <v>2.68</v>
      </c>
      <c r="J266" s="11">
        <f>IF('Raw Orders'!J266,"",(YEAR('Raw Orders'!I266)-YEAR('Raw Orders'!H266))*12+MONTH('Raw Orders'!I266)-MONTH('Raw Orders'!H266))</f>
        <v>3</v>
      </c>
      <c r="K266" t="str">
        <f>IF('Raw Orders'!J266,"Cancelled",IF('Raw Orders'!K266&gt;=2,"Slipped","On plan"))</f>
        <v>Slipped</v>
      </c>
      <c r="L266" s="12">
        <f t="shared" si="4"/>
        <v>747000</v>
      </c>
    </row>
    <row r="267" spans="1:12" x14ac:dyDescent="0.3">
      <c r="A267" t="str">
        <f>'Raw Orders'!A267</f>
        <v>NX-00263</v>
      </c>
      <c r="B267" t="str">
        <f>'Raw Orders'!B267</f>
        <v>North America</v>
      </c>
      <c r="C267" t="str">
        <f>'Raw Orders'!C267</f>
        <v>US / Canada</v>
      </c>
      <c r="D267" s="11">
        <f>'Raw Orders'!E267</f>
        <v>19.600000000000001</v>
      </c>
      <c r="E267" s="12">
        <f>'Raw Orders'!F267</f>
        <v>1626800</v>
      </c>
      <c r="F267" s="12">
        <f>'Raw Orders'!F267*0.75</f>
        <v>1220100</v>
      </c>
      <c r="G267" s="10">
        <f>'Raw Orders'!H267</f>
        <v>45717</v>
      </c>
      <c r="H267" s="10">
        <f>'Raw Orders'!I267</f>
        <v>45717</v>
      </c>
      <c r="I267" s="11">
        <f>'Raw Orders'!K267</f>
        <v>7.0000000000000007E-2</v>
      </c>
      <c r="J267" s="11">
        <f>IF('Raw Orders'!J267,"",(YEAR('Raw Orders'!I267)-YEAR('Raw Orders'!H267))*12+MONTH('Raw Orders'!I267)-MONTH('Raw Orders'!H267))</f>
        <v>0</v>
      </c>
      <c r="K267" t="str">
        <f>IF('Raw Orders'!J267,"Cancelled",IF('Raw Orders'!K267&gt;=2,"Slipped","On plan"))</f>
        <v>On plan</v>
      </c>
      <c r="L267" s="12">
        <f t="shared" si="4"/>
        <v>0</v>
      </c>
    </row>
    <row r="268" spans="1:12" x14ac:dyDescent="0.3">
      <c r="A268" t="str">
        <f>'Raw Orders'!A268</f>
        <v>NX-00264</v>
      </c>
      <c r="B268" t="str">
        <f>'Raw Orders'!B268</f>
        <v>North America</v>
      </c>
      <c r="C268" t="str">
        <f>'Raw Orders'!C268</f>
        <v>US / Canada</v>
      </c>
      <c r="D268" s="11">
        <f>'Raw Orders'!E268</f>
        <v>9.9</v>
      </c>
      <c r="E268" s="12">
        <f>'Raw Orders'!F268</f>
        <v>821700</v>
      </c>
      <c r="F268" s="12">
        <f>'Raw Orders'!F268*0.75</f>
        <v>616275</v>
      </c>
      <c r="G268" s="10">
        <f>'Raw Orders'!H268</f>
        <v>45809</v>
      </c>
      <c r="H268" s="10">
        <f>'Raw Orders'!I268</f>
        <v>45809</v>
      </c>
      <c r="I268" s="11">
        <f>'Raw Orders'!K268</f>
        <v>0</v>
      </c>
      <c r="J268" s="11">
        <f>IF('Raw Orders'!J268,"",(YEAR('Raw Orders'!I268)-YEAR('Raw Orders'!H268))*12+MONTH('Raw Orders'!I268)-MONTH('Raw Orders'!H268))</f>
        <v>0</v>
      </c>
      <c r="K268" t="str">
        <f>IF('Raw Orders'!J268,"Cancelled",IF('Raw Orders'!K268&gt;=2,"Slipped","On plan"))</f>
        <v>On plan</v>
      </c>
      <c r="L268" s="12">
        <f t="shared" si="4"/>
        <v>0</v>
      </c>
    </row>
    <row r="269" spans="1:12" x14ac:dyDescent="0.3">
      <c r="A269" t="str">
        <f>'Raw Orders'!A269</f>
        <v>NX-00265</v>
      </c>
      <c r="B269" t="str">
        <f>'Raw Orders'!B269</f>
        <v>North America</v>
      </c>
      <c r="C269" t="str">
        <f>'Raw Orders'!C269</f>
        <v>US / Canada</v>
      </c>
      <c r="D269" s="11">
        <f>'Raw Orders'!E269</f>
        <v>7.2</v>
      </c>
      <c r="E269" s="12">
        <f>'Raw Orders'!F269</f>
        <v>597600</v>
      </c>
      <c r="F269" s="12">
        <f>'Raw Orders'!F269*0.75</f>
        <v>448200</v>
      </c>
      <c r="G269" s="10">
        <f>'Raw Orders'!H269</f>
        <v>45809</v>
      </c>
      <c r="H269" s="10">
        <f>'Raw Orders'!I269</f>
        <v>45809</v>
      </c>
      <c r="I269" s="11">
        <f>'Raw Orders'!K269</f>
        <v>0.21</v>
      </c>
      <c r="J269" s="11">
        <f>IF('Raw Orders'!J269,"",(YEAR('Raw Orders'!I269)-YEAR('Raw Orders'!H269))*12+MONTH('Raw Orders'!I269)-MONTH('Raw Orders'!H269))</f>
        <v>0</v>
      </c>
      <c r="K269" t="str">
        <f>IF('Raw Orders'!J269,"Cancelled",IF('Raw Orders'!K269&gt;=2,"Slipped","On plan"))</f>
        <v>On plan</v>
      </c>
      <c r="L269" s="12">
        <f t="shared" si="4"/>
        <v>0</v>
      </c>
    </row>
    <row r="270" spans="1:12" x14ac:dyDescent="0.3">
      <c r="A270" t="str">
        <f>'Raw Orders'!A270</f>
        <v>NX-00266</v>
      </c>
      <c r="B270" t="str">
        <f>'Raw Orders'!B270</f>
        <v>North America</v>
      </c>
      <c r="C270" t="str">
        <f>'Raw Orders'!C270</f>
        <v>US / Canada</v>
      </c>
      <c r="D270" s="11">
        <f>'Raw Orders'!E270</f>
        <v>51.3</v>
      </c>
      <c r="E270" s="12">
        <f>'Raw Orders'!F270</f>
        <v>4257900</v>
      </c>
      <c r="F270" s="12">
        <f>'Raw Orders'!F270*0.75</f>
        <v>3193425</v>
      </c>
      <c r="G270" s="10">
        <f>'Raw Orders'!H270</f>
        <v>45658</v>
      </c>
      <c r="H270" s="10">
        <f>'Raw Orders'!I270</f>
        <v>45658</v>
      </c>
      <c r="I270" s="11">
        <f>'Raw Orders'!K270</f>
        <v>0</v>
      </c>
      <c r="J270" s="11">
        <f>IF('Raw Orders'!J270,"",(YEAR('Raw Orders'!I270)-YEAR('Raw Orders'!H270))*12+MONTH('Raw Orders'!I270)-MONTH('Raw Orders'!H270))</f>
        <v>0</v>
      </c>
      <c r="K270" t="str">
        <f>IF('Raw Orders'!J270,"Cancelled",IF('Raw Orders'!K270&gt;=2,"Slipped","On plan"))</f>
        <v>On plan</v>
      </c>
      <c r="L270" s="12">
        <f t="shared" si="4"/>
        <v>0</v>
      </c>
    </row>
    <row r="271" spans="1:12" x14ac:dyDescent="0.3">
      <c r="A271" t="str">
        <f>'Raw Orders'!A271</f>
        <v>NX-00267</v>
      </c>
      <c r="B271" t="str">
        <f>'Raw Orders'!B271</f>
        <v>North America</v>
      </c>
      <c r="C271" t="str">
        <f>'Raw Orders'!C271</f>
        <v>US / Canada</v>
      </c>
      <c r="D271" s="11">
        <f>'Raw Orders'!E271</f>
        <v>10.199999999999999</v>
      </c>
      <c r="E271" s="12">
        <f>'Raw Orders'!F271</f>
        <v>846599.99999999988</v>
      </c>
      <c r="F271" s="12">
        <f>'Raw Orders'!F271*0.75</f>
        <v>634949.99999999988</v>
      </c>
      <c r="G271" s="10">
        <f>'Raw Orders'!H271</f>
        <v>45717</v>
      </c>
      <c r="H271" s="10">
        <f>'Raw Orders'!I271</f>
        <v>45717</v>
      </c>
      <c r="I271" s="11">
        <f>'Raw Orders'!K271</f>
        <v>0.05</v>
      </c>
      <c r="J271" s="11">
        <f>IF('Raw Orders'!J271,"",(YEAR('Raw Orders'!I271)-YEAR('Raw Orders'!H271))*12+MONTH('Raw Orders'!I271)-MONTH('Raw Orders'!H271))</f>
        <v>0</v>
      </c>
      <c r="K271" t="str">
        <f>IF('Raw Orders'!J271,"Cancelled",IF('Raw Orders'!K271&gt;=2,"Slipped","On plan"))</f>
        <v>On plan</v>
      </c>
      <c r="L271" s="12">
        <f t="shared" si="4"/>
        <v>0</v>
      </c>
    </row>
    <row r="272" spans="1:12" x14ac:dyDescent="0.3">
      <c r="A272" t="str">
        <f>'Raw Orders'!A272</f>
        <v>NX-00268</v>
      </c>
      <c r="B272" t="str">
        <f>'Raw Orders'!B272</f>
        <v>North America</v>
      </c>
      <c r="C272" t="str">
        <f>'Raw Orders'!C272</f>
        <v>US / Canada</v>
      </c>
      <c r="D272" s="11">
        <f>'Raw Orders'!E272</f>
        <v>52.5</v>
      </c>
      <c r="E272" s="12">
        <f>'Raw Orders'!F272</f>
        <v>4357500</v>
      </c>
      <c r="F272" s="12">
        <f>'Raw Orders'!F272*0.75</f>
        <v>3268125</v>
      </c>
      <c r="G272" s="10">
        <f>'Raw Orders'!H272</f>
        <v>45689</v>
      </c>
      <c r="H272" s="10">
        <f>'Raw Orders'!I272</f>
        <v>45839</v>
      </c>
      <c r="I272" s="11">
        <f>'Raw Orders'!K272</f>
        <v>5.34</v>
      </c>
      <c r="J272" s="11">
        <f>IF('Raw Orders'!J272,"",(YEAR('Raw Orders'!I272)-YEAR('Raw Orders'!H272))*12+MONTH('Raw Orders'!I272)-MONTH('Raw Orders'!H272))</f>
        <v>5</v>
      </c>
      <c r="K272" t="str">
        <f>IF('Raw Orders'!J272,"Cancelled",IF('Raw Orders'!K272&gt;=2,"Slipped","On plan"))</f>
        <v>Slipped</v>
      </c>
      <c r="L272" s="12">
        <f t="shared" si="4"/>
        <v>3268125</v>
      </c>
    </row>
    <row r="273" spans="1:12" x14ac:dyDescent="0.3">
      <c r="A273" t="str">
        <f>'Raw Orders'!A273</f>
        <v>NX-00269</v>
      </c>
      <c r="B273" t="str">
        <f>'Raw Orders'!B273</f>
        <v>North America</v>
      </c>
      <c r="C273" t="str">
        <f>'Raw Orders'!C273</f>
        <v>US / Canada</v>
      </c>
      <c r="D273" s="11">
        <f>'Raw Orders'!E273</f>
        <v>37.700000000000003</v>
      </c>
      <c r="E273" s="12">
        <f>'Raw Orders'!F273</f>
        <v>3129100</v>
      </c>
      <c r="F273" s="12">
        <f>'Raw Orders'!F273*0.75</f>
        <v>2346825</v>
      </c>
      <c r="G273" s="10">
        <f>'Raw Orders'!H273</f>
        <v>45778</v>
      </c>
      <c r="H273" s="10">
        <f>'Raw Orders'!I273</f>
        <v>45778</v>
      </c>
      <c r="I273" s="11">
        <f>'Raw Orders'!K273</f>
        <v>0</v>
      </c>
      <c r="J273" s="11">
        <f>IF('Raw Orders'!J273,"",(YEAR('Raw Orders'!I273)-YEAR('Raw Orders'!H273))*12+MONTH('Raw Orders'!I273)-MONTH('Raw Orders'!H273))</f>
        <v>0</v>
      </c>
      <c r="K273" t="str">
        <f>IF('Raw Orders'!J273,"Cancelled",IF('Raw Orders'!K273&gt;=2,"Slipped","On plan"))</f>
        <v>On plan</v>
      </c>
      <c r="L273" s="12">
        <f t="shared" si="4"/>
        <v>0</v>
      </c>
    </row>
    <row r="274" spans="1:12" x14ac:dyDescent="0.3">
      <c r="A274" t="str">
        <f>'Raw Orders'!A274</f>
        <v>NX-00270</v>
      </c>
      <c r="B274" t="str">
        <f>'Raw Orders'!B274</f>
        <v>North America</v>
      </c>
      <c r="C274" t="str">
        <f>'Raw Orders'!C274</f>
        <v>US / Canada</v>
      </c>
      <c r="D274" s="11">
        <f>'Raw Orders'!E274</f>
        <v>29</v>
      </c>
      <c r="E274" s="12">
        <f>'Raw Orders'!F274</f>
        <v>2407000</v>
      </c>
      <c r="F274" s="12">
        <f>'Raw Orders'!F274*0.75</f>
        <v>1805250</v>
      </c>
      <c r="G274" s="10">
        <f>'Raw Orders'!H274</f>
        <v>45778</v>
      </c>
      <c r="H274" s="10">
        <f>'Raw Orders'!I274</f>
        <v>45778</v>
      </c>
      <c r="I274" s="11">
        <f>'Raw Orders'!K274</f>
        <v>0.05</v>
      </c>
      <c r="J274" s="11">
        <f>IF('Raw Orders'!J274,"",(YEAR('Raw Orders'!I274)-YEAR('Raw Orders'!H274))*12+MONTH('Raw Orders'!I274)-MONTH('Raw Orders'!H274))</f>
        <v>0</v>
      </c>
      <c r="K274" t="str">
        <f>IF('Raw Orders'!J274,"Cancelled",IF('Raw Orders'!K274&gt;=2,"Slipped","On plan"))</f>
        <v>On plan</v>
      </c>
      <c r="L274" s="12">
        <f t="shared" si="4"/>
        <v>0</v>
      </c>
    </row>
    <row r="275" spans="1:12" x14ac:dyDescent="0.3">
      <c r="A275" t="str">
        <f>'Raw Orders'!A275</f>
        <v>NX-00271</v>
      </c>
      <c r="B275" t="str">
        <f>'Raw Orders'!B275</f>
        <v>North America</v>
      </c>
      <c r="C275" t="str">
        <f>'Raw Orders'!C275</f>
        <v>US / Canada</v>
      </c>
      <c r="D275" s="11">
        <f>'Raw Orders'!E275</f>
        <v>6</v>
      </c>
      <c r="E275" s="12">
        <f>'Raw Orders'!F275</f>
        <v>498000</v>
      </c>
      <c r="F275" s="12">
        <f>'Raw Orders'!F275*0.75</f>
        <v>373500</v>
      </c>
      <c r="G275" s="10">
        <f>'Raw Orders'!H275</f>
        <v>45839</v>
      </c>
      <c r="H275" s="10">
        <f>'Raw Orders'!I275</f>
        <v>45870</v>
      </c>
      <c r="I275" s="11">
        <f>'Raw Orders'!K275</f>
        <v>0.82</v>
      </c>
      <c r="J275" s="11">
        <f>IF('Raw Orders'!J275,"",(YEAR('Raw Orders'!I275)-YEAR('Raw Orders'!H275))*12+MONTH('Raw Orders'!I275)-MONTH('Raw Orders'!H275))</f>
        <v>1</v>
      </c>
      <c r="K275" t="str">
        <f>IF('Raw Orders'!J275,"Cancelled",IF('Raw Orders'!K275&gt;=2,"Slipped","On plan"))</f>
        <v>On plan</v>
      </c>
      <c r="L275" s="12">
        <f t="shared" si="4"/>
        <v>0</v>
      </c>
    </row>
    <row r="276" spans="1:12" x14ac:dyDescent="0.3">
      <c r="A276" t="str">
        <f>'Raw Orders'!A276</f>
        <v>NX-00272</v>
      </c>
      <c r="B276" t="str">
        <f>'Raw Orders'!B276</f>
        <v>EMEA</v>
      </c>
      <c r="C276" t="str">
        <f>'Raw Orders'!C276</f>
        <v>Europe</v>
      </c>
      <c r="D276" s="11">
        <f>'Raw Orders'!E276</f>
        <v>14.2</v>
      </c>
      <c r="E276" s="12">
        <f>'Raw Orders'!F276</f>
        <v>1249600</v>
      </c>
      <c r="F276" s="12">
        <f>'Raw Orders'!F276*0.75</f>
        <v>937200</v>
      </c>
      <c r="G276" s="10">
        <f>'Raw Orders'!H276</f>
        <v>45748</v>
      </c>
      <c r="H276" s="10">
        <f>'Raw Orders'!I276</f>
        <v>45778</v>
      </c>
      <c r="I276" s="11">
        <f>'Raw Orders'!K276</f>
        <v>0.53</v>
      </c>
      <c r="J276" s="11">
        <f>IF('Raw Orders'!J276,"",(YEAR('Raw Orders'!I276)-YEAR('Raw Orders'!H276))*12+MONTH('Raw Orders'!I276)-MONTH('Raw Orders'!H276))</f>
        <v>1</v>
      </c>
      <c r="K276" t="str">
        <f>IF('Raw Orders'!J276,"Cancelled",IF('Raw Orders'!K276&gt;=2,"Slipped","On plan"))</f>
        <v>On plan</v>
      </c>
      <c r="L276" s="12">
        <f t="shared" si="4"/>
        <v>0</v>
      </c>
    </row>
    <row r="277" spans="1:12" x14ac:dyDescent="0.3">
      <c r="A277" t="str">
        <f>'Raw Orders'!A277</f>
        <v>NX-00273</v>
      </c>
      <c r="B277" t="str">
        <f>'Raw Orders'!B277</f>
        <v>EMEA</v>
      </c>
      <c r="C277" t="str">
        <f>'Raw Orders'!C277</f>
        <v>Europe</v>
      </c>
      <c r="D277" s="11">
        <f>'Raw Orders'!E277</f>
        <v>43.6</v>
      </c>
      <c r="E277" s="12">
        <f>'Raw Orders'!F277</f>
        <v>3836800</v>
      </c>
      <c r="F277" s="12">
        <f>'Raw Orders'!F277*0.75</f>
        <v>2877600</v>
      </c>
      <c r="G277" s="10">
        <f>'Raw Orders'!H277</f>
        <v>45717</v>
      </c>
      <c r="H277" s="10">
        <f>'Raw Orders'!I277</f>
        <v>45748</v>
      </c>
      <c r="I277" s="11">
        <f>'Raw Orders'!K277</f>
        <v>1.1100000000000001</v>
      </c>
      <c r="J277" s="11">
        <f>IF('Raw Orders'!J277,"",(YEAR('Raw Orders'!I277)-YEAR('Raw Orders'!H277))*12+MONTH('Raw Orders'!I277)-MONTH('Raw Orders'!H277))</f>
        <v>1</v>
      </c>
      <c r="K277" t="str">
        <f>IF('Raw Orders'!J277,"Cancelled",IF('Raw Orders'!K277&gt;=2,"Slipped","On plan"))</f>
        <v>On plan</v>
      </c>
      <c r="L277" s="12">
        <f t="shared" si="4"/>
        <v>0</v>
      </c>
    </row>
    <row r="278" spans="1:12" x14ac:dyDescent="0.3">
      <c r="A278" t="str">
        <f>'Raw Orders'!A278</f>
        <v>NX-00274</v>
      </c>
      <c r="B278" t="str">
        <f>'Raw Orders'!B278</f>
        <v>EMEA</v>
      </c>
      <c r="C278" t="str">
        <f>'Raw Orders'!C278</f>
        <v>Europe</v>
      </c>
      <c r="D278" s="11">
        <f>'Raw Orders'!E278</f>
        <v>9.6999999999999993</v>
      </c>
      <c r="E278" s="12">
        <f>'Raw Orders'!F278</f>
        <v>853599.99999999988</v>
      </c>
      <c r="F278" s="12">
        <f>'Raw Orders'!F278*0.75</f>
        <v>640199.99999999988</v>
      </c>
      <c r="G278" s="10">
        <f>'Raw Orders'!H278</f>
        <v>45658</v>
      </c>
      <c r="H278" s="10">
        <f>'Raw Orders'!I278</f>
        <v>45658</v>
      </c>
      <c r="I278" s="11">
        <f>'Raw Orders'!K278</f>
        <v>0.32</v>
      </c>
      <c r="J278" s="11">
        <f>IF('Raw Orders'!J278,"",(YEAR('Raw Orders'!I278)-YEAR('Raw Orders'!H278))*12+MONTH('Raw Orders'!I278)-MONTH('Raw Orders'!H278))</f>
        <v>0</v>
      </c>
      <c r="K278" t="str">
        <f>IF('Raw Orders'!J278,"Cancelled",IF('Raw Orders'!K278&gt;=2,"Slipped","On plan"))</f>
        <v>On plan</v>
      </c>
      <c r="L278" s="12">
        <f t="shared" si="4"/>
        <v>0</v>
      </c>
    </row>
    <row r="279" spans="1:12" x14ac:dyDescent="0.3">
      <c r="A279" t="str">
        <f>'Raw Orders'!A279</f>
        <v>NX-00275</v>
      </c>
      <c r="B279" t="str">
        <f>'Raw Orders'!B279</f>
        <v>EMEA</v>
      </c>
      <c r="C279" t="str">
        <f>'Raw Orders'!C279</f>
        <v>Europe</v>
      </c>
      <c r="D279" s="11">
        <f>'Raw Orders'!E279</f>
        <v>9.6</v>
      </c>
      <c r="E279" s="12">
        <f>'Raw Orders'!F279</f>
        <v>844800</v>
      </c>
      <c r="F279" s="12">
        <f>'Raw Orders'!F279*0.75</f>
        <v>633600</v>
      </c>
      <c r="G279" s="10">
        <f>'Raw Orders'!H279</f>
        <v>45658</v>
      </c>
      <c r="H279" s="10">
        <f>'Raw Orders'!I279</f>
        <v>45658</v>
      </c>
      <c r="I279" s="11">
        <f>'Raw Orders'!K279</f>
        <v>0.04</v>
      </c>
      <c r="J279" s="11">
        <f>IF('Raw Orders'!J279,"",(YEAR('Raw Orders'!I279)-YEAR('Raw Orders'!H279))*12+MONTH('Raw Orders'!I279)-MONTH('Raw Orders'!H279))</f>
        <v>0</v>
      </c>
      <c r="K279" t="str">
        <f>IF('Raw Orders'!J279,"Cancelled",IF('Raw Orders'!K279&gt;=2,"Slipped","On plan"))</f>
        <v>On plan</v>
      </c>
      <c r="L279" s="12">
        <f t="shared" si="4"/>
        <v>0</v>
      </c>
    </row>
    <row r="280" spans="1:12" x14ac:dyDescent="0.3">
      <c r="A280" t="str">
        <f>'Raw Orders'!A280</f>
        <v>NX-00276</v>
      </c>
      <c r="B280" t="str">
        <f>'Raw Orders'!B280</f>
        <v>EMEA</v>
      </c>
      <c r="C280" t="str">
        <f>'Raw Orders'!C280</f>
        <v>MENA</v>
      </c>
      <c r="D280" s="11">
        <f>'Raw Orders'!E280</f>
        <v>14.9</v>
      </c>
      <c r="E280" s="12">
        <f>'Raw Orders'!F280</f>
        <v>1206900</v>
      </c>
      <c r="F280" s="12">
        <f>'Raw Orders'!F280*0.75</f>
        <v>905175</v>
      </c>
      <c r="G280" s="10">
        <f>'Raw Orders'!H280</f>
        <v>45717</v>
      </c>
      <c r="H280" s="10">
        <f>'Raw Orders'!I280</f>
        <v>45717</v>
      </c>
      <c r="I280" s="11">
        <f>'Raw Orders'!K280</f>
        <v>0.34</v>
      </c>
      <c r="J280" s="11">
        <f>IF('Raw Orders'!J280,"",(YEAR('Raw Orders'!I280)-YEAR('Raw Orders'!H280))*12+MONTH('Raw Orders'!I280)-MONTH('Raw Orders'!H280))</f>
        <v>0</v>
      </c>
      <c r="K280" t="str">
        <f>IF('Raw Orders'!J280,"Cancelled",IF('Raw Orders'!K280&gt;=2,"Slipped","On plan"))</f>
        <v>On plan</v>
      </c>
      <c r="L280" s="12">
        <f t="shared" si="4"/>
        <v>0</v>
      </c>
    </row>
    <row r="281" spans="1:12" x14ac:dyDescent="0.3">
      <c r="A281" t="str">
        <f>'Raw Orders'!A281</f>
        <v>NX-00277</v>
      </c>
      <c r="B281" t="str">
        <f>'Raw Orders'!B281</f>
        <v>APAC</v>
      </c>
      <c r="C281" t="str">
        <f>'Raw Orders'!C281</f>
        <v>India</v>
      </c>
      <c r="D281" s="11">
        <f>'Raw Orders'!E281</f>
        <v>13.4</v>
      </c>
      <c r="E281" s="12">
        <f>'Raw Orders'!F281</f>
        <v>951400</v>
      </c>
      <c r="F281" s="12">
        <f>'Raw Orders'!F281*0.75</f>
        <v>713550</v>
      </c>
      <c r="G281" s="10">
        <f>'Raw Orders'!H281</f>
        <v>45689</v>
      </c>
      <c r="H281" s="10">
        <f>'Raw Orders'!I281</f>
        <v>45962</v>
      </c>
      <c r="I281" s="11">
        <f>'Raw Orders'!K281</f>
        <v>8.66</v>
      </c>
      <c r="J281" s="11">
        <f>IF('Raw Orders'!J281,"",(YEAR('Raw Orders'!I281)-YEAR('Raw Orders'!H281))*12+MONTH('Raw Orders'!I281)-MONTH('Raw Orders'!H281))</f>
        <v>9</v>
      </c>
      <c r="K281" t="str">
        <f>IF('Raw Orders'!J281,"Cancelled",IF('Raw Orders'!K281&gt;=2,"Slipped","On plan"))</f>
        <v>Slipped</v>
      </c>
      <c r="L281" s="12">
        <f t="shared" si="4"/>
        <v>713550</v>
      </c>
    </row>
    <row r="282" spans="1:12" x14ac:dyDescent="0.3">
      <c r="A282" t="str">
        <f>'Raw Orders'!A282</f>
        <v>NX-00278</v>
      </c>
      <c r="B282" t="str">
        <f>'Raw Orders'!B282</f>
        <v>APAC</v>
      </c>
      <c r="C282" t="str">
        <f>'Raw Orders'!C282</f>
        <v>India</v>
      </c>
      <c r="D282" s="11">
        <f>'Raw Orders'!E282</f>
        <v>3.9</v>
      </c>
      <c r="E282" s="12">
        <f>'Raw Orders'!F282</f>
        <v>276900</v>
      </c>
      <c r="F282" s="12">
        <f>'Raw Orders'!F282*0.75</f>
        <v>207675</v>
      </c>
      <c r="G282" s="10">
        <f>'Raw Orders'!H282</f>
        <v>45717</v>
      </c>
      <c r="H282" s="10">
        <f>'Raw Orders'!I282</f>
        <v>45809</v>
      </c>
      <c r="I282" s="11">
        <f>'Raw Orders'!K282</f>
        <v>2.5099999999999998</v>
      </c>
      <c r="J282" s="11">
        <f>IF('Raw Orders'!J282,"",(YEAR('Raw Orders'!I282)-YEAR('Raw Orders'!H282))*12+MONTH('Raw Orders'!I282)-MONTH('Raw Orders'!H282))</f>
        <v>3</v>
      </c>
      <c r="K282" t="str">
        <f>IF('Raw Orders'!J282,"Cancelled",IF('Raw Orders'!K282&gt;=2,"Slipped","On plan"))</f>
        <v>Slipped</v>
      </c>
      <c r="L282" s="12">
        <f t="shared" si="4"/>
        <v>207675</v>
      </c>
    </row>
    <row r="283" spans="1:12" x14ac:dyDescent="0.3">
      <c r="A283" t="str">
        <f>'Raw Orders'!A283</f>
        <v>NX-00279</v>
      </c>
      <c r="B283" t="str">
        <f>'Raw Orders'!B283</f>
        <v>APAC</v>
      </c>
      <c r="C283" t="str">
        <f>'Raw Orders'!C283</f>
        <v>India</v>
      </c>
      <c r="D283" s="11">
        <f>'Raw Orders'!E283</f>
        <v>65.8</v>
      </c>
      <c r="E283" s="12">
        <f>'Raw Orders'!F283</f>
        <v>4671800</v>
      </c>
      <c r="F283" s="12">
        <f>'Raw Orders'!F283*0.75</f>
        <v>3503850</v>
      </c>
      <c r="G283" s="10">
        <f>'Raw Orders'!H283</f>
        <v>45658</v>
      </c>
      <c r="H283" s="10">
        <f>'Raw Orders'!I283</f>
        <v>45689</v>
      </c>
      <c r="I283" s="11">
        <f>'Raw Orders'!K283</f>
        <v>0.54</v>
      </c>
      <c r="J283" s="11">
        <f>IF('Raw Orders'!J283,"",(YEAR('Raw Orders'!I283)-YEAR('Raw Orders'!H283))*12+MONTH('Raw Orders'!I283)-MONTH('Raw Orders'!H283))</f>
        <v>1</v>
      </c>
      <c r="K283" t="str">
        <f>IF('Raw Orders'!J283,"Cancelled",IF('Raw Orders'!K283&gt;=2,"Slipped","On plan"))</f>
        <v>On plan</v>
      </c>
      <c r="L283" s="12">
        <f t="shared" si="4"/>
        <v>0</v>
      </c>
    </row>
    <row r="284" spans="1:12" x14ac:dyDescent="0.3">
      <c r="A284" t="str">
        <f>'Raw Orders'!A284</f>
        <v>NX-00280</v>
      </c>
      <c r="B284" t="str">
        <f>'Raw Orders'!B284</f>
        <v>APAC</v>
      </c>
      <c r="C284" t="str">
        <f>'Raw Orders'!C284</f>
        <v>Australia/SEA</v>
      </c>
      <c r="D284" s="11">
        <f>'Raw Orders'!E284</f>
        <v>23</v>
      </c>
      <c r="E284" s="12">
        <f>'Raw Orders'!F284</f>
        <v>1932000</v>
      </c>
      <c r="F284" s="12">
        <f>'Raw Orders'!F284*0.75</f>
        <v>1449000</v>
      </c>
      <c r="G284" s="10">
        <f>'Raw Orders'!H284</f>
        <v>45809</v>
      </c>
      <c r="H284" s="10">
        <f>'Raw Orders'!I284</f>
        <v>45839</v>
      </c>
      <c r="I284" s="11">
        <f>'Raw Orders'!K284</f>
        <v>1.24</v>
      </c>
      <c r="J284" s="11">
        <f>IF('Raw Orders'!J284,"",(YEAR('Raw Orders'!I284)-YEAR('Raw Orders'!H284))*12+MONTH('Raw Orders'!I284)-MONTH('Raw Orders'!H284))</f>
        <v>1</v>
      </c>
      <c r="K284" t="str">
        <f>IF('Raw Orders'!J284,"Cancelled",IF('Raw Orders'!K284&gt;=2,"Slipped","On plan"))</f>
        <v>On plan</v>
      </c>
      <c r="L284" s="12">
        <f t="shared" si="4"/>
        <v>0</v>
      </c>
    </row>
    <row r="285" spans="1:12" x14ac:dyDescent="0.3">
      <c r="A285" t="str">
        <f>'Raw Orders'!A285</f>
        <v>NX-00281</v>
      </c>
      <c r="B285" t="str">
        <f>'Raw Orders'!B285</f>
        <v>LATAM</v>
      </c>
      <c r="C285" t="str">
        <f>'Raw Orders'!C285</f>
        <v>LATAM</v>
      </c>
      <c r="D285" s="11">
        <f>'Raw Orders'!E285</f>
        <v>18.7</v>
      </c>
      <c r="E285" s="12">
        <f>'Raw Orders'!F285</f>
        <v>1477300</v>
      </c>
      <c r="F285" s="12">
        <f>'Raw Orders'!F285*0.75</f>
        <v>1107975</v>
      </c>
      <c r="G285" s="10">
        <f>'Raw Orders'!H285</f>
        <v>45809</v>
      </c>
      <c r="H285" s="10">
        <f>'Raw Orders'!I285</f>
        <v>45870</v>
      </c>
      <c r="I285" s="11">
        <f>'Raw Orders'!K285</f>
        <v>1.75</v>
      </c>
      <c r="J285" s="11">
        <f>IF('Raw Orders'!J285,"",(YEAR('Raw Orders'!I285)-YEAR('Raw Orders'!H285))*12+MONTH('Raw Orders'!I285)-MONTH('Raw Orders'!H285))</f>
        <v>2</v>
      </c>
      <c r="K285" t="str">
        <f>IF('Raw Orders'!J285,"Cancelled",IF('Raw Orders'!K285&gt;=2,"Slipped","On plan"))</f>
        <v>On plan</v>
      </c>
      <c r="L285" s="12">
        <f t="shared" si="4"/>
        <v>0</v>
      </c>
    </row>
    <row r="286" spans="1:12" x14ac:dyDescent="0.3">
      <c r="A286" t="str">
        <f>'Raw Orders'!A286</f>
        <v>NX-00282</v>
      </c>
      <c r="B286" t="str">
        <f>'Raw Orders'!B286</f>
        <v>LATAM</v>
      </c>
      <c r="C286" t="str">
        <f>'Raw Orders'!C286</f>
        <v>LATAM</v>
      </c>
      <c r="D286" s="11">
        <f>'Raw Orders'!E286</f>
        <v>72.3</v>
      </c>
      <c r="E286" s="12">
        <f>'Raw Orders'!F286</f>
        <v>5711700</v>
      </c>
      <c r="F286" s="12">
        <f>'Raw Orders'!F286*0.75</f>
        <v>4283775</v>
      </c>
      <c r="G286" s="10">
        <f>'Raw Orders'!H286</f>
        <v>45658</v>
      </c>
      <c r="H286" s="10">
        <f>'Raw Orders'!I286</f>
        <v>45658</v>
      </c>
      <c r="I286" s="11">
        <f>'Raw Orders'!K286</f>
        <v>7.0000000000000007E-2</v>
      </c>
      <c r="J286" s="11">
        <f>IF('Raw Orders'!J286,"",(YEAR('Raw Orders'!I286)-YEAR('Raw Orders'!H286))*12+MONTH('Raw Orders'!I286)-MONTH('Raw Orders'!H286))</f>
        <v>0</v>
      </c>
      <c r="K286" t="str">
        <f>IF('Raw Orders'!J286,"Cancelled",IF('Raw Orders'!K286&gt;=2,"Slipped","On plan"))</f>
        <v>On plan</v>
      </c>
      <c r="L286" s="12">
        <f t="shared" si="4"/>
        <v>0</v>
      </c>
    </row>
    <row r="287" spans="1:12" x14ac:dyDescent="0.3">
      <c r="A287" t="str">
        <f>'Raw Orders'!A287</f>
        <v>NX-00283</v>
      </c>
      <c r="B287" t="str">
        <f>'Raw Orders'!B287</f>
        <v>North America</v>
      </c>
      <c r="C287" t="str">
        <f>'Raw Orders'!C287</f>
        <v>US / Canada</v>
      </c>
      <c r="D287" s="11">
        <f>'Raw Orders'!E287</f>
        <v>15.6</v>
      </c>
      <c r="E287" s="12">
        <f>'Raw Orders'!F287</f>
        <v>1294800</v>
      </c>
      <c r="F287" s="12">
        <f>'Raw Orders'!F287*0.75</f>
        <v>971100</v>
      </c>
      <c r="G287" s="10">
        <f>'Raw Orders'!H287</f>
        <v>45870</v>
      </c>
      <c r="H287" s="10">
        <f>'Raw Orders'!I287</f>
        <v>45870</v>
      </c>
      <c r="I287" s="11">
        <f>'Raw Orders'!K287</f>
        <v>0.08</v>
      </c>
      <c r="J287" s="11">
        <f>IF('Raw Orders'!J287,"",(YEAR('Raw Orders'!I287)-YEAR('Raw Orders'!H287))*12+MONTH('Raw Orders'!I287)-MONTH('Raw Orders'!H287))</f>
        <v>0</v>
      </c>
      <c r="K287" t="str">
        <f>IF('Raw Orders'!J287,"Cancelled",IF('Raw Orders'!K287&gt;=2,"Slipped","On plan"))</f>
        <v>On plan</v>
      </c>
      <c r="L287" s="12">
        <f t="shared" si="4"/>
        <v>0</v>
      </c>
    </row>
    <row r="288" spans="1:12" x14ac:dyDescent="0.3">
      <c r="A288" t="str">
        <f>'Raw Orders'!A288</f>
        <v>NX-00284</v>
      </c>
      <c r="B288" t="str">
        <f>'Raw Orders'!B288</f>
        <v>North America</v>
      </c>
      <c r="C288" t="str">
        <f>'Raw Orders'!C288</f>
        <v>US / Canada</v>
      </c>
      <c r="D288" s="11">
        <f>'Raw Orders'!E288</f>
        <v>6</v>
      </c>
      <c r="E288" s="12">
        <f>'Raw Orders'!F288</f>
        <v>498000</v>
      </c>
      <c r="F288" s="12">
        <f>'Raw Orders'!F288*0.75</f>
        <v>373500</v>
      </c>
      <c r="G288" s="10">
        <f>'Raw Orders'!H288</f>
        <v>45870</v>
      </c>
      <c r="H288" s="10">
        <f>'Raw Orders'!I288</f>
        <v>45870</v>
      </c>
      <c r="I288" s="11">
        <f>'Raw Orders'!K288</f>
        <v>0</v>
      </c>
      <c r="J288" s="11">
        <f>IF('Raw Orders'!J288,"",(YEAR('Raw Orders'!I288)-YEAR('Raw Orders'!H288))*12+MONTH('Raw Orders'!I288)-MONTH('Raw Orders'!H288))</f>
        <v>0</v>
      </c>
      <c r="K288" t="str">
        <f>IF('Raw Orders'!J288,"Cancelled",IF('Raw Orders'!K288&gt;=2,"Slipped","On plan"))</f>
        <v>On plan</v>
      </c>
      <c r="L288" s="12">
        <f t="shared" si="4"/>
        <v>0</v>
      </c>
    </row>
    <row r="289" spans="1:12" x14ac:dyDescent="0.3">
      <c r="A289" t="str">
        <f>'Raw Orders'!A289</f>
        <v>NX-00285</v>
      </c>
      <c r="B289" t="str">
        <f>'Raw Orders'!B289</f>
        <v>North America</v>
      </c>
      <c r="C289" t="str">
        <f>'Raw Orders'!C289</f>
        <v>US / Canada</v>
      </c>
      <c r="D289" s="11">
        <f>'Raw Orders'!E289</f>
        <v>22.5</v>
      </c>
      <c r="E289" s="12">
        <f>'Raw Orders'!F289</f>
        <v>1867500</v>
      </c>
      <c r="F289" s="12">
        <f>'Raw Orders'!F289*0.75</f>
        <v>1400625</v>
      </c>
      <c r="G289" s="10">
        <f>'Raw Orders'!H289</f>
        <v>45748</v>
      </c>
      <c r="H289" s="10">
        <f>'Raw Orders'!I289</f>
        <v>45748</v>
      </c>
      <c r="I289" s="11">
        <f>'Raw Orders'!K289</f>
        <v>0.08</v>
      </c>
      <c r="J289" s="11">
        <f>IF('Raw Orders'!J289,"",(YEAR('Raw Orders'!I289)-YEAR('Raw Orders'!H289))*12+MONTH('Raw Orders'!I289)-MONTH('Raw Orders'!H289))</f>
        <v>0</v>
      </c>
      <c r="K289" t="str">
        <f>IF('Raw Orders'!J289,"Cancelled",IF('Raw Orders'!K289&gt;=2,"Slipped","On plan"))</f>
        <v>On plan</v>
      </c>
      <c r="L289" s="12">
        <f t="shared" si="4"/>
        <v>0</v>
      </c>
    </row>
    <row r="290" spans="1:12" x14ac:dyDescent="0.3">
      <c r="A290" t="str">
        <f>'Raw Orders'!A290</f>
        <v>NX-00286</v>
      </c>
      <c r="B290" t="str">
        <f>'Raw Orders'!B290</f>
        <v>North America</v>
      </c>
      <c r="C290" t="str">
        <f>'Raw Orders'!C290</f>
        <v>US / Canada</v>
      </c>
      <c r="D290" s="11">
        <f>'Raw Orders'!E290</f>
        <v>10.6</v>
      </c>
      <c r="E290" s="12">
        <f>'Raw Orders'!F290</f>
        <v>879800</v>
      </c>
      <c r="F290" s="12">
        <f>'Raw Orders'!F290*0.75</f>
        <v>659850</v>
      </c>
      <c r="G290" s="10">
        <f>'Raw Orders'!H290</f>
        <v>45778</v>
      </c>
      <c r="H290" s="10">
        <f>'Raw Orders'!I290</f>
        <v>45778</v>
      </c>
      <c r="I290" s="11">
        <f>'Raw Orders'!K290</f>
        <v>0.01</v>
      </c>
      <c r="J290" s="11">
        <f>IF('Raw Orders'!J290,"",(YEAR('Raw Orders'!I290)-YEAR('Raw Orders'!H290))*12+MONTH('Raw Orders'!I290)-MONTH('Raw Orders'!H290))</f>
        <v>0</v>
      </c>
      <c r="K290" t="str">
        <f>IF('Raw Orders'!J290,"Cancelled",IF('Raw Orders'!K290&gt;=2,"Slipped","On plan"))</f>
        <v>On plan</v>
      </c>
      <c r="L290" s="12">
        <f t="shared" si="4"/>
        <v>0</v>
      </c>
    </row>
    <row r="291" spans="1:12" x14ac:dyDescent="0.3">
      <c r="A291" t="str">
        <f>'Raw Orders'!A291</f>
        <v>NX-00287</v>
      </c>
      <c r="B291" t="str">
        <f>'Raw Orders'!B291</f>
        <v>North America</v>
      </c>
      <c r="C291" t="str">
        <f>'Raw Orders'!C291</f>
        <v>US / Canada</v>
      </c>
      <c r="D291" s="11">
        <f>'Raw Orders'!E291</f>
        <v>5.2</v>
      </c>
      <c r="E291" s="12">
        <f>'Raw Orders'!F291</f>
        <v>431600</v>
      </c>
      <c r="F291" s="12">
        <f>'Raw Orders'!F291*0.75</f>
        <v>323700</v>
      </c>
      <c r="G291" s="10">
        <f>'Raw Orders'!H291</f>
        <v>45717</v>
      </c>
      <c r="H291" s="10">
        <f>'Raw Orders'!I291</f>
        <v>45717</v>
      </c>
      <c r="I291" s="11">
        <f>'Raw Orders'!K291</f>
        <v>0</v>
      </c>
      <c r="J291" s="11">
        <f>IF('Raw Orders'!J291,"",(YEAR('Raw Orders'!I291)-YEAR('Raw Orders'!H291))*12+MONTH('Raw Orders'!I291)-MONTH('Raw Orders'!H291))</f>
        <v>0</v>
      </c>
      <c r="K291" t="str">
        <f>IF('Raw Orders'!J291,"Cancelled",IF('Raw Orders'!K291&gt;=2,"Slipped","On plan"))</f>
        <v>On plan</v>
      </c>
      <c r="L291" s="12">
        <f t="shared" si="4"/>
        <v>0</v>
      </c>
    </row>
    <row r="292" spans="1:12" x14ac:dyDescent="0.3">
      <c r="A292" t="str">
        <f>'Raw Orders'!A292</f>
        <v>NX-00288</v>
      </c>
      <c r="B292" t="str">
        <f>'Raw Orders'!B292</f>
        <v>North America</v>
      </c>
      <c r="C292" t="str">
        <f>'Raw Orders'!C292</f>
        <v>US / Canada</v>
      </c>
      <c r="D292" s="11">
        <f>'Raw Orders'!E292</f>
        <v>17.899999999999999</v>
      </c>
      <c r="E292" s="12">
        <f>'Raw Orders'!F292</f>
        <v>1485700</v>
      </c>
      <c r="F292" s="12">
        <f>'Raw Orders'!F292*0.75</f>
        <v>1114275</v>
      </c>
      <c r="G292" s="10">
        <f>'Raw Orders'!H292</f>
        <v>45748</v>
      </c>
      <c r="H292" s="10">
        <f>'Raw Orders'!I292</f>
        <v>45748</v>
      </c>
      <c r="I292" s="11">
        <f>'Raw Orders'!K292</f>
        <v>0.27</v>
      </c>
      <c r="J292" s="11">
        <f>IF('Raw Orders'!J292,"",(YEAR('Raw Orders'!I292)-YEAR('Raw Orders'!H292))*12+MONTH('Raw Orders'!I292)-MONTH('Raw Orders'!H292))</f>
        <v>0</v>
      </c>
      <c r="K292" t="str">
        <f>IF('Raw Orders'!J292,"Cancelled",IF('Raw Orders'!K292&gt;=2,"Slipped","On plan"))</f>
        <v>On plan</v>
      </c>
      <c r="L292" s="12">
        <f t="shared" si="4"/>
        <v>0</v>
      </c>
    </row>
    <row r="293" spans="1:12" x14ac:dyDescent="0.3">
      <c r="A293" t="str">
        <f>'Raw Orders'!A293</f>
        <v>NX-00289</v>
      </c>
      <c r="B293" t="str">
        <f>'Raw Orders'!B293</f>
        <v>North America</v>
      </c>
      <c r="C293" t="str">
        <f>'Raw Orders'!C293</f>
        <v>US / Canada</v>
      </c>
      <c r="D293" s="11">
        <f>'Raw Orders'!E293</f>
        <v>9.4</v>
      </c>
      <c r="E293" s="12">
        <f>'Raw Orders'!F293</f>
        <v>780200</v>
      </c>
      <c r="F293" s="12">
        <f>'Raw Orders'!F293*0.75</f>
        <v>585150</v>
      </c>
      <c r="G293" s="10">
        <f>'Raw Orders'!H293</f>
        <v>45689</v>
      </c>
      <c r="H293" s="10">
        <f>'Raw Orders'!I293</f>
        <v>45809</v>
      </c>
      <c r="I293" s="11">
        <f>'Raw Orders'!K293</f>
        <v>3.61</v>
      </c>
      <c r="J293" s="11">
        <f>IF('Raw Orders'!J293,"",(YEAR('Raw Orders'!I293)-YEAR('Raw Orders'!H293))*12+MONTH('Raw Orders'!I293)-MONTH('Raw Orders'!H293))</f>
        <v>4</v>
      </c>
      <c r="K293" t="str">
        <f>IF('Raw Orders'!J293,"Cancelled",IF('Raw Orders'!K293&gt;=2,"Slipped","On plan"))</f>
        <v>Slipped</v>
      </c>
      <c r="L293" s="12">
        <f t="shared" si="4"/>
        <v>585150</v>
      </c>
    </row>
    <row r="294" spans="1:12" x14ac:dyDescent="0.3">
      <c r="A294" t="str">
        <f>'Raw Orders'!A294</f>
        <v>NX-00290</v>
      </c>
      <c r="B294" t="str">
        <f>'Raw Orders'!B294</f>
        <v>North America</v>
      </c>
      <c r="C294" t="str">
        <f>'Raw Orders'!C294</f>
        <v>US / Canada</v>
      </c>
      <c r="D294" s="11">
        <f>'Raw Orders'!E294</f>
        <v>23.5</v>
      </c>
      <c r="E294" s="12">
        <f>'Raw Orders'!F294</f>
        <v>1950500</v>
      </c>
      <c r="F294" s="12">
        <f>'Raw Orders'!F294*0.75</f>
        <v>1462875</v>
      </c>
      <c r="G294" s="10">
        <f>'Raw Orders'!H294</f>
        <v>45870</v>
      </c>
      <c r="H294" s="10">
        <f>'Raw Orders'!I294</f>
        <v>45901</v>
      </c>
      <c r="I294" s="11">
        <f>'Raw Orders'!K294</f>
        <v>0.56000000000000005</v>
      </c>
      <c r="J294" s="11">
        <f>IF('Raw Orders'!J294,"",(YEAR('Raw Orders'!I294)-YEAR('Raw Orders'!H294))*12+MONTH('Raw Orders'!I294)-MONTH('Raw Orders'!H294))</f>
        <v>1</v>
      </c>
      <c r="K294" t="str">
        <f>IF('Raw Orders'!J294,"Cancelled",IF('Raw Orders'!K294&gt;=2,"Slipped","On plan"))</f>
        <v>On plan</v>
      </c>
      <c r="L294" s="12">
        <f t="shared" si="4"/>
        <v>0</v>
      </c>
    </row>
    <row r="295" spans="1:12" x14ac:dyDescent="0.3">
      <c r="A295" t="str">
        <f>'Raw Orders'!A295</f>
        <v>NX-00291</v>
      </c>
      <c r="B295" t="str">
        <f>'Raw Orders'!B295</f>
        <v>North America</v>
      </c>
      <c r="C295" t="str">
        <f>'Raw Orders'!C295</f>
        <v>US / Canada</v>
      </c>
      <c r="D295" s="11">
        <f>'Raw Orders'!E295</f>
        <v>8.8000000000000007</v>
      </c>
      <c r="E295" s="12">
        <f>'Raw Orders'!F295</f>
        <v>730400.00000000012</v>
      </c>
      <c r="F295" s="12">
        <f>'Raw Orders'!F295*0.75</f>
        <v>547800.00000000012</v>
      </c>
      <c r="G295" s="10">
        <f>'Raw Orders'!H295</f>
        <v>45717</v>
      </c>
      <c r="H295" s="10">
        <f>'Raw Orders'!I295</f>
        <v>45717</v>
      </c>
      <c r="I295" s="11">
        <f>'Raw Orders'!K295</f>
        <v>0</v>
      </c>
      <c r="J295" s="11">
        <f>IF('Raw Orders'!J295,"",(YEAR('Raw Orders'!I295)-YEAR('Raw Orders'!H295))*12+MONTH('Raw Orders'!I295)-MONTH('Raw Orders'!H295))</f>
        <v>0</v>
      </c>
      <c r="K295" t="str">
        <f>IF('Raw Orders'!J295,"Cancelled",IF('Raw Orders'!K295&gt;=2,"Slipped","On plan"))</f>
        <v>On plan</v>
      </c>
      <c r="L295" s="12">
        <f t="shared" si="4"/>
        <v>0</v>
      </c>
    </row>
    <row r="296" spans="1:12" x14ac:dyDescent="0.3">
      <c r="A296" t="str">
        <f>'Raw Orders'!A296</f>
        <v>NX-00292</v>
      </c>
      <c r="B296" t="str">
        <f>'Raw Orders'!B296</f>
        <v>North America</v>
      </c>
      <c r="C296" t="str">
        <f>'Raw Orders'!C296</f>
        <v>US / Canada</v>
      </c>
      <c r="D296" s="11">
        <f>'Raw Orders'!E296</f>
        <v>32.5</v>
      </c>
      <c r="E296" s="12">
        <f>'Raw Orders'!F296</f>
        <v>2697500</v>
      </c>
      <c r="F296" s="12">
        <f>'Raw Orders'!F296*0.75</f>
        <v>2023125</v>
      </c>
      <c r="G296" s="10">
        <f>'Raw Orders'!H296</f>
        <v>45778</v>
      </c>
      <c r="H296" s="10">
        <f>'Raw Orders'!I296</f>
        <v>46054</v>
      </c>
      <c r="I296" s="11">
        <f>'Raw Orders'!K296</f>
        <v>9.0399999999999991</v>
      </c>
      <c r="J296" s="11">
        <f>IF('Raw Orders'!J296,"",(YEAR('Raw Orders'!I296)-YEAR('Raw Orders'!H296))*12+MONTH('Raw Orders'!I296)-MONTH('Raw Orders'!H296))</f>
        <v>9</v>
      </c>
      <c r="K296" t="str">
        <f>IF('Raw Orders'!J296,"Cancelled",IF('Raw Orders'!K296&gt;=2,"Slipped","On plan"))</f>
        <v>Slipped</v>
      </c>
      <c r="L296" s="12">
        <f t="shared" si="4"/>
        <v>2023125</v>
      </c>
    </row>
    <row r="297" spans="1:12" x14ac:dyDescent="0.3">
      <c r="A297" t="str">
        <f>'Raw Orders'!A297</f>
        <v>NX-00293</v>
      </c>
      <c r="B297" t="str">
        <f>'Raw Orders'!B297</f>
        <v>North America</v>
      </c>
      <c r="C297" t="str">
        <f>'Raw Orders'!C297</f>
        <v>US / Canada</v>
      </c>
      <c r="D297" s="11">
        <f>'Raw Orders'!E297</f>
        <v>21.5</v>
      </c>
      <c r="E297" s="12">
        <f>'Raw Orders'!F297</f>
        <v>1784500</v>
      </c>
      <c r="F297" s="12">
        <f>'Raw Orders'!F297*0.75</f>
        <v>1338375</v>
      </c>
      <c r="G297" s="10">
        <f>'Raw Orders'!H297</f>
        <v>45689</v>
      </c>
      <c r="H297" s="10">
        <f>'Raw Orders'!I297</f>
        <v>45748</v>
      </c>
      <c r="I297" s="11">
        <f>'Raw Orders'!K297</f>
        <v>1.56</v>
      </c>
      <c r="J297" s="11">
        <f>IF('Raw Orders'!J297,"",(YEAR('Raw Orders'!I297)-YEAR('Raw Orders'!H297))*12+MONTH('Raw Orders'!I297)-MONTH('Raw Orders'!H297))</f>
        <v>2</v>
      </c>
      <c r="K297" t="str">
        <f>IF('Raw Orders'!J297,"Cancelled",IF('Raw Orders'!K297&gt;=2,"Slipped","On plan"))</f>
        <v>On plan</v>
      </c>
      <c r="L297" s="12">
        <f t="shared" si="4"/>
        <v>0</v>
      </c>
    </row>
    <row r="298" spans="1:12" x14ac:dyDescent="0.3">
      <c r="A298" t="str">
        <f>'Raw Orders'!A298</f>
        <v>NX-00294</v>
      </c>
      <c r="B298" t="str">
        <f>'Raw Orders'!B298</f>
        <v>North America</v>
      </c>
      <c r="C298" t="str">
        <f>'Raw Orders'!C298</f>
        <v>US / Canada</v>
      </c>
      <c r="D298" s="11">
        <f>'Raw Orders'!E298</f>
        <v>12.7</v>
      </c>
      <c r="E298" s="12">
        <f>'Raw Orders'!F298</f>
        <v>1054100</v>
      </c>
      <c r="F298" s="12">
        <f>'Raw Orders'!F298*0.75</f>
        <v>790575</v>
      </c>
      <c r="G298" s="10">
        <f>'Raw Orders'!H298</f>
        <v>45809</v>
      </c>
      <c r="H298" s="10">
        <f>'Raw Orders'!I298</f>
        <v>45901</v>
      </c>
      <c r="I298" s="11">
        <f>'Raw Orders'!K298</f>
        <v>2.66</v>
      </c>
      <c r="J298" s="11">
        <f>IF('Raw Orders'!J298,"",(YEAR('Raw Orders'!I298)-YEAR('Raw Orders'!H298))*12+MONTH('Raw Orders'!I298)-MONTH('Raw Orders'!H298))</f>
        <v>3</v>
      </c>
      <c r="K298" t="str">
        <f>IF('Raw Orders'!J298,"Cancelled",IF('Raw Orders'!K298&gt;=2,"Slipped","On plan"))</f>
        <v>Slipped</v>
      </c>
      <c r="L298" s="12">
        <f t="shared" si="4"/>
        <v>790575</v>
      </c>
    </row>
    <row r="299" spans="1:12" x14ac:dyDescent="0.3">
      <c r="A299" t="str">
        <f>'Raw Orders'!A299</f>
        <v>NX-00295</v>
      </c>
      <c r="B299" t="str">
        <f>'Raw Orders'!B299</f>
        <v>North America</v>
      </c>
      <c r="C299" t="str">
        <f>'Raw Orders'!C299</f>
        <v>US / Canada</v>
      </c>
      <c r="D299" s="11">
        <f>'Raw Orders'!E299</f>
        <v>8.9</v>
      </c>
      <c r="E299" s="12">
        <f>'Raw Orders'!F299</f>
        <v>738700</v>
      </c>
      <c r="F299" s="12">
        <f>'Raw Orders'!F299*0.75</f>
        <v>554025</v>
      </c>
      <c r="G299" s="10">
        <f>'Raw Orders'!H299</f>
        <v>45748</v>
      </c>
      <c r="H299" s="10">
        <f>'Raw Orders'!I299</f>
        <v>45901</v>
      </c>
      <c r="I299" s="11">
        <f>'Raw Orders'!K299</f>
        <v>4.7</v>
      </c>
      <c r="J299" s="11">
        <f>IF('Raw Orders'!J299,"",(YEAR('Raw Orders'!I299)-YEAR('Raw Orders'!H299))*12+MONTH('Raw Orders'!I299)-MONTH('Raw Orders'!H299))</f>
        <v>5</v>
      </c>
      <c r="K299" t="str">
        <f>IF('Raw Orders'!J299,"Cancelled",IF('Raw Orders'!K299&gt;=2,"Slipped","On plan"))</f>
        <v>Slipped</v>
      </c>
      <c r="L299" s="12">
        <f t="shared" si="4"/>
        <v>554025</v>
      </c>
    </row>
    <row r="300" spans="1:12" x14ac:dyDescent="0.3">
      <c r="A300" t="str">
        <f>'Raw Orders'!A300</f>
        <v>NX-00296</v>
      </c>
      <c r="B300" t="str">
        <f>'Raw Orders'!B300</f>
        <v>North America</v>
      </c>
      <c r="C300" t="str">
        <f>'Raw Orders'!C300</f>
        <v>US / Canada</v>
      </c>
      <c r="D300" s="11">
        <f>'Raw Orders'!E300</f>
        <v>10.6</v>
      </c>
      <c r="E300" s="12">
        <f>'Raw Orders'!F300</f>
        <v>879800</v>
      </c>
      <c r="F300" s="12">
        <f>'Raw Orders'!F300*0.75</f>
        <v>659850</v>
      </c>
      <c r="G300" s="10">
        <f>'Raw Orders'!H300</f>
        <v>45809</v>
      </c>
      <c r="H300" s="10">
        <f>'Raw Orders'!I300</f>
        <v>45809</v>
      </c>
      <c r="I300" s="11">
        <f>'Raw Orders'!K300</f>
        <v>0.02</v>
      </c>
      <c r="J300" s="11">
        <f>IF('Raw Orders'!J300,"",(YEAR('Raw Orders'!I300)-YEAR('Raw Orders'!H300))*12+MONTH('Raw Orders'!I300)-MONTH('Raw Orders'!H300))</f>
        <v>0</v>
      </c>
      <c r="K300" t="str">
        <f>IF('Raw Orders'!J300,"Cancelled",IF('Raw Orders'!K300&gt;=2,"Slipped","On plan"))</f>
        <v>On plan</v>
      </c>
      <c r="L300" s="12">
        <f t="shared" si="4"/>
        <v>0</v>
      </c>
    </row>
    <row r="301" spans="1:12" x14ac:dyDescent="0.3">
      <c r="A301" t="str">
        <f>'Raw Orders'!A301</f>
        <v>NX-00297</v>
      </c>
      <c r="B301" t="str">
        <f>'Raw Orders'!B301</f>
        <v>North America</v>
      </c>
      <c r="C301" t="str">
        <f>'Raw Orders'!C301</f>
        <v>US / Canada</v>
      </c>
      <c r="D301" s="11">
        <f>'Raw Orders'!E301</f>
        <v>10.7</v>
      </c>
      <c r="E301" s="12">
        <f>'Raw Orders'!F301</f>
        <v>888099.99999999988</v>
      </c>
      <c r="F301" s="12">
        <f>'Raw Orders'!F301*0.75</f>
        <v>666074.99999999988</v>
      </c>
      <c r="G301" s="10">
        <f>'Raw Orders'!H301</f>
        <v>45778</v>
      </c>
      <c r="H301" s="10">
        <f>'Raw Orders'!I301</f>
        <v>45778</v>
      </c>
      <c r="I301" s="11">
        <f>'Raw Orders'!K301</f>
        <v>0.1</v>
      </c>
      <c r="J301" s="11">
        <f>IF('Raw Orders'!J301,"",(YEAR('Raw Orders'!I301)-YEAR('Raw Orders'!H301))*12+MONTH('Raw Orders'!I301)-MONTH('Raw Orders'!H301))</f>
        <v>0</v>
      </c>
      <c r="K301" t="str">
        <f>IF('Raw Orders'!J301,"Cancelled",IF('Raw Orders'!K301&gt;=2,"Slipped","On plan"))</f>
        <v>On plan</v>
      </c>
      <c r="L301" s="12">
        <f t="shared" si="4"/>
        <v>0</v>
      </c>
    </row>
    <row r="302" spans="1:12" x14ac:dyDescent="0.3">
      <c r="A302" t="str">
        <f>'Raw Orders'!A302</f>
        <v>NX-00298</v>
      </c>
      <c r="B302" t="str">
        <f>'Raw Orders'!B302</f>
        <v>North America</v>
      </c>
      <c r="C302" t="str">
        <f>'Raw Orders'!C302</f>
        <v>US / Canada</v>
      </c>
      <c r="D302" s="11">
        <f>'Raw Orders'!E302</f>
        <v>14.6</v>
      </c>
      <c r="E302" s="12">
        <f>'Raw Orders'!F302</f>
        <v>1211800</v>
      </c>
      <c r="F302" s="12">
        <f>'Raw Orders'!F302*0.75</f>
        <v>908850</v>
      </c>
      <c r="G302" s="10">
        <f>'Raw Orders'!H302</f>
        <v>45717</v>
      </c>
      <c r="H302" s="10">
        <f>'Raw Orders'!I302</f>
        <v>45778</v>
      </c>
      <c r="I302" s="11">
        <f>'Raw Orders'!K302</f>
        <v>1.91</v>
      </c>
      <c r="J302" s="11">
        <f>IF('Raw Orders'!J302,"",(YEAR('Raw Orders'!I302)-YEAR('Raw Orders'!H302))*12+MONTH('Raw Orders'!I302)-MONTH('Raw Orders'!H302))</f>
        <v>2</v>
      </c>
      <c r="K302" t="str">
        <f>IF('Raw Orders'!J302,"Cancelled",IF('Raw Orders'!K302&gt;=2,"Slipped","On plan"))</f>
        <v>On plan</v>
      </c>
      <c r="L302" s="12">
        <f t="shared" si="4"/>
        <v>0</v>
      </c>
    </row>
    <row r="303" spans="1:12" x14ac:dyDescent="0.3">
      <c r="A303" t="str">
        <f>'Raw Orders'!A303</f>
        <v>NX-00299</v>
      </c>
      <c r="B303" t="str">
        <f>'Raw Orders'!B303</f>
        <v>North America</v>
      </c>
      <c r="C303" t="str">
        <f>'Raw Orders'!C303</f>
        <v>US / Canada</v>
      </c>
      <c r="D303" s="11">
        <f>'Raw Orders'!E303</f>
        <v>6.9</v>
      </c>
      <c r="E303" s="12">
        <f>'Raw Orders'!F303</f>
        <v>572700</v>
      </c>
      <c r="F303" s="12">
        <f>'Raw Orders'!F303*0.75</f>
        <v>429525</v>
      </c>
      <c r="G303" s="10">
        <f>'Raw Orders'!H303</f>
        <v>45778</v>
      </c>
      <c r="H303" s="10">
        <f>'Raw Orders'!I303</f>
        <v>45778</v>
      </c>
      <c r="I303" s="11">
        <f>'Raw Orders'!K303</f>
        <v>0.32</v>
      </c>
      <c r="J303" s="11">
        <f>IF('Raw Orders'!J303,"",(YEAR('Raw Orders'!I303)-YEAR('Raw Orders'!H303))*12+MONTH('Raw Orders'!I303)-MONTH('Raw Orders'!H303))</f>
        <v>0</v>
      </c>
      <c r="K303" t="str">
        <f>IF('Raw Orders'!J303,"Cancelled",IF('Raw Orders'!K303&gt;=2,"Slipped","On plan"))</f>
        <v>On plan</v>
      </c>
      <c r="L303" s="12">
        <f t="shared" si="4"/>
        <v>0</v>
      </c>
    </row>
    <row r="304" spans="1:12" x14ac:dyDescent="0.3">
      <c r="A304" t="str">
        <f>'Raw Orders'!A304</f>
        <v>NX-00300</v>
      </c>
      <c r="B304" t="str">
        <f>'Raw Orders'!B304</f>
        <v>North America</v>
      </c>
      <c r="C304" t="str">
        <f>'Raw Orders'!C304</f>
        <v>US / Canada</v>
      </c>
      <c r="D304" s="11">
        <f>'Raw Orders'!E304</f>
        <v>19.899999999999999</v>
      </c>
      <c r="E304" s="12">
        <f>'Raw Orders'!F304</f>
        <v>1651700</v>
      </c>
      <c r="F304" s="12">
        <f>'Raw Orders'!F304*0.75</f>
        <v>1238775</v>
      </c>
      <c r="G304" s="10">
        <f>'Raw Orders'!H304</f>
        <v>45748</v>
      </c>
      <c r="H304" s="10">
        <f>'Raw Orders'!I304</f>
        <v>45748</v>
      </c>
      <c r="I304" s="11">
        <f>'Raw Orders'!K304</f>
        <v>0</v>
      </c>
      <c r="J304" s="11">
        <f>IF('Raw Orders'!J304,"",(YEAR('Raw Orders'!I304)-YEAR('Raw Orders'!H304))*12+MONTH('Raw Orders'!I304)-MONTH('Raw Orders'!H304))</f>
        <v>0</v>
      </c>
      <c r="K304" t="str">
        <f>IF('Raw Orders'!J304,"Cancelled",IF('Raw Orders'!K304&gt;=2,"Slipped","On plan"))</f>
        <v>On plan</v>
      </c>
      <c r="L304" s="12">
        <f t="shared" si="4"/>
        <v>0</v>
      </c>
    </row>
    <row r="305" spans="1:12" x14ac:dyDescent="0.3">
      <c r="A305" t="str">
        <f>'Raw Orders'!A305</f>
        <v>NX-00301</v>
      </c>
      <c r="B305" t="str">
        <f>'Raw Orders'!B305</f>
        <v>North America</v>
      </c>
      <c r="C305" t="str">
        <f>'Raw Orders'!C305</f>
        <v>US / Canada</v>
      </c>
      <c r="D305" s="11">
        <f>'Raw Orders'!E305</f>
        <v>40.799999999999997</v>
      </c>
      <c r="E305" s="12">
        <f>'Raw Orders'!F305</f>
        <v>3386400</v>
      </c>
      <c r="F305" s="12">
        <f>'Raw Orders'!F305*0.75</f>
        <v>2539800</v>
      </c>
      <c r="G305" s="10">
        <f>'Raw Orders'!H305</f>
        <v>45748</v>
      </c>
      <c r="H305" s="10">
        <f>'Raw Orders'!I305</f>
        <v>45809</v>
      </c>
      <c r="I305" s="11">
        <f>'Raw Orders'!K305</f>
        <v>1.62</v>
      </c>
      <c r="J305" s="11">
        <f>IF('Raw Orders'!J305,"",(YEAR('Raw Orders'!I305)-YEAR('Raw Orders'!H305))*12+MONTH('Raw Orders'!I305)-MONTH('Raw Orders'!H305))</f>
        <v>2</v>
      </c>
      <c r="K305" t="str">
        <f>IF('Raw Orders'!J305,"Cancelled",IF('Raw Orders'!K305&gt;=2,"Slipped","On plan"))</f>
        <v>On plan</v>
      </c>
      <c r="L305" s="12">
        <f t="shared" si="4"/>
        <v>0</v>
      </c>
    </row>
    <row r="306" spans="1:12" x14ac:dyDescent="0.3">
      <c r="A306" t="str">
        <f>'Raw Orders'!A306</f>
        <v>NX-00302</v>
      </c>
      <c r="B306" t="str">
        <f>'Raw Orders'!B306</f>
        <v>EMEA</v>
      </c>
      <c r="C306" t="str">
        <f>'Raw Orders'!C306</f>
        <v>Europe</v>
      </c>
      <c r="D306" s="11">
        <f>'Raw Orders'!E306</f>
        <v>10.7</v>
      </c>
      <c r="E306" s="12">
        <f>'Raw Orders'!F306</f>
        <v>941600</v>
      </c>
      <c r="F306" s="12">
        <f>'Raw Orders'!F306*0.75</f>
        <v>706200</v>
      </c>
      <c r="G306" s="10">
        <f>'Raw Orders'!H306</f>
        <v>45839</v>
      </c>
      <c r="H306" s="10">
        <f>'Raw Orders'!I306</f>
        <v>45839</v>
      </c>
      <c r="I306" s="11">
        <f>'Raw Orders'!K306</f>
        <v>0.01</v>
      </c>
      <c r="J306" s="11">
        <f>IF('Raw Orders'!J306,"",(YEAR('Raw Orders'!I306)-YEAR('Raw Orders'!H306))*12+MONTH('Raw Orders'!I306)-MONTH('Raw Orders'!H306))</f>
        <v>0</v>
      </c>
      <c r="K306" t="str">
        <f>IF('Raw Orders'!J306,"Cancelled",IF('Raw Orders'!K306&gt;=2,"Slipped","On plan"))</f>
        <v>On plan</v>
      </c>
      <c r="L306" s="12">
        <f t="shared" si="4"/>
        <v>0</v>
      </c>
    </row>
    <row r="307" spans="1:12" x14ac:dyDescent="0.3">
      <c r="A307" t="str">
        <f>'Raw Orders'!A307</f>
        <v>NX-00303</v>
      </c>
      <c r="B307" t="str">
        <f>'Raw Orders'!B307</f>
        <v>EMEA</v>
      </c>
      <c r="C307" t="str">
        <f>'Raw Orders'!C307</f>
        <v>Europe</v>
      </c>
      <c r="D307" s="11">
        <f>'Raw Orders'!E307</f>
        <v>17.899999999999999</v>
      </c>
      <c r="E307" s="12">
        <f>'Raw Orders'!F307</f>
        <v>1575200</v>
      </c>
      <c r="F307" s="12">
        <f>'Raw Orders'!F307*0.75</f>
        <v>1181400</v>
      </c>
      <c r="G307" s="10">
        <f>'Raw Orders'!H307</f>
        <v>45717</v>
      </c>
      <c r="H307" s="10">
        <f>'Raw Orders'!I307</f>
        <v>45717</v>
      </c>
      <c r="I307" s="11">
        <f>'Raw Orders'!K307</f>
        <v>0.04</v>
      </c>
      <c r="J307" s="11">
        <f>IF('Raw Orders'!J307,"",(YEAR('Raw Orders'!I307)-YEAR('Raw Orders'!H307))*12+MONTH('Raw Orders'!I307)-MONTH('Raw Orders'!H307))</f>
        <v>0</v>
      </c>
      <c r="K307" t="str">
        <f>IF('Raw Orders'!J307,"Cancelled",IF('Raw Orders'!K307&gt;=2,"Slipped","On plan"))</f>
        <v>On plan</v>
      </c>
      <c r="L307" s="12">
        <f t="shared" si="4"/>
        <v>0</v>
      </c>
    </row>
    <row r="308" spans="1:12" x14ac:dyDescent="0.3">
      <c r="A308" t="str">
        <f>'Raw Orders'!A308</f>
        <v>NX-00304</v>
      </c>
      <c r="B308" t="str">
        <f>'Raw Orders'!B308</f>
        <v>EMEA</v>
      </c>
      <c r="C308" t="str">
        <f>'Raw Orders'!C308</f>
        <v>Europe</v>
      </c>
      <c r="D308" s="11">
        <f>'Raw Orders'!E308</f>
        <v>10.7</v>
      </c>
      <c r="E308" s="12">
        <f>'Raw Orders'!F308</f>
        <v>941600</v>
      </c>
      <c r="F308" s="12">
        <f>'Raw Orders'!F308*0.75</f>
        <v>706200</v>
      </c>
      <c r="G308" s="10">
        <f>'Raw Orders'!H308</f>
        <v>45689</v>
      </c>
      <c r="H308" s="10">
        <f>'Raw Orders'!I308</f>
        <v>45689</v>
      </c>
      <c r="I308" s="11">
        <f>'Raw Orders'!K308</f>
        <v>0.1</v>
      </c>
      <c r="J308" s="11">
        <f>IF('Raw Orders'!J308,"",(YEAR('Raw Orders'!I308)-YEAR('Raw Orders'!H308))*12+MONTH('Raw Orders'!I308)-MONTH('Raw Orders'!H308))</f>
        <v>0</v>
      </c>
      <c r="K308" t="str">
        <f>IF('Raw Orders'!J308,"Cancelled",IF('Raw Orders'!K308&gt;=2,"Slipped","On plan"))</f>
        <v>On plan</v>
      </c>
      <c r="L308" s="12">
        <f t="shared" si="4"/>
        <v>0</v>
      </c>
    </row>
    <row r="309" spans="1:12" x14ac:dyDescent="0.3">
      <c r="A309" t="str">
        <f>'Raw Orders'!A309</f>
        <v>NX-00305</v>
      </c>
      <c r="B309" t="str">
        <f>'Raw Orders'!B309</f>
        <v>EMEA</v>
      </c>
      <c r="C309" t="str">
        <f>'Raw Orders'!C309</f>
        <v>Europe</v>
      </c>
      <c r="D309" s="11">
        <f>'Raw Orders'!E309</f>
        <v>12.5</v>
      </c>
      <c r="E309" s="12">
        <f>'Raw Orders'!F309</f>
        <v>1100000</v>
      </c>
      <c r="F309" s="12">
        <f>'Raw Orders'!F309*0.75</f>
        <v>825000</v>
      </c>
      <c r="G309" s="10">
        <f>'Raw Orders'!H309</f>
        <v>45809</v>
      </c>
      <c r="H309" s="10">
        <f>'Raw Orders'!I309</f>
        <v>45809</v>
      </c>
      <c r="I309" s="11">
        <f>'Raw Orders'!K309</f>
        <v>7.0000000000000007E-2</v>
      </c>
      <c r="J309" s="11">
        <f>IF('Raw Orders'!J309,"",(YEAR('Raw Orders'!I309)-YEAR('Raw Orders'!H309))*12+MONTH('Raw Orders'!I309)-MONTH('Raw Orders'!H309))</f>
        <v>0</v>
      </c>
      <c r="K309" t="str">
        <f>IF('Raw Orders'!J309,"Cancelled",IF('Raw Orders'!K309&gt;=2,"Slipped","On plan"))</f>
        <v>On plan</v>
      </c>
      <c r="L309" s="12">
        <f t="shared" si="4"/>
        <v>0</v>
      </c>
    </row>
    <row r="310" spans="1:12" x14ac:dyDescent="0.3">
      <c r="A310" t="str">
        <f>'Raw Orders'!A310</f>
        <v>NX-00306</v>
      </c>
      <c r="B310" t="str">
        <f>'Raw Orders'!B310</f>
        <v>LATAM</v>
      </c>
      <c r="C310" t="str">
        <f>'Raw Orders'!C310</f>
        <v>LATAM</v>
      </c>
      <c r="D310" s="11">
        <f>'Raw Orders'!E310</f>
        <v>44.2</v>
      </c>
      <c r="E310" s="12">
        <f>'Raw Orders'!F310</f>
        <v>3491800</v>
      </c>
      <c r="F310" s="12">
        <f>'Raw Orders'!F310*0.75</f>
        <v>2618850</v>
      </c>
      <c r="G310" s="10">
        <f>'Raw Orders'!H310</f>
        <v>45778</v>
      </c>
      <c r="H310" s="10">
        <f>'Raw Orders'!I310</f>
        <v>45870</v>
      </c>
      <c r="I310" s="11">
        <f>'Raw Orders'!K310</f>
        <v>3.27</v>
      </c>
      <c r="J310" s="11">
        <f>IF('Raw Orders'!J310,"",(YEAR('Raw Orders'!I310)-YEAR('Raw Orders'!H310))*12+MONTH('Raw Orders'!I310)-MONTH('Raw Orders'!H310))</f>
        <v>3</v>
      </c>
      <c r="K310" t="str">
        <f>IF('Raw Orders'!J310,"Cancelled",IF('Raw Orders'!K310&gt;=2,"Slipped","On plan"))</f>
        <v>Slipped</v>
      </c>
      <c r="L310" s="12">
        <f t="shared" si="4"/>
        <v>2618850</v>
      </c>
    </row>
    <row r="311" spans="1:12" x14ac:dyDescent="0.3">
      <c r="A311" t="str">
        <f>'Raw Orders'!A311</f>
        <v>NX-00307</v>
      </c>
      <c r="B311" t="str">
        <f>'Raw Orders'!B311</f>
        <v>North America</v>
      </c>
      <c r="C311" t="str">
        <f>'Raw Orders'!C311</f>
        <v>US / Canada</v>
      </c>
      <c r="D311" s="11">
        <f>'Raw Orders'!E311</f>
        <v>14.7</v>
      </c>
      <c r="E311" s="12">
        <f>'Raw Orders'!F311</f>
        <v>1220100</v>
      </c>
      <c r="F311" s="12">
        <f>'Raw Orders'!F311*0.75</f>
        <v>915075</v>
      </c>
      <c r="G311" s="10">
        <f>'Raw Orders'!H311</f>
        <v>45809</v>
      </c>
      <c r="H311" s="10">
        <f>'Raw Orders'!I311</f>
        <v>45809</v>
      </c>
      <c r="I311" s="11">
        <f>'Raw Orders'!K311</f>
        <v>0</v>
      </c>
      <c r="J311" s="11">
        <f>IF('Raw Orders'!J311,"",(YEAR('Raw Orders'!I311)-YEAR('Raw Orders'!H311))*12+MONTH('Raw Orders'!I311)-MONTH('Raw Orders'!H311))</f>
        <v>0</v>
      </c>
      <c r="K311" t="str">
        <f>IF('Raw Orders'!J311,"Cancelled",IF('Raw Orders'!K311&gt;=2,"Slipped","On plan"))</f>
        <v>On plan</v>
      </c>
      <c r="L311" s="12">
        <f t="shared" si="4"/>
        <v>0</v>
      </c>
    </row>
    <row r="312" spans="1:12" x14ac:dyDescent="0.3">
      <c r="A312" t="str">
        <f>'Raw Orders'!A312</f>
        <v>NX-00308</v>
      </c>
      <c r="B312" t="str">
        <f>'Raw Orders'!B312</f>
        <v>North America</v>
      </c>
      <c r="C312" t="str">
        <f>'Raw Orders'!C312</f>
        <v>US / Canada</v>
      </c>
      <c r="D312" s="11">
        <f>'Raw Orders'!E312</f>
        <v>6.7</v>
      </c>
      <c r="E312" s="12">
        <f>'Raw Orders'!F312</f>
        <v>556100</v>
      </c>
      <c r="F312" s="12">
        <f>'Raw Orders'!F312*0.75</f>
        <v>417075</v>
      </c>
      <c r="G312" s="10">
        <f>'Raw Orders'!H312</f>
        <v>45809</v>
      </c>
      <c r="H312" s="10">
        <f>'Raw Orders'!I312</f>
        <v>45809</v>
      </c>
      <c r="I312" s="11">
        <f>'Raw Orders'!K312</f>
        <v>0.01</v>
      </c>
      <c r="J312" s="11">
        <f>IF('Raw Orders'!J312,"",(YEAR('Raw Orders'!I312)-YEAR('Raw Orders'!H312))*12+MONTH('Raw Orders'!I312)-MONTH('Raw Orders'!H312))</f>
        <v>0</v>
      </c>
      <c r="K312" t="str">
        <f>IF('Raw Orders'!J312,"Cancelled",IF('Raw Orders'!K312&gt;=2,"Slipped","On plan"))</f>
        <v>On plan</v>
      </c>
      <c r="L312" s="12">
        <f t="shared" si="4"/>
        <v>0</v>
      </c>
    </row>
    <row r="313" spans="1:12" x14ac:dyDescent="0.3">
      <c r="A313" t="str">
        <f>'Raw Orders'!A313</f>
        <v>NX-00309</v>
      </c>
      <c r="B313" t="str">
        <f>'Raw Orders'!B313</f>
        <v>North America</v>
      </c>
      <c r="C313" t="str">
        <f>'Raw Orders'!C313</f>
        <v>US / Canada</v>
      </c>
      <c r="D313" s="11">
        <f>'Raw Orders'!E313</f>
        <v>7.2</v>
      </c>
      <c r="E313" s="12">
        <f>'Raw Orders'!F313</f>
        <v>597600</v>
      </c>
      <c r="F313" s="12">
        <f>'Raw Orders'!F313*0.75</f>
        <v>448200</v>
      </c>
      <c r="G313" s="10">
        <f>'Raw Orders'!H313</f>
        <v>45778</v>
      </c>
      <c r="H313" s="10">
        <f>'Raw Orders'!I313</f>
        <v>45778</v>
      </c>
      <c r="I313" s="11">
        <f>'Raw Orders'!K313</f>
        <v>0</v>
      </c>
      <c r="J313" s="11">
        <f>IF('Raw Orders'!J313,"",(YEAR('Raw Orders'!I313)-YEAR('Raw Orders'!H313))*12+MONTH('Raw Orders'!I313)-MONTH('Raw Orders'!H313))</f>
        <v>0</v>
      </c>
      <c r="K313" t="str">
        <f>IF('Raw Orders'!J313,"Cancelled",IF('Raw Orders'!K313&gt;=2,"Slipped","On plan"))</f>
        <v>On plan</v>
      </c>
      <c r="L313" s="12">
        <f t="shared" si="4"/>
        <v>0</v>
      </c>
    </row>
    <row r="314" spans="1:12" x14ac:dyDescent="0.3">
      <c r="A314" t="str">
        <f>'Raw Orders'!A314</f>
        <v>NX-00310</v>
      </c>
      <c r="B314" t="str">
        <f>'Raw Orders'!B314</f>
        <v>North America</v>
      </c>
      <c r="C314" t="str">
        <f>'Raw Orders'!C314</f>
        <v>US / Canada</v>
      </c>
      <c r="D314" s="11">
        <f>'Raw Orders'!E314</f>
        <v>32.6</v>
      </c>
      <c r="E314" s="12">
        <f>'Raw Orders'!F314</f>
        <v>2705800</v>
      </c>
      <c r="F314" s="12">
        <f>'Raw Orders'!F314*0.75</f>
        <v>2029350</v>
      </c>
      <c r="G314" s="10">
        <f>'Raw Orders'!H314</f>
        <v>45870</v>
      </c>
      <c r="H314" s="10">
        <f>'Raw Orders'!I314</f>
        <v>46113</v>
      </c>
      <c r="I314" s="11">
        <f>'Raw Orders'!K314</f>
        <v>7.52</v>
      </c>
      <c r="J314" s="11">
        <f>IF('Raw Orders'!J314,"",(YEAR('Raw Orders'!I314)-YEAR('Raw Orders'!H314))*12+MONTH('Raw Orders'!I314)-MONTH('Raw Orders'!H314))</f>
        <v>8</v>
      </c>
      <c r="K314" t="str">
        <f>IF('Raw Orders'!J314,"Cancelled",IF('Raw Orders'!K314&gt;=2,"Slipped","On plan"))</f>
        <v>Slipped</v>
      </c>
      <c r="L314" s="12">
        <f t="shared" si="4"/>
        <v>2029350</v>
      </c>
    </row>
    <row r="315" spans="1:12" x14ac:dyDescent="0.3">
      <c r="A315" t="str">
        <f>'Raw Orders'!A315</f>
        <v>NX-00311</v>
      </c>
      <c r="B315" t="str">
        <f>'Raw Orders'!B315</f>
        <v>North America</v>
      </c>
      <c r="C315" t="str">
        <f>'Raw Orders'!C315</f>
        <v>US / Canada</v>
      </c>
      <c r="D315" s="11">
        <f>'Raw Orders'!E315</f>
        <v>14.6</v>
      </c>
      <c r="E315" s="12">
        <f>'Raw Orders'!F315</f>
        <v>1211800</v>
      </c>
      <c r="F315" s="12">
        <f>'Raw Orders'!F315*0.75</f>
        <v>908850</v>
      </c>
      <c r="G315" s="10">
        <f>'Raw Orders'!H315</f>
        <v>45748</v>
      </c>
      <c r="H315" s="10">
        <f>'Raw Orders'!I315</f>
        <v>45748</v>
      </c>
      <c r="I315" s="11">
        <f>'Raw Orders'!K315</f>
        <v>0</v>
      </c>
      <c r="J315" s="11">
        <f>IF('Raw Orders'!J315,"",(YEAR('Raw Orders'!I315)-YEAR('Raw Orders'!H315))*12+MONTH('Raw Orders'!I315)-MONTH('Raw Orders'!H315))</f>
        <v>0</v>
      </c>
      <c r="K315" t="str">
        <f>IF('Raw Orders'!J315,"Cancelled",IF('Raw Orders'!K315&gt;=2,"Slipped","On plan"))</f>
        <v>On plan</v>
      </c>
      <c r="L315" s="12">
        <f t="shared" si="4"/>
        <v>0</v>
      </c>
    </row>
    <row r="316" spans="1:12" x14ac:dyDescent="0.3">
      <c r="A316" t="str">
        <f>'Raw Orders'!A316</f>
        <v>NX-00312</v>
      </c>
      <c r="B316" t="str">
        <f>'Raw Orders'!B316</f>
        <v>North America</v>
      </c>
      <c r="C316" t="str">
        <f>'Raw Orders'!C316</f>
        <v>US / Canada</v>
      </c>
      <c r="D316" s="11">
        <f>'Raw Orders'!E316</f>
        <v>10.4</v>
      </c>
      <c r="E316" s="12">
        <f>'Raw Orders'!F316</f>
        <v>863200</v>
      </c>
      <c r="F316" s="12">
        <f>'Raw Orders'!F316*0.75</f>
        <v>647400</v>
      </c>
      <c r="G316" s="10">
        <f>'Raw Orders'!H316</f>
        <v>45870</v>
      </c>
      <c r="H316" s="10">
        <f>'Raw Orders'!I316</f>
        <v>45870</v>
      </c>
      <c r="I316" s="11">
        <f>'Raw Orders'!K316</f>
        <v>0.01</v>
      </c>
      <c r="J316" s="11">
        <f>IF('Raw Orders'!J316,"",(YEAR('Raw Orders'!I316)-YEAR('Raw Orders'!H316))*12+MONTH('Raw Orders'!I316)-MONTH('Raw Orders'!H316))</f>
        <v>0</v>
      </c>
      <c r="K316" t="str">
        <f>IF('Raw Orders'!J316,"Cancelled",IF('Raw Orders'!K316&gt;=2,"Slipped","On plan"))</f>
        <v>On plan</v>
      </c>
      <c r="L316" s="12">
        <f t="shared" si="4"/>
        <v>0</v>
      </c>
    </row>
    <row r="317" spans="1:12" x14ac:dyDescent="0.3">
      <c r="A317" t="str">
        <f>'Raw Orders'!A317</f>
        <v>NX-00313</v>
      </c>
      <c r="B317" t="str">
        <f>'Raw Orders'!B317</f>
        <v>North America</v>
      </c>
      <c r="C317" t="str">
        <f>'Raw Orders'!C317</f>
        <v>US / Canada</v>
      </c>
      <c r="D317" s="11">
        <f>'Raw Orders'!E317</f>
        <v>10.3</v>
      </c>
      <c r="E317" s="12">
        <f>'Raw Orders'!F317</f>
        <v>854900.00000000012</v>
      </c>
      <c r="F317" s="12">
        <f>'Raw Orders'!F317*0.75</f>
        <v>641175.00000000012</v>
      </c>
      <c r="G317" s="10">
        <f>'Raw Orders'!H317</f>
        <v>45901</v>
      </c>
      <c r="H317" s="10">
        <f>'Raw Orders'!I317</f>
        <v>45901</v>
      </c>
      <c r="I317" s="11">
        <f>'Raw Orders'!K317</f>
        <v>0.28999999999999998</v>
      </c>
      <c r="J317" s="11">
        <f>IF('Raw Orders'!J317,"",(YEAR('Raw Orders'!I317)-YEAR('Raw Orders'!H317))*12+MONTH('Raw Orders'!I317)-MONTH('Raw Orders'!H317))</f>
        <v>0</v>
      </c>
      <c r="K317" t="str">
        <f>IF('Raw Orders'!J317,"Cancelled",IF('Raw Orders'!K317&gt;=2,"Slipped","On plan"))</f>
        <v>On plan</v>
      </c>
      <c r="L317" s="12">
        <f t="shared" si="4"/>
        <v>0</v>
      </c>
    </row>
    <row r="318" spans="1:12" x14ac:dyDescent="0.3">
      <c r="A318" t="str">
        <f>'Raw Orders'!A318</f>
        <v>NX-00314</v>
      </c>
      <c r="B318" t="str">
        <f>'Raw Orders'!B318</f>
        <v>North America</v>
      </c>
      <c r="C318" t="str">
        <f>'Raw Orders'!C318</f>
        <v>US / Canada</v>
      </c>
      <c r="D318" s="11">
        <f>'Raw Orders'!E318</f>
        <v>7.2</v>
      </c>
      <c r="E318" s="12">
        <f>'Raw Orders'!F318</f>
        <v>597600</v>
      </c>
      <c r="F318" s="12">
        <f>'Raw Orders'!F318*0.75</f>
        <v>448200</v>
      </c>
      <c r="G318" s="10">
        <f>'Raw Orders'!H318</f>
        <v>45717</v>
      </c>
      <c r="H318" s="10">
        <f>'Raw Orders'!I318</f>
        <v>45717</v>
      </c>
      <c r="I318" s="11">
        <f>'Raw Orders'!K318</f>
        <v>0</v>
      </c>
      <c r="J318" s="11">
        <f>IF('Raw Orders'!J318,"",(YEAR('Raw Orders'!I318)-YEAR('Raw Orders'!H318))*12+MONTH('Raw Orders'!I318)-MONTH('Raw Orders'!H318))</f>
        <v>0</v>
      </c>
      <c r="K318" t="str">
        <f>IF('Raw Orders'!J318,"Cancelled",IF('Raw Orders'!K318&gt;=2,"Slipped","On plan"))</f>
        <v>On plan</v>
      </c>
      <c r="L318" s="12">
        <f t="shared" si="4"/>
        <v>0</v>
      </c>
    </row>
    <row r="319" spans="1:12" x14ac:dyDescent="0.3">
      <c r="A319" t="str">
        <f>'Raw Orders'!A319</f>
        <v>NX-00315</v>
      </c>
      <c r="B319" t="str">
        <f>'Raw Orders'!B319</f>
        <v>North America</v>
      </c>
      <c r="C319" t="str">
        <f>'Raw Orders'!C319</f>
        <v>US / Canada</v>
      </c>
      <c r="D319" s="11">
        <f>'Raw Orders'!E319</f>
        <v>5.8</v>
      </c>
      <c r="E319" s="12">
        <f>'Raw Orders'!F319</f>
        <v>481400</v>
      </c>
      <c r="F319" s="12">
        <f>'Raw Orders'!F319*0.75</f>
        <v>361050</v>
      </c>
      <c r="G319" s="10">
        <f>'Raw Orders'!H319</f>
        <v>45839</v>
      </c>
      <c r="H319" s="10">
        <f>'Raw Orders'!I319</f>
        <v>45839</v>
      </c>
      <c r="I319" s="11">
        <f>'Raw Orders'!K319</f>
        <v>0</v>
      </c>
      <c r="J319" s="11">
        <f>IF('Raw Orders'!J319,"",(YEAR('Raw Orders'!I319)-YEAR('Raw Orders'!H319))*12+MONTH('Raw Orders'!I319)-MONTH('Raw Orders'!H319))</f>
        <v>0</v>
      </c>
      <c r="K319" t="str">
        <f>IF('Raw Orders'!J319,"Cancelled",IF('Raw Orders'!K319&gt;=2,"Slipped","On plan"))</f>
        <v>On plan</v>
      </c>
      <c r="L319" s="12">
        <f t="shared" si="4"/>
        <v>0</v>
      </c>
    </row>
    <row r="320" spans="1:12" x14ac:dyDescent="0.3">
      <c r="A320" t="str">
        <f>'Raw Orders'!A320</f>
        <v>NX-00316</v>
      </c>
      <c r="B320" t="str">
        <f>'Raw Orders'!B320</f>
        <v>North America</v>
      </c>
      <c r="C320" t="str">
        <f>'Raw Orders'!C320</f>
        <v>US / Canada</v>
      </c>
      <c r="D320" s="11">
        <f>'Raw Orders'!E320</f>
        <v>29.1</v>
      </c>
      <c r="E320" s="12">
        <f>'Raw Orders'!F320</f>
        <v>2415300</v>
      </c>
      <c r="F320" s="12">
        <f>'Raw Orders'!F320*0.75</f>
        <v>1811475</v>
      </c>
      <c r="G320" s="10">
        <f>'Raw Orders'!H320</f>
        <v>45778</v>
      </c>
      <c r="H320" s="10">
        <f>'Raw Orders'!I320</f>
        <v>45778</v>
      </c>
      <c r="I320" s="11">
        <f>'Raw Orders'!K320</f>
        <v>0</v>
      </c>
      <c r="J320" s="11">
        <f>IF('Raw Orders'!J320,"",(YEAR('Raw Orders'!I320)-YEAR('Raw Orders'!H320))*12+MONTH('Raw Orders'!I320)-MONTH('Raw Orders'!H320))</f>
        <v>0</v>
      </c>
      <c r="K320" t="str">
        <f>IF('Raw Orders'!J320,"Cancelled",IF('Raw Orders'!K320&gt;=2,"Slipped","On plan"))</f>
        <v>On plan</v>
      </c>
      <c r="L320" s="12">
        <f t="shared" si="4"/>
        <v>0</v>
      </c>
    </row>
    <row r="321" spans="1:12" x14ac:dyDescent="0.3">
      <c r="A321" t="str">
        <f>'Raw Orders'!A321</f>
        <v>NX-00317</v>
      </c>
      <c r="B321" t="str">
        <f>'Raw Orders'!B321</f>
        <v>North America</v>
      </c>
      <c r="C321" t="str">
        <f>'Raw Orders'!C321</f>
        <v>US / Canada</v>
      </c>
      <c r="D321" s="11">
        <f>'Raw Orders'!E321</f>
        <v>24.6</v>
      </c>
      <c r="E321" s="12">
        <f>'Raw Orders'!F321</f>
        <v>2041800</v>
      </c>
      <c r="F321" s="12">
        <f>'Raw Orders'!F321*0.75</f>
        <v>1531350</v>
      </c>
      <c r="G321" s="10">
        <f>'Raw Orders'!H321</f>
        <v>45870</v>
      </c>
      <c r="H321" s="10">
        <f>'Raw Orders'!I321</f>
        <v>45870</v>
      </c>
      <c r="I321" s="11">
        <f>'Raw Orders'!K321</f>
        <v>0.1</v>
      </c>
      <c r="J321" s="11">
        <f>IF('Raw Orders'!J321,"",(YEAR('Raw Orders'!I321)-YEAR('Raw Orders'!H321))*12+MONTH('Raw Orders'!I321)-MONTH('Raw Orders'!H321))</f>
        <v>0</v>
      </c>
      <c r="K321" t="str">
        <f>IF('Raw Orders'!J321,"Cancelled",IF('Raw Orders'!K321&gt;=2,"Slipped","On plan"))</f>
        <v>On plan</v>
      </c>
      <c r="L321" s="12">
        <f t="shared" si="4"/>
        <v>0</v>
      </c>
    </row>
    <row r="322" spans="1:12" x14ac:dyDescent="0.3">
      <c r="A322" t="str">
        <f>'Raw Orders'!A322</f>
        <v>NX-00318</v>
      </c>
      <c r="B322" t="str">
        <f>'Raw Orders'!B322</f>
        <v>North America</v>
      </c>
      <c r="C322" t="str">
        <f>'Raw Orders'!C322</f>
        <v>US / Canada</v>
      </c>
      <c r="D322" s="11">
        <f>'Raw Orders'!E322</f>
        <v>18.8</v>
      </c>
      <c r="E322" s="12">
        <f>'Raw Orders'!F322</f>
        <v>1560400</v>
      </c>
      <c r="F322" s="12">
        <f>'Raw Orders'!F322*0.75</f>
        <v>1170300</v>
      </c>
      <c r="G322" s="10">
        <f>'Raw Orders'!H322</f>
        <v>45839</v>
      </c>
      <c r="H322" s="10">
        <f>'Raw Orders'!I322</f>
        <v>45901</v>
      </c>
      <c r="I322" s="11">
        <f>'Raw Orders'!K322</f>
        <v>1.53</v>
      </c>
      <c r="J322" s="11">
        <f>IF('Raw Orders'!J322,"",(YEAR('Raw Orders'!I322)-YEAR('Raw Orders'!H322))*12+MONTH('Raw Orders'!I322)-MONTH('Raw Orders'!H322))</f>
        <v>2</v>
      </c>
      <c r="K322" t="str">
        <f>IF('Raw Orders'!J322,"Cancelled",IF('Raw Orders'!K322&gt;=2,"Slipped","On plan"))</f>
        <v>On plan</v>
      </c>
      <c r="L322" s="12">
        <f t="shared" si="4"/>
        <v>0</v>
      </c>
    </row>
    <row r="323" spans="1:12" x14ac:dyDescent="0.3">
      <c r="A323" t="str">
        <f>'Raw Orders'!A323</f>
        <v>NX-00319</v>
      </c>
      <c r="B323" t="str">
        <f>'Raw Orders'!B323</f>
        <v>North America</v>
      </c>
      <c r="C323" t="str">
        <f>'Raw Orders'!C323</f>
        <v>US / Canada</v>
      </c>
      <c r="D323" s="11">
        <f>'Raw Orders'!E323</f>
        <v>14.8</v>
      </c>
      <c r="E323" s="12">
        <f>'Raw Orders'!F323</f>
        <v>1228400</v>
      </c>
      <c r="F323" s="12">
        <f>'Raw Orders'!F323*0.75</f>
        <v>921300</v>
      </c>
      <c r="G323" s="10">
        <f>'Raw Orders'!H323</f>
        <v>45778</v>
      </c>
      <c r="H323" s="10">
        <f>'Raw Orders'!I323</f>
        <v>45778</v>
      </c>
      <c r="I323" s="11">
        <f>'Raw Orders'!K323</f>
        <v>0.41</v>
      </c>
      <c r="J323" s="11">
        <f>IF('Raw Orders'!J323,"",(YEAR('Raw Orders'!I323)-YEAR('Raw Orders'!H323))*12+MONTH('Raw Orders'!I323)-MONTH('Raw Orders'!H323))</f>
        <v>0</v>
      </c>
      <c r="K323" t="str">
        <f>IF('Raw Orders'!J323,"Cancelled",IF('Raw Orders'!K323&gt;=2,"Slipped","On plan"))</f>
        <v>On plan</v>
      </c>
      <c r="L323" s="12">
        <f t="shared" si="4"/>
        <v>0</v>
      </c>
    </row>
    <row r="324" spans="1:12" x14ac:dyDescent="0.3">
      <c r="A324" t="str">
        <f>'Raw Orders'!A324</f>
        <v>NX-00320</v>
      </c>
      <c r="B324" t="str">
        <f>'Raw Orders'!B324</f>
        <v>North America</v>
      </c>
      <c r="C324" t="str">
        <f>'Raw Orders'!C324</f>
        <v>US / Canada</v>
      </c>
      <c r="D324" s="11">
        <f>'Raw Orders'!E324</f>
        <v>7</v>
      </c>
      <c r="E324" s="12">
        <f>'Raw Orders'!F324</f>
        <v>581000</v>
      </c>
      <c r="F324" s="12">
        <f>'Raw Orders'!F324*0.75</f>
        <v>435750</v>
      </c>
      <c r="G324" s="10">
        <f>'Raw Orders'!H324</f>
        <v>45717</v>
      </c>
      <c r="H324" s="10">
        <f>'Raw Orders'!I324</f>
        <v>45748</v>
      </c>
      <c r="I324" s="11">
        <f>'Raw Orders'!K324</f>
        <v>0.63</v>
      </c>
      <c r="J324" s="11">
        <f>IF('Raw Orders'!J324,"",(YEAR('Raw Orders'!I324)-YEAR('Raw Orders'!H324))*12+MONTH('Raw Orders'!I324)-MONTH('Raw Orders'!H324))</f>
        <v>1</v>
      </c>
      <c r="K324" t="str">
        <f>IF('Raw Orders'!J324,"Cancelled",IF('Raw Orders'!K324&gt;=2,"Slipped","On plan"))</f>
        <v>On plan</v>
      </c>
      <c r="L324" s="12">
        <f t="shared" si="4"/>
        <v>0</v>
      </c>
    </row>
    <row r="325" spans="1:12" x14ac:dyDescent="0.3">
      <c r="A325" t="str">
        <f>'Raw Orders'!A325</f>
        <v>NX-00321</v>
      </c>
      <c r="B325" t="str">
        <f>'Raw Orders'!B325</f>
        <v>North America</v>
      </c>
      <c r="C325" t="str">
        <f>'Raw Orders'!C325</f>
        <v>US / Canada</v>
      </c>
      <c r="D325" s="11">
        <f>'Raw Orders'!E325</f>
        <v>1.4</v>
      </c>
      <c r="E325" s="12">
        <f>'Raw Orders'!F325</f>
        <v>116200</v>
      </c>
      <c r="F325" s="12">
        <f>'Raw Orders'!F325*0.75</f>
        <v>87150</v>
      </c>
      <c r="G325" s="10">
        <f>'Raw Orders'!H325</f>
        <v>45901</v>
      </c>
      <c r="H325" s="10">
        <f>'Raw Orders'!I325</f>
        <v>45992</v>
      </c>
      <c r="I325" s="11">
        <f>'Raw Orders'!K325</f>
        <v>3.39</v>
      </c>
      <c r="J325" s="11">
        <f>IF('Raw Orders'!J325,"",(YEAR('Raw Orders'!I325)-YEAR('Raw Orders'!H325))*12+MONTH('Raw Orders'!I325)-MONTH('Raw Orders'!H325))</f>
        <v>3</v>
      </c>
      <c r="K325" t="str">
        <f>IF('Raw Orders'!J325,"Cancelled",IF('Raw Orders'!K325&gt;=2,"Slipped","On plan"))</f>
        <v>Slipped</v>
      </c>
      <c r="L325" s="12">
        <f t="shared" ref="L325:L388" si="5">IF(K325="On plan",0,F325)</f>
        <v>87150</v>
      </c>
    </row>
    <row r="326" spans="1:12" x14ac:dyDescent="0.3">
      <c r="A326" t="str">
        <f>'Raw Orders'!A326</f>
        <v>NX-00322</v>
      </c>
      <c r="B326" t="str">
        <f>'Raw Orders'!B326</f>
        <v>North America</v>
      </c>
      <c r="C326" t="str">
        <f>'Raw Orders'!C326</f>
        <v>US / Canada</v>
      </c>
      <c r="D326" s="11">
        <f>'Raw Orders'!E326</f>
        <v>29.9</v>
      </c>
      <c r="E326" s="12">
        <f>'Raw Orders'!F326</f>
        <v>2481700</v>
      </c>
      <c r="F326" s="12">
        <f>'Raw Orders'!F326*0.75</f>
        <v>1861275</v>
      </c>
      <c r="G326" s="10">
        <f>'Raw Orders'!H326</f>
        <v>45809</v>
      </c>
      <c r="H326" s="10">
        <f>'Raw Orders'!I326</f>
        <v>45809</v>
      </c>
      <c r="I326" s="11">
        <f>'Raw Orders'!K326</f>
        <v>0.01</v>
      </c>
      <c r="J326" s="11">
        <f>IF('Raw Orders'!J326,"",(YEAR('Raw Orders'!I326)-YEAR('Raw Orders'!H326))*12+MONTH('Raw Orders'!I326)-MONTH('Raw Orders'!H326))</f>
        <v>0</v>
      </c>
      <c r="K326" t="str">
        <f>IF('Raw Orders'!J326,"Cancelled",IF('Raw Orders'!K326&gt;=2,"Slipped","On plan"))</f>
        <v>On plan</v>
      </c>
      <c r="L326" s="12">
        <f t="shared" si="5"/>
        <v>0</v>
      </c>
    </row>
    <row r="327" spans="1:12" x14ac:dyDescent="0.3">
      <c r="A327" t="str">
        <f>'Raw Orders'!A327</f>
        <v>NX-00323</v>
      </c>
      <c r="B327" t="str">
        <f>'Raw Orders'!B327</f>
        <v>North America</v>
      </c>
      <c r="C327" t="str">
        <f>'Raw Orders'!C327</f>
        <v>US / Canada</v>
      </c>
      <c r="D327" s="11">
        <f>'Raw Orders'!E327</f>
        <v>33.1</v>
      </c>
      <c r="E327" s="12">
        <f>'Raw Orders'!F327</f>
        <v>2747300</v>
      </c>
      <c r="F327" s="12">
        <f>'Raw Orders'!F327*0.75</f>
        <v>2060475</v>
      </c>
      <c r="G327" s="10">
        <f>'Raw Orders'!H327</f>
        <v>45809</v>
      </c>
      <c r="H327" s="10">
        <f>'Raw Orders'!I327</f>
        <v>45809</v>
      </c>
      <c r="I327" s="11">
        <f>'Raw Orders'!K327</f>
        <v>0.34</v>
      </c>
      <c r="J327" s="11">
        <f>IF('Raw Orders'!J327,"",(YEAR('Raw Orders'!I327)-YEAR('Raw Orders'!H327))*12+MONTH('Raw Orders'!I327)-MONTH('Raw Orders'!H327))</f>
        <v>0</v>
      </c>
      <c r="K327" t="str">
        <f>IF('Raw Orders'!J327,"Cancelled",IF('Raw Orders'!K327&gt;=2,"Slipped","On plan"))</f>
        <v>On plan</v>
      </c>
      <c r="L327" s="12">
        <f t="shared" si="5"/>
        <v>0</v>
      </c>
    </row>
    <row r="328" spans="1:12" x14ac:dyDescent="0.3">
      <c r="A328" t="str">
        <f>'Raw Orders'!A328</f>
        <v>NX-00324</v>
      </c>
      <c r="B328" t="str">
        <f>'Raw Orders'!B328</f>
        <v>North America</v>
      </c>
      <c r="C328" t="str">
        <f>'Raw Orders'!C328</f>
        <v>US / Canada</v>
      </c>
      <c r="D328" s="11">
        <f>'Raw Orders'!E328</f>
        <v>18</v>
      </c>
      <c r="E328" s="12">
        <f>'Raw Orders'!F328</f>
        <v>1494000</v>
      </c>
      <c r="F328" s="12">
        <f>'Raw Orders'!F328*0.75</f>
        <v>1120500</v>
      </c>
      <c r="G328" s="10">
        <f>'Raw Orders'!H328</f>
        <v>45901</v>
      </c>
      <c r="H328" s="10">
        <f>'Raw Orders'!I328</f>
        <v>45901</v>
      </c>
      <c r="I328" s="11">
        <f>'Raw Orders'!K328</f>
        <v>0.14000000000000001</v>
      </c>
      <c r="J328" s="11">
        <f>IF('Raw Orders'!J328,"",(YEAR('Raw Orders'!I328)-YEAR('Raw Orders'!H328))*12+MONTH('Raw Orders'!I328)-MONTH('Raw Orders'!H328))</f>
        <v>0</v>
      </c>
      <c r="K328" t="str">
        <f>IF('Raw Orders'!J328,"Cancelled",IF('Raw Orders'!K328&gt;=2,"Slipped","On plan"))</f>
        <v>On plan</v>
      </c>
      <c r="L328" s="12">
        <f t="shared" si="5"/>
        <v>0</v>
      </c>
    </row>
    <row r="329" spans="1:12" x14ac:dyDescent="0.3">
      <c r="A329" t="str">
        <f>'Raw Orders'!A329</f>
        <v>NX-00325</v>
      </c>
      <c r="B329" t="str">
        <f>'Raw Orders'!B329</f>
        <v>North America</v>
      </c>
      <c r="C329" t="str">
        <f>'Raw Orders'!C329</f>
        <v>US / Canada</v>
      </c>
      <c r="D329" s="11">
        <f>'Raw Orders'!E329</f>
        <v>18.899999999999999</v>
      </c>
      <c r="E329" s="12">
        <f>'Raw Orders'!F329</f>
        <v>1568700</v>
      </c>
      <c r="F329" s="12">
        <f>'Raw Orders'!F329*0.75</f>
        <v>1176525</v>
      </c>
      <c r="G329" s="10">
        <f>'Raw Orders'!H329</f>
        <v>45717</v>
      </c>
      <c r="H329" s="10">
        <f>'Raw Orders'!I329</f>
        <v>45717</v>
      </c>
      <c r="I329" s="11">
        <f>'Raw Orders'!K329</f>
        <v>0.31</v>
      </c>
      <c r="J329" s="11">
        <f>IF('Raw Orders'!J329,"",(YEAR('Raw Orders'!I329)-YEAR('Raw Orders'!H329))*12+MONTH('Raw Orders'!I329)-MONTH('Raw Orders'!H329))</f>
        <v>0</v>
      </c>
      <c r="K329" t="str">
        <f>IF('Raw Orders'!J329,"Cancelled",IF('Raw Orders'!K329&gt;=2,"Slipped","On plan"))</f>
        <v>On plan</v>
      </c>
      <c r="L329" s="12">
        <f t="shared" si="5"/>
        <v>0</v>
      </c>
    </row>
    <row r="330" spans="1:12" x14ac:dyDescent="0.3">
      <c r="A330" t="str">
        <f>'Raw Orders'!A330</f>
        <v>NX-00326</v>
      </c>
      <c r="B330" t="str">
        <f>'Raw Orders'!B330</f>
        <v>North America</v>
      </c>
      <c r="C330" t="str">
        <f>'Raw Orders'!C330</f>
        <v>US / Canada</v>
      </c>
      <c r="D330" s="11">
        <f>'Raw Orders'!E330</f>
        <v>13.4</v>
      </c>
      <c r="E330" s="12">
        <f>'Raw Orders'!F330</f>
        <v>1112200</v>
      </c>
      <c r="F330" s="12">
        <f>'Raw Orders'!F330*0.75</f>
        <v>834150</v>
      </c>
      <c r="G330" s="10">
        <f>'Raw Orders'!H330</f>
        <v>45809</v>
      </c>
      <c r="H330" s="10">
        <f>'Raw Orders'!I330</f>
        <v>45839</v>
      </c>
      <c r="I330" s="11">
        <f>'Raw Orders'!K330</f>
        <v>0.75</v>
      </c>
      <c r="J330" s="11">
        <f>IF('Raw Orders'!J330,"",(YEAR('Raw Orders'!I330)-YEAR('Raw Orders'!H330))*12+MONTH('Raw Orders'!I330)-MONTH('Raw Orders'!H330))</f>
        <v>1</v>
      </c>
      <c r="K330" t="str">
        <f>IF('Raw Orders'!J330,"Cancelled",IF('Raw Orders'!K330&gt;=2,"Slipped","On plan"))</f>
        <v>On plan</v>
      </c>
      <c r="L330" s="12">
        <f t="shared" si="5"/>
        <v>0</v>
      </c>
    </row>
    <row r="331" spans="1:12" x14ac:dyDescent="0.3">
      <c r="A331" t="str">
        <f>'Raw Orders'!A331</f>
        <v>NX-00327</v>
      </c>
      <c r="B331" t="str">
        <f>'Raw Orders'!B331</f>
        <v>North America</v>
      </c>
      <c r="C331" t="str">
        <f>'Raw Orders'!C331</f>
        <v>US / Canada</v>
      </c>
      <c r="D331" s="11">
        <f>'Raw Orders'!E331</f>
        <v>8.3000000000000007</v>
      </c>
      <c r="E331" s="12">
        <f>'Raw Orders'!F331</f>
        <v>688900.00000000012</v>
      </c>
      <c r="F331" s="12">
        <f>'Raw Orders'!F331*0.75</f>
        <v>516675.00000000012</v>
      </c>
      <c r="G331" s="10">
        <f>'Raw Orders'!H331</f>
        <v>45748</v>
      </c>
      <c r="H331" s="10">
        <f>'Raw Orders'!I331</f>
        <v>45748</v>
      </c>
      <c r="I331" s="11">
        <f>'Raw Orders'!K331</f>
        <v>0</v>
      </c>
      <c r="J331" s="11">
        <f>IF('Raw Orders'!J331,"",(YEAR('Raw Orders'!I331)-YEAR('Raw Orders'!H331))*12+MONTH('Raw Orders'!I331)-MONTH('Raw Orders'!H331))</f>
        <v>0</v>
      </c>
      <c r="K331" t="str">
        <f>IF('Raw Orders'!J331,"Cancelled",IF('Raw Orders'!K331&gt;=2,"Slipped","On plan"))</f>
        <v>On plan</v>
      </c>
      <c r="L331" s="12">
        <f t="shared" si="5"/>
        <v>0</v>
      </c>
    </row>
    <row r="332" spans="1:12" x14ac:dyDescent="0.3">
      <c r="A332" t="str">
        <f>'Raw Orders'!A332</f>
        <v>NX-00328</v>
      </c>
      <c r="B332" t="str">
        <f>'Raw Orders'!B332</f>
        <v>North America</v>
      </c>
      <c r="C332" t="str">
        <f>'Raw Orders'!C332</f>
        <v>US / Canada</v>
      </c>
      <c r="D332" s="11">
        <f>'Raw Orders'!E332</f>
        <v>15.2</v>
      </c>
      <c r="E332" s="12">
        <f>'Raw Orders'!F332</f>
        <v>1261600</v>
      </c>
      <c r="F332" s="12">
        <f>'Raw Orders'!F332*0.75</f>
        <v>946200</v>
      </c>
      <c r="G332" s="10">
        <f>'Raw Orders'!H332</f>
        <v>45778</v>
      </c>
      <c r="H332" s="10">
        <f>'Raw Orders'!I332</f>
        <v>45778</v>
      </c>
      <c r="I332" s="11">
        <f>'Raw Orders'!K332</f>
        <v>0</v>
      </c>
      <c r="J332" s="11">
        <f>IF('Raw Orders'!J332,"",(YEAR('Raw Orders'!I332)-YEAR('Raw Orders'!H332))*12+MONTH('Raw Orders'!I332)-MONTH('Raw Orders'!H332))</f>
        <v>0</v>
      </c>
      <c r="K332" t="str">
        <f>IF('Raw Orders'!J332,"Cancelled",IF('Raw Orders'!K332&gt;=2,"Slipped","On plan"))</f>
        <v>On plan</v>
      </c>
      <c r="L332" s="12">
        <f t="shared" si="5"/>
        <v>0</v>
      </c>
    </row>
    <row r="333" spans="1:12" x14ac:dyDescent="0.3">
      <c r="A333" t="str">
        <f>'Raw Orders'!A333</f>
        <v>NX-00329</v>
      </c>
      <c r="B333" t="str">
        <f>'Raw Orders'!B333</f>
        <v>North America</v>
      </c>
      <c r="C333" t="str">
        <f>'Raw Orders'!C333</f>
        <v>US / Canada</v>
      </c>
      <c r="D333" s="11">
        <f>'Raw Orders'!E333</f>
        <v>9.6999999999999993</v>
      </c>
      <c r="E333" s="12">
        <f>'Raw Orders'!F333</f>
        <v>805099.99999999988</v>
      </c>
      <c r="F333" s="12">
        <f>'Raw Orders'!F333*0.75</f>
        <v>603824.99999999988</v>
      </c>
      <c r="G333" s="10">
        <f>'Raw Orders'!H333</f>
        <v>45901</v>
      </c>
      <c r="H333" s="10">
        <f>'Raw Orders'!I333</f>
        <v>45901</v>
      </c>
      <c r="I333" s="11">
        <f>'Raw Orders'!K333</f>
        <v>0.02</v>
      </c>
      <c r="J333" s="11">
        <f>IF('Raw Orders'!J333,"",(YEAR('Raw Orders'!I333)-YEAR('Raw Orders'!H333))*12+MONTH('Raw Orders'!I333)-MONTH('Raw Orders'!H333))</f>
        <v>0</v>
      </c>
      <c r="K333" t="str">
        <f>IF('Raw Orders'!J333,"Cancelled",IF('Raw Orders'!K333&gt;=2,"Slipped","On plan"))</f>
        <v>On plan</v>
      </c>
      <c r="L333" s="12">
        <f t="shared" si="5"/>
        <v>0</v>
      </c>
    </row>
    <row r="334" spans="1:12" x14ac:dyDescent="0.3">
      <c r="A334" t="str">
        <f>'Raw Orders'!A334</f>
        <v>NX-00330</v>
      </c>
      <c r="B334" t="str">
        <f>'Raw Orders'!B334</f>
        <v>EMEA</v>
      </c>
      <c r="C334" t="str">
        <f>'Raw Orders'!C334</f>
        <v>Europe</v>
      </c>
      <c r="D334" s="11">
        <f>'Raw Orders'!E334</f>
        <v>10.3</v>
      </c>
      <c r="E334" s="12">
        <f>'Raw Orders'!F334</f>
        <v>906400</v>
      </c>
      <c r="F334" s="12">
        <f>'Raw Orders'!F334*0.75</f>
        <v>679800</v>
      </c>
      <c r="G334" s="10">
        <f>'Raw Orders'!H334</f>
        <v>45870</v>
      </c>
      <c r="H334" s="10">
        <f>'Raw Orders'!I334</f>
        <v>45870</v>
      </c>
      <c r="I334" s="11">
        <f>'Raw Orders'!K334</f>
        <v>0.15</v>
      </c>
      <c r="J334" s="11">
        <f>IF('Raw Orders'!J334,"",(YEAR('Raw Orders'!I334)-YEAR('Raw Orders'!H334))*12+MONTH('Raw Orders'!I334)-MONTH('Raw Orders'!H334))</f>
        <v>0</v>
      </c>
      <c r="K334" t="str">
        <f>IF('Raw Orders'!J334,"Cancelled",IF('Raw Orders'!K334&gt;=2,"Slipped","On plan"))</f>
        <v>On plan</v>
      </c>
      <c r="L334" s="12">
        <f t="shared" si="5"/>
        <v>0</v>
      </c>
    </row>
    <row r="335" spans="1:12" x14ac:dyDescent="0.3">
      <c r="A335" t="str">
        <f>'Raw Orders'!A335</f>
        <v>NX-00331</v>
      </c>
      <c r="B335" t="str">
        <f>'Raw Orders'!B335</f>
        <v>EMEA</v>
      </c>
      <c r="C335" t="str">
        <f>'Raw Orders'!C335</f>
        <v>MENA</v>
      </c>
      <c r="D335" s="11">
        <f>'Raw Orders'!E335</f>
        <v>28.8</v>
      </c>
      <c r="E335" s="12">
        <f>'Raw Orders'!F335</f>
        <v>2332800</v>
      </c>
      <c r="F335" s="12">
        <f>'Raw Orders'!F335*0.75</f>
        <v>1749600</v>
      </c>
      <c r="G335" s="10">
        <f>'Raw Orders'!H335</f>
        <v>45717</v>
      </c>
      <c r="H335" s="10">
        <f>'Raw Orders'!I335</f>
        <v>45717</v>
      </c>
      <c r="I335" s="11">
        <f>'Raw Orders'!K335</f>
        <v>0.19</v>
      </c>
      <c r="J335" s="11">
        <f>IF('Raw Orders'!J335,"",(YEAR('Raw Orders'!I335)-YEAR('Raw Orders'!H335))*12+MONTH('Raw Orders'!I335)-MONTH('Raw Orders'!H335))</f>
        <v>0</v>
      </c>
      <c r="K335" t="str">
        <f>IF('Raw Orders'!J335,"Cancelled",IF('Raw Orders'!K335&gt;=2,"Slipped","On plan"))</f>
        <v>On plan</v>
      </c>
      <c r="L335" s="12">
        <f t="shared" si="5"/>
        <v>0</v>
      </c>
    </row>
    <row r="336" spans="1:12" x14ac:dyDescent="0.3">
      <c r="A336" t="str">
        <f>'Raw Orders'!A336</f>
        <v>NX-00332</v>
      </c>
      <c r="B336" t="str">
        <f>'Raw Orders'!B336</f>
        <v>APAC</v>
      </c>
      <c r="C336" t="str">
        <f>'Raw Orders'!C336</f>
        <v>India</v>
      </c>
      <c r="D336" s="11">
        <f>'Raw Orders'!E336</f>
        <v>12.7</v>
      </c>
      <c r="E336" s="12">
        <f>'Raw Orders'!F336</f>
        <v>901700</v>
      </c>
      <c r="F336" s="12">
        <f>'Raw Orders'!F336*0.75</f>
        <v>676275</v>
      </c>
      <c r="G336" s="10">
        <f>'Raw Orders'!H336</f>
        <v>45748</v>
      </c>
      <c r="H336" s="10">
        <f>'Raw Orders'!I336</f>
        <v>45778</v>
      </c>
      <c r="I336" s="11">
        <f>'Raw Orders'!K336</f>
        <v>0.93</v>
      </c>
      <c r="J336" s="11">
        <f>IF('Raw Orders'!J336,"",(YEAR('Raw Orders'!I336)-YEAR('Raw Orders'!H336))*12+MONTH('Raw Orders'!I336)-MONTH('Raw Orders'!H336))</f>
        <v>1</v>
      </c>
      <c r="K336" t="str">
        <f>IF('Raw Orders'!J336,"Cancelled",IF('Raw Orders'!K336&gt;=2,"Slipped","On plan"))</f>
        <v>On plan</v>
      </c>
      <c r="L336" s="12">
        <f t="shared" si="5"/>
        <v>0</v>
      </c>
    </row>
    <row r="337" spans="1:12" x14ac:dyDescent="0.3">
      <c r="A337" t="str">
        <f>'Raw Orders'!A337</f>
        <v>NX-00333</v>
      </c>
      <c r="B337" t="str">
        <f>'Raw Orders'!B337</f>
        <v>APAC</v>
      </c>
      <c r="C337" t="str">
        <f>'Raw Orders'!C337</f>
        <v>India</v>
      </c>
      <c r="D337" s="11">
        <f>'Raw Orders'!E337</f>
        <v>16</v>
      </c>
      <c r="E337" s="12">
        <f>'Raw Orders'!F337</f>
        <v>1136000</v>
      </c>
      <c r="F337" s="12">
        <f>'Raw Orders'!F337*0.75</f>
        <v>852000</v>
      </c>
      <c r="G337" s="10">
        <f>'Raw Orders'!H337</f>
        <v>45717</v>
      </c>
      <c r="H337" s="10">
        <f>'Raw Orders'!I337</f>
        <v>45809</v>
      </c>
      <c r="I337" s="11">
        <f>'Raw Orders'!K337</f>
        <v>2.66</v>
      </c>
      <c r="J337" s="11">
        <f>IF('Raw Orders'!J337,"",(YEAR('Raw Orders'!I337)-YEAR('Raw Orders'!H337))*12+MONTH('Raw Orders'!I337)-MONTH('Raw Orders'!H337))</f>
        <v>3</v>
      </c>
      <c r="K337" t="str">
        <f>IF('Raw Orders'!J337,"Cancelled",IF('Raw Orders'!K337&gt;=2,"Slipped","On plan"))</f>
        <v>Slipped</v>
      </c>
      <c r="L337" s="12">
        <f t="shared" si="5"/>
        <v>852000</v>
      </c>
    </row>
    <row r="338" spans="1:12" x14ac:dyDescent="0.3">
      <c r="A338" t="str">
        <f>'Raw Orders'!A338</f>
        <v>NX-00334</v>
      </c>
      <c r="B338" t="str">
        <f>'Raw Orders'!B338</f>
        <v>APAC</v>
      </c>
      <c r="C338" t="str">
        <f>'Raw Orders'!C338</f>
        <v>India</v>
      </c>
      <c r="D338" s="11">
        <f>'Raw Orders'!E338</f>
        <v>45.8</v>
      </c>
      <c r="E338" s="12">
        <f>'Raw Orders'!F338</f>
        <v>3251800</v>
      </c>
      <c r="F338" s="12">
        <f>'Raw Orders'!F338*0.75</f>
        <v>2438850</v>
      </c>
      <c r="G338" s="10">
        <f>'Raw Orders'!H338</f>
        <v>45839</v>
      </c>
      <c r="H338" s="10">
        <f>'Raw Orders'!I338</f>
        <v>45931</v>
      </c>
      <c r="I338" s="11">
        <f>'Raw Orders'!K338</f>
        <v>2.75</v>
      </c>
      <c r="J338" s="11">
        <f>IF('Raw Orders'!J338,"",(YEAR('Raw Orders'!I338)-YEAR('Raw Orders'!H338))*12+MONTH('Raw Orders'!I338)-MONTH('Raw Orders'!H338))</f>
        <v>3</v>
      </c>
      <c r="K338" t="str">
        <f>IF('Raw Orders'!J338,"Cancelled",IF('Raw Orders'!K338&gt;=2,"Slipped","On plan"))</f>
        <v>Slipped</v>
      </c>
      <c r="L338" s="12">
        <f t="shared" si="5"/>
        <v>2438850</v>
      </c>
    </row>
    <row r="339" spans="1:12" x14ac:dyDescent="0.3">
      <c r="A339" t="str">
        <f>'Raw Orders'!A339</f>
        <v>NX-00335</v>
      </c>
      <c r="B339" t="str">
        <f>'Raw Orders'!B339</f>
        <v>APAC</v>
      </c>
      <c r="C339" t="str">
        <f>'Raw Orders'!C339</f>
        <v>Australia/SEA</v>
      </c>
      <c r="D339" s="11">
        <f>'Raw Orders'!E339</f>
        <v>16.5</v>
      </c>
      <c r="E339" s="12">
        <f>'Raw Orders'!F339</f>
        <v>1386000</v>
      </c>
      <c r="F339" s="12">
        <f>'Raw Orders'!F339*0.75</f>
        <v>1039500</v>
      </c>
      <c r="G339" s="10">
        <f>'Raw Orders'!H339</f>
        <v>45901</v>
      </c>
      <c r="H339" s="10">
        <f>'Raw Orders'!I339</f>
        <v>45931</v>
      </c>
      <c r="I339" s="11">
        <f>'Raw Orders'!K339</f>
        <v>0.88</v>
      </c>
      <c r="J339" s="11">
        <f>IF('Raw Orders'!J339,"",(YEAR('Raw Orders'!I339)-YEAR('Raw Orders'!H339))*12+MONTH('Raw Orders'!I339)-MONTH('Raw Orders'!H339))</f>
        <v>1</v>
      </c>
      <c r="K339" t="str">
        <f>IF('Raw Orders'!J339,"Cancelled",IF('Raw Orders'!K339&gt;=2,"Slipped","On plan"))</f>
        <v>On plan</v>
      </c>
      <c r="L339" s="12">
        <f t="shared" si="5"/>
        <v>0</v>
      </c>
    </row>
    <row r="340" spans="1:12" x14ac:dyDescent="0.3">
      <c r="A340" t="str">
        <f>'Raw Orders'!A340</f>
        <v>NX-00336</v>
      </c>
      <c r="B340" t="str">
        <f>'Raw Orders'!B340</f>
        <v>APAC</v>
      </c>
      <c r="C340" t="str">
        <f>'Raw Orders'!C340</f>
        <v>Australia/SEA</v>
      </c>
      <c r="D340" s="11">
        <f>'Raw Orders'!E340</f>
        <v>19.8</v>
      </c>
      <c r="E340" s="12">
        <f>'Raw Orders'!F340</f>
        <v>1663200</v>
      </c>
      <c r="F340" s="12">
        <f>'Raw Orders'!F340*0.75</f>
        <v>1247400</v>
      </c>
      <c r="G340" s="10">
        <f>'Raw Orders'!H340</f>
        <v>45748</v>
      </c>
      <c r="H340" s="10">
        <f>'Raw Orders'!I340</f>
        <v>45748</v>
      </c>
      <c r="I340" s="11">
        <f>'Raw Orders'!K340</f>
        <v>0.1</v>
      </c>
      <c r="J340" s="11">
        <f>IF('Raw Orders'!J340,"",(YEAR('Raw Orders'!I340)-YEAR('Raw Orders'!H340))*12+MONTH('Raw Orders'!I340)-MONTH('Raw Orders'!H340))</f>
        <v>0</v>
      </c>
      <c r="K340" t="str">
        <f>IF('Raw Orders'!J340,"Cancelled",IF('Raw Orders'!K340&gt;=2,"Slipped","On plan"))</f>
        <v>On plan</v>
      </c>
      <c r="L340" s="12">
        <f t="shared" si="5"/>
        <v>0</v>
      </c>
    </row>
    <row r="341" spans="1:12" x14ac:dyDescent="0.3">
      <c r="A341" t="str">
        <f>'Raw Orders'!A341</f>
        <v>NX-00337</v>
      </c>
      <c r="B341" t="str">
        <f>'Raw Orders'!B341</f>
        <v>LATAM</v>
      </c>
      <c r="C341" t="str">
        <f>'Raw Orders'!C341</f>
        <v>LATAM</v>
      </c>
      <c r="D341" s="11">
        <f>'Raw Orders'!E341</f>
        <v>8.8000000000000007</v>
      </c>
      <c r="E341" s="12">
        <f>'Raw Orders'!F341</f>
        <v>695200</v>
      </c>
      <c r="F341" s="12">
        <f>'Raw Orders'!F341*0.75</f>
        <v>521400</v>
      </c>
      <c r="G341" s="10">
        <f>'Raw Orders'!H341</f>
        <v>45901</v>
      </c>
      <c r="H341" s="10">
        <f>'Raw Orders'!I341</f>
        <v>45931</v>
      </c>
      <c r="I341" s="11">
        <f>'Raw Orders'!K341</f>
        <v>0.83</v>
      </c>
      <c r="J341" s="11">
        <f>IF('Raw Orders'!J341,"",(YEAR('Raw Orders'!I341)-YEAR('Raw Orders'!H341))*12+MONTH('Raw Orders'!I341)-MONTH('Raw Orders'!H341))</f>
        <v>1</v>
      </c>
      <c r="K341" t="str">
        <f>IF('Raw Orders'!J341,"Cancelled",IF('Raw Orders'!K341&gt;=2,"Slipped","On plan"))</f>
        <v>On plan</v>
      </c>
      <c r="L341" s="12">
        <f t="shared" si="5"/>
        <v>0</v>
      </c>
    </row>
    <row r="342" spans="1:12" x14ac:dyDescent="0.3">
      <c r="A342" t="str">
        <f>'Raw Orders'!A342</f>
        <v>NX-00338</v>
      </c>
      <c r="B342" t="str">
        <f>'Raw Orders'!B342</f>
        <v>North America</v>
      </c>
      <c r="C342" t="str">
        <f>'Raw Orders'!C342</f>
        <v>US / Canada</v>
      </c>
      <c r="D342" s="11">
        <f>'Raw Orders'!E342</f>
        <v>4.3</v>
      </c>
      <c r="E342" s="12">
        <f>'Raw Orders'!F342</f>
        <v>356900</v>
      </c>
      <c r="F342" s="12">
        <f>'Raw Orders'!F342*0.75</f>
        <v>267675</v>
      </c>
      <c r="G342" s="10">
        <f>'Raw Orders'!H342</f>
        <v>45931</v>
      </c>
      <c r="H342" s="10">
        <f>'Raw Orders'!I342</f>
        <v>45931</v>
      </c>
      <c r="I342" s="11">
        <f>'Raw Orders'!K342</f>
        <v>0.01</v>
      </c>
      <c r="J342" s="11">
        <f>IF('Raw Orders'!J342,"",(YEAR('Raw Orders'!I342)-YEAR('Raw Orders'!H342))*12+MONTH('Raw Orders'!I342)-MONTH('Raw Orders'!H342))</f>
        <v>0</v>
      </c>
      <c r="K342" t="str">
        <f>IF('Raw Orders'!J342,"Cancelled",IF('Raw Orders'!K342&gt;=2,"Slipped","On plan"))</f>
        <v>On plan</v>
      </c>
      <c r="L342" s="12">
        <f t="shared" si="5"/>
        <v>0</v>
      </c>
    </row>
    <row r="343" spans="1:12" x14ac:dyDescent="0.3">
      <c r="A343" t="str">
        <f>'Raw Orders'!A343</f>
        <v>NX-00339</v>
      </c>
      <c r="B343" t="str">
        <f>'Raw Orders'!B343</f>
        <v>North America</v>
      </c>
      <c r="C343" t="str">
        <f>'Raw Orders'!C343</f>
        <v>US / Canada</v>
      </c>
      <c r="D343" s="11">
        <f>'Raw Orders'!E343</f>
        <v>8.5</v>
      </c>
      <c r="E343" s="12">
        <f>'Raw Orders'!F343</f>
        <v>705500</v>
      </c>
      <c r="F343" s="12">
        <f>'Raw Orders'!F343*0.75</f>
        <v>529125</v>
      </c>
      <c r="G343" s="10">
        <f>'Raw Orders'!H343</f>
        <v>45778</v>
      </c>
      <c r="H343" s="10">
        <f>'Raw Orders'!I343</f>
        <v>45778</v>
      </c>
      <c r="I343" s="11">
        <f>'Raw Orders'!K343</f>
        <v>0.43</v>
      </c>
      <c r="J343" s="11">
        <f>IF('Raw Orders'!J343,"",(YEAR('Raw Orders'!I343)-YEAR('Raw Orders'!H343))*12+MONTH('Raw Orders'!I343)-MONTH('Raw Orders'!H343))</f>
        <v>0</v>
      </c>
      <c r="K343" t="str">
        <f>IF('Raw Orders'!J343,"Cancelled",IF('Raw Orders'!K343&gt;=2,"Slipped","On plan"))</f>
        <v>On plan</v>
      </c>
      <c r="L343" s="12">
        <f t="shared" si="5"/>
        <v>0</v>
      </c>
    </row>
    <row r="344" spans="1:12" x14ac:dyDescent="0.3">
      <c r="A344" t="str">
        <f>'Raw Orders'!A344</f>
        <v>NX-00340</v>
      </c>
      <c r="B344" t="str">
        <f>'Raw Orders'!B344</f>
        <v>North America</v>
      </c>
      <c r="C344" t="str">
        <f>'Raw Orders'!C344</f>
        <v>US / Canada</v>
      </c>
      <c r="D344" s="11">
        <f>'Raw Orders'!E344</f>
        <v>11.2</v>
      </c>
      <c r="E344" s="12">
        <f>'Raw Orders'!F344</f>
        <v>929600</v>
      </c>
      <c r="F344" s="12">
        <f>'Raw Orders'!F344*0.75</f>
        <v>697200</v>
      </c>
      <c r="G344" s="10">
        <f>'Raw Orders'!H344</f>
        <v>45901</v>
      </c>
      <c r="H344" s="10">
        <f>'Raw Orders'!I344</f>
        <v>45901</v>
      </c>
      <c r="I344" s="11">
        <f>'Raw Orders'!K344</f>
        <v>0.41</v>
      </c>
      <c r="J344" s="11">
        <f>IF('Raw Orders'!J344,"",(YEAR('Raw Orders'!I344)-YEAR('Raw Orders'!H344))*12+MONTH('Raw Orders'!I344)-MONTH('Raw Orders'!H344))</f>
        <v>0</v>
      </c>
      <c r="K344" t="str">
        <f>IF('Raw Orders'!J344,"Cancelled",IF('Raw Orders'!K344&gt;=2,"Slipped","On plan"))</f>
        <v>On plan</v>
      </c>
      <c r="L344" s="12">
        <f t="shared" si="5"/>
        <v>0</v>
      </c>
    </row>
    <row r="345" spans="1:12" x14ac:dyDescent="0.3">
      <c r="A345" t="str">
        <f>'Raw Orders'!A345</f>
        <v>NX-00341</v>
      </c>
      <c r="B345" t="str">
        <f>'Raw Orders'!B345</f>
        <v>North America</v>
      </c>
      <c r="C345" t="str">
        <f>'Raw Orders'!C345</f>
        <v>US / Canada</v>
      </c>
      <c r="D345" s="11">
        <f>'Raw Orders'!E345</f>
        <v>3.9</v>
      </c>
      <c r="E345" s="12">
        <f>'Raw Orders'!F345</f>
        <v>323700</v>
      </c>
      <c r="F345" s="12">
        <f>'Raw Orders'!F345*0.75</f>
        <v>242775</v>
      </c>
      <c r="G345" s="10">
        <f>'Raw Orders'!H345</f>
        <v>45901</v>
      </c>
      <c r="H345" s="10">
        <f>'Raw Orders'!I345</f>
        <v>45901</v>
      </c>
      <c r="I345" s="11">
        <f>'Raw Orders'!K345</f>
        <v>0.13</v>
      </c>
      <c r="J345" s="11">
        <f>IF('Raw Orders'!J345,"",(YEAR('Raw Orders'!I345)-YEAR('Raw Orders'!H345))*12+MONTH('Raw Orders'!I345)-MONTH('Raw Orders'!H345))</f>
        <v>0</v>
      </c>
      <c r="K345" t="str">
        <f>IF('Raw Orders'!J345,"Cancelled",IF('Raw Orders'!K345&gt;=2,"Slipped","On plan"))</f>
        <v>On plan</v>
      </c>
      <c r="L345" s="12">
        <f t="shared" si="5"/>
        <v>0</v>
      </c>
    </row>
    <row r="346" spans="1:12" x14ac:dyDescent="0.3">
      <c r="A346" t="str">
        <f>'Raw Orders'!A346</f>
        <v>NX-00342</v>
      </c>
      <c r="B346" t="str">
        <f>'Raw Orders'!B346</f>
        <v>North America</v>
      </c>
      <c r="C346" t="str">
        <f>'Raw Orders'!C346</f>
        <v>US / Canada</v>
      </c>
      <c r="D346" s="11">
        <f>'Raw Orders'!E346</f>
        <v>20.7</v>
      </c>
      <c r="E346" s="12">
        <f>'Raw Orders'!F346</f>
        <v>1718100</v>
      </c>
      <c r="F346" s="12">
        <f>'Raw Orders'!F346*0.75</f>
        <v>1288575</v>
      </c>
      <c r="G346" s="10">
        <f>'Raw Orders'!H346</f>
        <v>45901</v>
      </c>
      <c r="H346" s="10">
        <f>'Raw Orders'!I346</f>
        <v>45931</v>
      </c>
      <c r="I346" s="11">
        <f>'Raw Orders'!K346</f>
        <v>1.35</v>
      </c>
      <c r="J346" s="11">
        <f>IF('Raw Orders'!J346,"",(YEAR('Raw Orders'!I346)-YEAR('Raw Orders'!H346))*12+MONTH('Raw Orders'!I346)-MONTH('Raw Orders'!H346))</f>
        <v>1</v>
      </c>
      <c r="K346" t="str">
        <f>IF('Raw Orders'!J346,"Cancelled",IF('Raw Orders'!K346&gt;=2,"Slipped","On plan"))</f>
        <v>On plan</v>
      </c>
      <c r="L346" s="12">
        <f t="shared" si="5"/>
        <v>0</v>
      </c>
    </row>
    <row r="347" spans="1:12" x14ac:dyDescent="0.3">
      <c r="A347" t="str">
        <f>'Raw Orders'!A347</f>
        <v>NX-00343</v>
      </c>
      <c r="B347" t="str">
        <f>'Raw Orders'!B347</f>
        <v>North America</v>
      </c>
      <c r="C347" t="str">
        <f>'Raw Orders'!C347</f>
        <v>US / Canada</v>
      </c>
      <c r="D347" s="11">
        <f>'Raw Orders'!E347</f>
        <v>4.4000000000000004</v>
      </c>
      <c r="E347" s="12">
        <f>'Raw Orders'!F347</f>
        <v>365200.00000000012</v>
      </c>
      <c r="F347" s="12">
        <f>'Raw Orders'!F347*0.75</f>
        <v>273900.00000000012</v>
      </c>
      <c r="G347" s="10">
        <f>'Raw Orders'!H347</f>
        <v>45901</v>
      </c>
      <c r="H347" s="10">
        <f>'Raw Orders'!I347</f>
        <v>45901</v>
      </c>
      <c r="I347" s="11">
        <f>'Raw Orders'!K347</f>
        <v>0</v>
      </c>
      <c r="J347" s="11">
        <f>IF('Raw Orders'!J347,"",(YEAR('Raw Orders'!I347)-YEAR('Raw Orders'!H347))*12+MONTH('Raw Orders'!I347)-MONTH('Raw Orders'!H347))</f>
        <v>0</v>
      </c>
      <c r="K347" t="str">
        <f>IF('Raw Orders'!J347,"Cancelled",IF('Raw Orders'!K347&gt;=2,"Slipped","On plan"))</f>
        <v>On plan</v>
      </c>
      <c r="L347" s="12">
        <f t="shared" si="5"/>
        <v>0</v>
      </c>
    </row>
    <row r="348" spans="1:12" x14ac:dyDescent="0.3">
      <c r="A348" t="str">
        <f>'Raw Orders'!A348</f>
        <v>NX-00344</v>
      </c>
      <c r="B348" t="str">
        <f>'Raw Orders'!B348</f>
        <v>North America</v>
      </c>
      <c r="C348" t="str">
        <f>'Raw Orders'!C348</f>
        <v>US / Canada</v>
      </c>
      <c r="D348" s="11">
        <f>'Raw Orders'!E348</f>
        <v>7.5</v>
      </c>
      <c r="E348" s="12">
        <f>'Raw Orders'!F348</f>
        <v>622500</v>
      </c>
      <c r="F348" s="12">
        <f>'Raw Orders'!F348*0.75</f>
        <v>466875</v>
      </c>
      <c r="G348" s="10">
        <f>'Raw Orders'!H348</f>
        <v>45901</v>
      </c>
      <c r="H348" s="10">
        <f>'Raw Orders'!I348</f>
        <v>45901</v>
      </c>
      <c r="I348" s="11">
        <f>'Raw Orders'!K348</f>
        <v>0.01</v>
      </c>
      <c r="J348" s="11">
        <f>IF('Raw Orders'!J348,"",(YEAR('Raw Orders'!I348)-YEAR('Raw Orders'!H348))*12+MONTH('Raw Orders'!I348)-MONTH('Raw Orders'!H348))</f>
        <v>0</v>
      </c>
      <c r="K348" t="str">
        <f>IF('Raw Orders'!J348,"Cancelled",IF('Raw Orders'!K348&gt;=2,"Slipped","On plan"))</f>
        <v>On plan</v>
      </c>
      <c r="L348" s="12">
        <f t="shared" si="5"/>
        <v>0</v>
      </c>
    </row>
    <row r="349" spans="1:12" x14ac:dyDescent="0.3">
      <c r="A349" t="str">
        <f>'Raw Orders'!A349</f>
        <v>NX-00345</v>
      </c>
      <c r="B349" t="str">
        <f>'Raw Orders'!B349</f>
        <v>North America</v>
      </c>
      <c r="C349" t="str">
        <f>'Raw Orders'!C349</f>
        <v>US / Canada</v>
      </c>
      <c r="D349" s="11">
        <f>'Raw Orders'!E349</f>
        <v>28.7</v>
      </c>
      <c r="E349" s="12">
        <f>'Raw Orders'!F349</f>
        <v>2382100</v>
      </c>
      <c r="F349" s="12">
        <f>'Raw Orders'!F349*0.75</f>
        <v>1786575</v>
      </c>
      <c r="G349" s="10">
        <f>'Raw Orders'!H349</f>
        <v>45809</v>
      </c>
      <c r="H349" s="10">
        <f>'Raw Orders'!I349</f>
        <v>45809</v>
      </c>
      <c r="I349" s="11">
        <f>'Raw Orders'!K349</f>
        <v>0.05</v>
      </c>
      <c r="J349" s="11">
        <f>IF('Raw Orders'!J349,"",(YEAR('Raw Orders'!I349)-YEAR('Raw Orders'!H349))*12+MONTH('Raw Orders'!I349)-MONTH('Raw Orders'!H349))</f>
        <v>0</v>
      </c>
      <c r="K349" t="str">
        <f>IF('Raw Orders'!J349,"Cancelled",IF('Raw Orders'!K349&gt;=2,"Slipped","On plan"))</f>
        <v>On plan</v>
      </c>
      <c r="L349" s="12">
        <f t="shared" si="5"/>
        <v>0</v>
      </c>
    </row>
    <row r="350" spans="1:12" x14ac:dyDescent="0.3">
      <c r="A350" t="str">
        <f>'Raw Orders'!A350</f>
        <v>NX-00346</v>
      </c>
      <c r="B350" t="str">
        <f>'Raw Orders'!B350</f>
        <v>North America</v>
      </c>
      <c r="C350" t="str">
        <f>'Raw Orders'!C350</f>
        <v>US / Canada</v>
      </c>
      <c r="D350" s="11">
        <f>'Raw Orders'!E350</f>
        <v>30.2</v>
      </c>
      <c r="E350" s="12">
        <f>'Raw Orders'!F350</f>
        <v>2506600</v>
      </c>
      <c r="F350" s="12">
        <f>'Raw Orders'!F350*0.75</f>
        <v>1879950</v>
      </c>
      <c r="G350" s="10">
        <f>'Raw Orders'!H350</f>
        <v>45870</v>
      </c>
      <c r="H350" s="10">
        <f>'Raw Orders'!I350</f>
        <v>45901</v>
      </c>
      <c r="I350" s="11">
        <f>'Raw Orders'!K350</f>
        <v>0.68</v>
      </c>
      <c r="J350" s="11">
        <f>IF('Raw Orders'!J350,"",(YEAR('Raw Orders'!I350)-YEAR('Raw Orders'!H350))*12+MONTH('Raw Orders'!I350)-MONTH('Raw Orders'!H350))</f>
        <v>1</v>
      </c>
      <c r="K350" t="str">
        <f>IF('Raw Orders'!J350,"Cancelled",IF('Raw Orders'!K350&gt;=2,"Slipped","On plan"))</f>
        <v>On plan</v>
      </c>
      <c r="L350" s="12">
        <f t="shared" si="5"/>
        <v>0</v>
      </c>
    </row>
    <row r="351" spans="1:12" x14ac:dyDescent="0.3">
      <c r="A351" t="str">
        <f>'Raw Orders'!A351</f>
        <v>NX-00347</v>
      </c>
      <c r="B351" t="str">
        <f>'Raw Orders'!B351</f>
        <v>North America</v>
      </c>
      <c r="C351" t="str">
        <f>'Raw Orders'!C351</f>
        <v>US / Canada</v>
      </c>
      <c r="D351" s="11">
        <f>'Raw Orders'!E351</f>
        <v>13.2</v>
      </c>
      <c r="E351" s="12">
        <f>'Raw Orders'!F351</f>
        <v>1095600</v>
      </c>
      <c r="F351" s="12">
        <f>'Raw Orders'!F351*0.75</f>
        <v>821700</v>
      </c>
      <c r="G351" s="10">
        <f>'Raw Orders'!H351</f>
        <v>45870</v>
      </c>
      <c r="H351" s="10">
        <f>'Raw Orders'!I351</f>
        <v>45870</v>
      </c>
      <c r="I351" s="11">
        <f>'Raw Orders'!K351</f>
        <v>0</v>
      </c>
      <c r="J351" s="11">
        <f>IF('Raw Orders'!J351,"",(YEAR('Raw Orders'!I351)-YEAR('Raw Orders'!H351))*12+MONTH('Raw Orders'!I351)-MONTH('Raw Orders'!H351))</f>
        <v>0</v>
      </c>
      <c r="K351" t="str">
        <f>IF('Raw Orders'!J351,"Cancelled",IF('Raw Orders'!K351&gt;=2,"Slipped","On plan"))</f>
        <v>On plan</v>
      </c>
      <c r="L351" s="12">
        <f t="shared" si="5"/>
        <v>0</v>
      </c>
    </row>
    <row r="352" spans="1:12" x14ac:dyDescent="0.3">
      <c r="A352" t="str">
        <f>'Raw Orders'!A352</f>
        <v>NX-00348</v>
      </c>
      <c r="B352" t="str">
        <f>'Raw Orders'!B352</f>
        <v>North America</v>
      </c>
      <c r="C352" t="str">
        <f>'Raw Orders'!C352</f>
        <v>US / Canada</v>
      </c>
      <c r="D352" s="11">
        <f>'Raw Orders'!E352</f>
        <v>21.8</v>
      </c>
      <c r="E352" s="12">
        <f>'Raw Orders'!F352</f>
        <v>1809400</v>
      </c>
      <c r="F352" s="12">
        <f>'Raw Orders'!F352*0.75</f>
        <v>1357050</v>
      </c>
      <c r="G352" s="10">
        <f>'Raw Orders'!H352</f>
        <v>45778</v>
      </c>
      <c r="H352" s="10">
        <f>'Raw Orders'!I352</f>
        <v>0</v>
      </c>
      <c r="I352" s="11">
        <f>'Raw Orders'!K352</f>
        <v>0.01</v>
      </c>
      <c r="J352" s="11" t="str">
        <f>IF('Raw Orders'!J352,"",(YEAR('Raw Orders'!I352)-YEAR('Raw Orders'!H352))*12+MONTH('Raw Orders'!I352)-MONTH('Raw Orders'!H352))</f>
        <v/>
      </c>
      <c r="K352" t="str">
        <f>IF('Raw Orders'!J352,"Cancelled",IF('Raw Orders'!K352&gt;=2,"Slipped","On plan"))</f>
        <v>Cancelled</v>
      </c>
      <c r="L352" s="12">
        <f t="shared" si="5"/>
        <v>1357050</v>
      </c>
    </row>
    <row r="353" spans="1:12" x14ac:dyDescent="0.3">
      <c r="A353" t="str">
        <f>'Raw Orders'!A353</f>
        <v>NX-00349</v>
      </c>
      <c r="B353" t="str">
        <f>'Raw Orders'!B353</f>
        <v>North America</v>
      </c>
      <c r="C353" t="str">
        <f>'Raw Orders'!C353</f>
        <v>US / Canada</v>
      </c>
      <c r="D353" s="11">
        <f>'Raw Orders'!E353</f>
        <v>23</v>
      </c>
      <c r="E353" s="12">
        <f>'Raw Orders'!F353</f>
        <v>1909000</v>
      </c>
      <c r="F353" s="12">
        <f>'Raw Orders'!F353*0.75</f>
        <v>1431750</v>
      </c>
      <c r="G353" s="10">
        <f>'Raw Orders'!H353</f>
        <v>45748</v>
      </c>
      <c r="H353" s="10">
        <f>'Raw Orders'!I353</f>
        <v>45748</v>
      </c>
      <c r="I353" s="11">
        <f>'Raw Orders'!K353</f>
        <v>0</v>
      </c>
      <c r="J353" s="11">
        <f>IF('Raw Orders'!J353,"",(YEAR('Raw Orders'!I353)-YEAR('Raw Orders'!H353))*12+MONTH('Raw Orders'!I353)-MONTH('Raw Orders'!H353))</f>
        <v>0</v>
      </c>
      <c r="K353" t="str">
        <f>IF('Raw Orders'!J353,"Cancelled",IF('Raw Orders'!K353&gt;=2,"Slipped","On plan"))</f>
        <v>On plan</v>
      </c>
      <c r="L353" s="12">
        <f t="shared" si="5"/>
        <v>0</v>
      </c>
    </row>
    <row r="354" spans="1:12" x14ac:dyDescent="0.3">
      <c r="A354" t="str">
        <f>'Raw Orders'!A354</f>
        <v>NX-00350</v>
      </c>
      <c r="B354" t="str">
        <f>'Raw Orders'!B354</f>
        <v>North America</v>
      </c>
      <c r="C354" t="str">
        <f>'Raw Orders'!C354</f>
        <v>US / Canada</v>
      </c>
      <c r="D354" s="11">
        <f>'Raw Orders'!E354</f>
        <v>22.3</v>
      </c>
      <c r="E354" s="12">
        <f>'Raw Orders'!F354</f>
        <v>1850900</v>
      </c>
      <c r="F354" s="12">
        <f>'Raw Orders'!F354*0.75</f>
        <v>1388175</v>
      </c>
      <c r="G354" s="10">
        <f>'Raw Orders'!H354</f>
        <v>45870</v>
      </c>
      <c r="H354" s="10">
        <f>'Raw Orders'!I354</f>
        <v>45870</v>
      </c>
      <c r="I354" s="11">
        <f>'Raw Orders'!K354</f>
        <v>0</v>
      </c>
      <c r="J354" s="11">
        <f>IF('Raw Orders'!J354,"",(YEAR('Raw Orders'!I354)-YEAR('Raw Orders'!H354))*12+MONTH('Raw Orders'!I354)-MONTH('Raw Orders'!H354))</f>
        <v>0</v>
      </c>
      <c r="K354" t="str">
        <f>IF('Raw Orders'!J354,"Cancelled",IF('Raw Orders'!K354&gt;=2,"Slipped","On plan"))</f>
        <v>On plan</v>
      </c>
      <c r="L354" s="12">
        <f t="shared" si="5"/>
        <v>0</v>
      </c>
    </row>
    <row r="355" spans="1:12" x14ac:dyDescent="0.3">
      <c r="A355" t="str">
        <f>'Raw Orders'!A355</f>
        <v>NX-00351</v>
      </c>
      <c r="B355" t="str">
        <f>'Raw Orders'!B355</f>
        <v>North America</v>
      </c>
      <c r="C355" t="str">
        <f>'Raw Orders'!C355</f>
        <v>US / Canada</v>
      </c>
      <c r="D355" s="11">
        <f>'Raw Orders'!E355</f>
        <v>16.8</v>
      </c>
      <c r="E355" s="12">
        <f>'Raw Orders'!F355</f>
        <v>1394400</v>
      </c>
      <c r="F355" s="12">
        <f>'Raw Orders'!F355*0.75</f>
        <v>1045800</v>
      </c>
      <c r="G355" s="10">
        <f>'Raw Orders'!H355</f>
        <v>45931</v>
      </c>
      <c r="H355" s="10">
        <f>'Raw Orders'!I355</f>
        <v>45931</v>
      </c>
      <c r="I355" s="11">
        <f>'Raw Orders'!K355</f>
        <v>0.08</v>
      </c>
      <c r="J355" s="11">
        <f>IF('Raw Orders'!J355,"",(YEAR('Raw Orders'!I355)-YEAR('Raw Orders'!H355))*12+MONTH('Raw Orders'!I355)-MONTH('Raw Orders'!H355))</f>
        <v>0</v>
      </c>
      <c r="K355" t="str">
        <f>IF('Raw Orders'!J355,"Cancelled",IF('Raw Orders'!K355&gt;=2,"Slipped","On plan"))</f>
        <v>On plan</v>
      </c>
      <c r="L355" s="12">
        <f t="shared" si="5"/>
        <v>0</v>
      </c>
    </row>
    <row r="356" spans="1:12" x14ac:dyDescent="0.3">
      <c r="A356" t="str">
        <f>'Raw Orders'!A356</f>
        <v>NX-00352</v>
      </c>
      <c r="B356" t="str">
        <f>'Raw Orders'!B356</f>
        <v>North America</v>
      </c>
      <c r="C356" t="str">
        <f>'Raw Orders'!C356</f>
        <v>US / Canada</v>
      </c>
      <c r="D356" s="11">
        <f>'Raw Orders'!E356</f>
        <v>42.9</v>
      </c>
      <c r="E356" s="12">
        <f>'Raw Orders'!F356</f>
        <v>3560700</v>
      </c>
      <c r="F356" s="12">
        <f>'Raw Orders'!F356*0.75</f>
        <v>2670525</v>
      </c>
      <c r="G356" s="10">
        <f>'Raw Orders'!H356</f>
        <v>45809</v>
      </c>
      <c r="H356" s="10">
        <f>'Raw Orders'!I356</f>
        <v>45809</v>
      </c>
      <c r="I356" s="11">
        <f>'Raw Orders'!K356</f>
        <v>0.01</v>
      </c>
      <c r="J356" s="11">
        <f>IF('Raw Orders'!J356,"",(YEAR('Raw Orders'!I356)-YEAR('Raw Orders'!H356))*12+MONTH('Raw Orders'!I356)-MONTH('Raw Orders'!H356))</f>
        <v>0</v>
      </c>
      <c r="K356" t="str">
        <f>IF('Raw Orders'!J356,"Cancelled",IF('Raw Orders'!K356&gt;=2,"Slipped","On plan"))</f>
        <v>On plan</v>
      </c>
      <c r="L356" s="12">
        <f t="shared" si="5"/>
        <v>0</v>
      </c>
    </row>
    <row r="357" spans="1:12" x14ac:dyDescent="0.3">
      <c r="A357" t="str">
        <f>'Raw Orders'!A357</f>
        <v>NX-00353</v>
      </c>
      <c r="B357" t="str">
        <f>'Raw Orders'!B357</f>
        <v>North America</v>
      </c>
      <c r="C357" t="str">
        <f>'Raw Orders'!C357</f>
        <v>US / Canada</v>
      </c>
      <c r="D357" s="11">
        <f>'Raw Orders'!E357</f>
        <v>8</v>
      </c>
      <c r="E357" s="12">
        <f>'Raw Orders'!F357</f>
        <v>664000</v>
      </c>
      <c r="F357" s="12">
        <f>'Raw Orders'!F357*0.75</f>
        <v>498000</v>
      </c>
      <c r="G357" s="10">
        <f>'Raw Orders'!H357</f>
        <v>45809</v>
      </c>
      <c r="H357" s="10">
        <f>'Raw Orders'!I357</f>
        <v>45809</v>
      </c>
      <c r="I357" s="11">
        <f>'Raw Orders'!K357</f>
        <v>0.01</v>
      </c>
      <c r="J357" s="11">
        <f>IF('Raw Orders'!J357,"",(YEAR('Raw Orders'!I357)-YEAR('Raw Orders'!H357))*12+MONTH('Raw Orders'!I357)-MONTH('Raw Orders'!H357))</f>
        <v>0</v>
      </c>
      <c r="K357" t="str">
        <f>IF('Raw Orders'!J357,"Cancelled",IF('Raw Orders'!K357&gt;=2,"Slipped","On plan"))</f>
        <v>On plan</v>
      </c>
      <c r="L357" s="12">
        <f t="shared" si="5"/>
        <v>0</v>
      </c>
    </row>
    <row r="358" spans="1:12" x14ac:dyDescent="0.3">
      <c r="A358" t="str">
        <f>'Raw Orders'!A358</f>
        <v>NX-00354</v>
      </c>
      <c r="B358" t="str">
        <f>'Raw Orders'!B358</f>
        <v>North America</v>
      </c>
      <c r="C358" t="str">
        <f>'Raw Orders'!C358</f>
        <v>US / Canada</v>
      </c>
      <c r="D358" s="11">
        <f>'Raw Orders'!E358</f>
        <v>15.7</v>
      </c>
      <c r="E358" s="12">
        <f>'Raw Orders'!F358</f>
        <v>1303100</v>
      </c>
      <c r="F358" s="12">
        <f>'Raw Orders'!F358*0.75</f>
        <v>977325</v>
      </c>
      <c r="G358" s="10">
        <f>'Raw Orders'!H358</f>
        <v>45901</v>
      </c>
      <c r="H358" s="10">
        <f>'Raw Orders'!I358</f>
        <v>45931</v>
      </c>
      <c r="I358" s="11">
        <f>'Raw Orders'!K358</f>
        <v>0.57999999999999996</v>
      </c>
      <c r="J358" s="11">
        <f>IF('Raw Orders'!J358,"",(YEAR('Raw Orders'!I358)-YEAR('Raw Orders'!H358))*12+MONTH('Raw Orders'!I358)-MONTH('Raw Orders'!H358))</f>
        <v>1</v>
      </c>
      <c r="K358" t="str">
        <f>IF('Raw Orders'!J358,"Cancelled",IF('Raw Orders'!K358&gt;=2,"Slipped","On plan"))</f>
        <v>On plan</v>
      </c>
      <c r="L358" s="12">
        <f t="shared" si="5"/>
        <v>0</v>
      </c>
    </row>
    <row r="359" spans="1:12" x14ac:dyDescent="0.3">
      <c r="A359" t="str">
        <f>'Raw Orders'!A359</f>
        <v>NX-00355</v>
      </c>
      <c r="B359" t="str">
        <f>'Raw Orders'!B359</f>
        <v>North America</v>
      </c>
      <c r="C359" t="str">
        <f>'Raw Orders'!C359</f>
        <v>US / Canada</v>
      </c>
      <c r="D359" s="11">
        <f>'Raw Orders'!E359</f>
        <v>114.9</v>
      </c>
      <c r="E359" s="12">
        <f>'Raw Orders'!F359</f>
        <v>9536700</v>
      </c>
      <c r="F359" s="12">
        <f>'Raw Orders'!F359*0.75</f>
        <v>7152525</v>
      </c>
      <c r="G359" s="10">
        <f>'Raw Orders'!H359</f>
        <v>45931</v>
      </c>
      <c r="H359" s="10">
        <f>'Raw Orders'!I359</f>
        <v>45931</v>
      </c>
      <c r="I359" s="11">
        <f>'Raw Orders'!K359</f>
        <v>0.03</v>
      </c>
      <c r="J359" s="11">
        <f>IF('Raw Orders'!J359,"",(YEAR('Raw Orders'!I359)-YEAR('Raw Orders'!H359))*12+MONTH('Raw Orders'!I359)-MONTH('Raw Orders'!H359))</f>
        <v>0</v>
      </c>
      <c r="K359" t="str">
        <f>IF('Raw Orders'!J359,"Cancelled",IF('Raw Orders'!K359&gt;=2,"Slipped","On plan"))</f>
        <v>On plan</v>
      </c>
      <c r="L359" s="12">
        <f t="shared" si="5"/>
        <v>0</v>
      </c>
    </row>
    <row r="360" spans="1:12" x14ac:dyDescent="0.3">
      <c r="A360" t="str">
        <f>'Raw Orders'!A360</f>
        <v>NX-00356</v>
      </c>
      <c r="B360" t="str">
        <f>'Raw Orders'!B360</f>
        <v>North America</v>
      </c>
      <c r="C360" t="str">
        <f>'Raw Orders'!C360</f>
        <v>US / Canada</v>
      </c>
      <c r="D360" s="11">
        <f>'Raw Orders'!E360</f>
        <v>6.1</v>
      </c>
      <c r="E360" s="12">
        <f>'Raw Orders'!F360</f>
        <v>506300</v>
      </c>
      <c r="F360" s="12">
        <f>'Raw Orders'!F360*0.75</f>
        <v>379725</v>
      </c>
      <c r="G360" s="10">
        <f>'Raw Orders'!H360</f>
        <v>45901</v>
      </c>
      <c r="H360" s="10">
        <f>'Raw Orders'!I360</f>
        <v>45901</v>
      </c>
      <c r="I360" s="11">
        <f>'Raw Orders'!K360</f>
        <v>0.27</v>
      </c>
      <c r="J360" s="11">
        <f>IF('Raw Orders'!J360,"",(YEAR('Raw Orders'!I360)-YEAR('Raw Orders'!H360))*12+MONTH('Raw Orders'!I360)-MONTH('Raw Orders'!H360))</f>
        <v>0</v>
      </c>
      <c r="K360" t="str">
        <f>IF('Raw Orders'!J360,"Cancelled",IF('Raw Orders'!K360&gt;=2,"Slipped","On plan"))</f>
        <v>On plan</v>
      </c>
      <c r="L360" s="12">
        <f t="shared" si="5"/>
        <v>0</v>
      </c>
    </row>
    <row r="361" spans="1:12" x14ac:dyDescent="0.3">
      <c r="A361" t="str">
        <f>'Raw Orders'!A361</f>
        <v>NX-00357</v>
      </c>
      <c r="B361" t="str">
        <f>'Raw Orders'!B361</f>
        <v>North America</v>
      </c>
      <c r="C361" t="str">
        <f>'Raw Orders'!C361</f>
        <v>US / Canada</v>
      </c>
      <c r="D361" s="11">
        <f>'Raw Orders'!E361</f>
        <v>13.2</v>
      </c>
      <c r="E361" s="12">
        <f>'Raw Orders'!F361</f>
        <v>1095600</v>
      </c>
      <c r="F361" s="12">
        <f>'Raw Orders'!F361*0.75</f>
        <v>821700</v>
      </c>
      <c r="G361" s="10">
        <f>'Raw Orders'!H361</f>
        <v>45870</v>
      </c>
      <c r="H361" s="10">
        <f>'Raw Orders'!I361</f>
        <v>45870</v>
      </c>
      <c r="I361" s="11">
        <f>'Raw Orders'!K361</f>
        <v>0.09</v>
      </c>
      <c r="J361" s="11">
        <f>IF('Raw Orders'!J361,"",(YEAR('Raw Orders'!I361)-YEAR('Raw Orders'!H361))*12+MONTH('Raw Orders'!I361)-MONTH('Raw Orders'!H361))</f>
        <v>0</v>
      </c>
      <c r="K361" t="str">
        <f>IF('Raw Orders'!J361,"Cancelled",IF('Raw Orders'!K361&gt;=2,"Slipped","On plan"))</f>
        <v>On plan</v>
      </c>
      <c r="L361" s="12">
        <f t="shared" si="5"/>
        <v>0</v>
      </c>
    </row>
    <row r="362" spans="1:12" x14ac:dyDescent="0.3">
      <c r="A362" t="str">
        <f>'Raw Orders'!A362</f>
        <v>NX-00358</v>
      </c>
      <c r="B362" t="str">
        <f>'Raw Orders'!B362</f>
        <v>North America</v>
      </c>
      <c r="C362" t="str">
        <f>'Raw Orders'!C362</f>
        <v>US / Canada</v>
      </c>
      <c r="D362" s="11">
        <f>'Raw Orders'!E362</f>
        <v>14.5</v>
      </c>
      <c r="E362" s="12">
        <f>'Raw Orders'!F362</f>
        <v>1203500</v>
      </c>
      <c r="F362" s="12">
        <f>'Raw Orders'!F362*0.75</f>
        <v>902625</v>
      </c>
      <c r="G362" s="10">
        <f>'Raw Orders'!H362</f>
        <v>45748</v>
      </c>
      <c r="H362" s="10">
        <f>'Raw Orders'!I362</f>
        <v>45748</v>
      </c>
      <c r="I362" s="11">
        <f>'Raw Orders'!K362</f>
        <v>0</v>
      </c>
      <c r="J362" s="11">
        <f>IF('Raw Orders'!J362,"",(YEAR('Raw Orders'!I362)-YEAR('Raw Orders'!H362))*12+MONTH('Raw Orders'!I362)-MONTH('Raw Orders'!H362))</f>
        <v>0</v>
      </c>
      <c r="K362" t="str">
        <f>IF('Raw Orders'!J362,"Cancelled",IF('Raw Orders'!K362&gt;=2,"Slipped","On plan"))</f>
        <v>On plan</v>
      </c>
      <c r="L362" s="12">
        <f t="shared" si="5"/>
        <v>0</v>
      </c>
    </row>
    <row r="363" spans="1:12" x14ac:dyDescent="0.3">
      <c r="A363" t="str">
        <f>'Raw Orders'!A363</f>
        <v>NX-00359</v>
      </c>
      <c r="B363" t="str">
        <f>'Raw Orders'!B363</f>
        <v>EMEA</v>
      </c>
      <c r="C363" t="str">
        <f>'Raw Orders'!C363</f>
        <v>Europe</v>
      </c>
      <c r="D363" s="11">
        <f>'Raw Orders'!E363</f>
        <v>5.9</v>
      </c>
      <c r="E363" s="12">
        <f>'Raw Orders'!F363</f>
        <v>519200.00000000012</v>
      </c>
      <c r="F363" s="12">
        <f>'Raw Orders'!F363*0.75</f>
        <v>389400.00000000012</v>
      </c>
      <c r="G363" s="10">
        <f>'Raw Orders'!H363</f>
        <v>45870</v>
      </c>
      <c r="H363" s="10">
        <f>'Raw Orders'!I363</f>
        <v>45870</v>
      </c>
      <c r="I363" s="11">
        <f>'Raw Orders'!K363</f>
        <v>0.06</v>
      </c>
      <c r="J363" s="11">
        <f>IF('Raw Orders'!J363,"",(YEAR('Raw Orders'!I363)-YEAR('Raw Orders'!H363))*12+MONTH('Raw Orders'!I363)-MONTH('Raw Orders'!H363))</f>
        <v>0</v>
      </c>
      <c r="K363" t="str">
        <f>IF('Raw Orders'!J363,"Cancelled",IF('Raw Orders'!K363&gt;=2,"Slipped","On plan"))</f>
        <v>On plan</v>
      </c>
      <c r="L363" s="12">
        <f t="shared" si="5"/>
        <v>0</v>
      </c>
    </row>
    <row r="364" spans="1:12" x14ac:dyDescent="0.3">
      <c r="A364" t="str">
        <f>'Raw Orders'!A364</f>
        <v>NX-00360</v>
      </c>
      <c r="B364" t="str">
        <f>'Raw Orders'!B364</f>
        <v>EMEA</v>
      </c>
      <c r="C364" t="str">
        <f>'Raw Orders'!C364</f>
        <v>Europe</v>
      </c>
      <c r="D364" s="11">
        <f>'Raw Orders'!E364</f>
        <v>27.4</v>
      </c>
      <c r="E364" s="12">
        <f>'Raw Orders'!F364</f>
        <v>2411200</v>
      </c>
      <c r="F364" s="12">
        <f>'Raw Orders'!F364*0.75</f>
        <v>1808400</v>
      </c>
      <c r="G364" s="10">
        <f>'Raw Orders'!H364</f>
        <v>45809</v>
      </c>
      <c r="H364" s="10">
        <f>'Raw Orders'!I364</f>
        <v>45809</v>
      </c>
      <c r="I364" s="11">
        <f>'Raw Orders'!K364</f>
        <v>0</v>
      </c>
      <c r="J364" s="11">
        <f>IF('Raw Orders'!J364,"",(YEAR('Raw Orders'!I364)-YEAR('Raw Orders'!H364))*12+MONTH('Raw Orders'!I364)-MONTH('Raw Orders'!H364))</f>
        <v>0</v>
      </c>
      <c r="K364" t="str">
        <f>IF('Raw Orders'!J364,"Cancelled",IF('Raw Orders'!K364&gt;=2,"Slipped","On plan"))</f>
        <v>On plan</v>
      </c>
      <c r="L364" s="12">
        <f t="shared" si="5"/>
        <v>0</v>
      </c>
    </row>
    <row r="365" spans="1:12" x14ac:dyDescent="0.3">
      <c r="A365" t="str">
        <f>'Raw Orders'!A365</f>
        <v>NX-00361</v>
      </c>
      <c r="B365" t="str">
        <f>'Raw Orders'!B365</f>
        <v>EMEA</v>
      </c>
      <c r="C365" t="str">
        <f>'Raw Orders'!C365</f>
        <v>Europe</v>
      </c>
      <c r="D365" s="11">
        <f>'Raw Orders'!E365</f>
        <v>6</v>
      </c>
      <c r="E365" s="12">
        <f>'Raw Orders'!F365</f>
        <v>528000</v>
      </c>
      <c r="F365" s="12">
        <f>'Raw Orders'!F365*0.75</f>
        <v>396000</v>
      </c>
      <c r="G365" s="10">
        <f>'Raw Orders'!H365</f>
        <v>45839</v>
      </c>
      <c r="H365" s="10">
        <f>'Raw Orders'!I365</f>
        <v>45839</v>
      </c>
      <c r="I365" s="11">
        <f>'Raw Orders'!K365</f>
        <v>0.09</v>
      </c>
      <c r="J365" s="11">
        <f>IF('Raw Orders'!J365,"",(YEAR('Raw Orders'!I365)-YEAR('Raw Orders'!H365))*12+MONTH('Raw Orders'!I365)-MONTH('Raw Orders'!H365))</f>
        <v>0</v>
      </c>
      <c r="K365" t="str">
        <f>IF('Raw Orders'!J365,"Cancelled",IF('Raw Orders'!K365&gt;=2,"Slipped","On plan"))</f>
        <v>On plan</v>
      </c>
      <c r="L365" s="12">
        <f t="shared" si="5"/>
        <v>0</v>
      </c>
    </row>
    <row r="366" spans="1:12" x14ac:dyDescent="0.3">
      <c r="A366" t="str">
        <f>'Raw Orders'!A366</f>
        <v>NX-00362</v>
      </c>
      <c r="B366" t="str">
        <f>'Raw Orders'!B366</f>
        <v>APAC</v>
      </c>
      <c r="C366" t="str">
        <f>'Raw Orders'!C366</f>
        <v>India</v>
      </c>
      <c r="D366" s="11">
        <f>'Raw Orders'!E366</f>
        <v>9.1</v>
      </c>
      <c r="E366" s="12">
        <f>'Raw Orders'!F366</f>
        <v>646100</v>
      </c>
      <c r="F366" s="12">
        <f>'Raw Orders'!F366*0.75</f>
        <v>484575</v>
      </c>
      <c r="G366" s="10">
        <f>'Raw Orders'!H366</f>
        <v>45809</v>
      </c>
      <c r="H366" s="10">
        <f>'Raw Orders'!I366</f>
        <v>0</v>
      </c>
      <c r="I366" s="11">
        <f>'Raw Orders'!K366</f>
        <v>8.02</v>
      </c>
      <c r="J366" s="11" t="str">
        <f>IF('Raw Orders'!J366,"",(YEAR('Raw Orders'!I366)-YEAR('Raw Orders'!H366))*12+MONTH('Raw Orders'!I366)-MONTH('Raw Orders'!H366))</f>
        <v/>
      </c>
      <c r="K366" t="str">
        <f>IF('Raw Orders'!J366,"Cancelled",IF('Raw Orders'!K366&gt;=2,"Slipped","On plan"))</f>
        <v>Cancelled</v>
      </c>
      <c r="L366" s="12">
        <f t="shared" si="5"/>
        <v>484575</v>
      </c>
    </row>
    <row r="367" spans="1:12" x14ac:dyDescent="0.3">
      <c r="A367" t="str">
        <f>'Raw Orders'!A367</f>
        <v>NX-00363</v>
      </c>
      <c r="B367" t="str">
        <f>'Raw Orders'!B367</f>
        <v>APAC</v>
      </c>
      <c r="C367" t="str">
        <f>'Raw Orders'!C367</f>
        <v>India</v>
      </c>
      <c r="D367" s="11">
        <f>'Raw Orders'!E367</f>
        <v>8.4</v>
      </c>
      <c r="E367" s="12">
        <f>'Raw Orders'!F367</f>
        <v>596400</v>
      </c>
      <c r="F367" s="12">
        <f>'Raw Orders'!F367*0.75</f>
        <v>447300</v>
      </c>
      <c r="G367" s="10">
        <f>'Raw Orders'!H367</f>
        <v>45870</v>
      </c>
      <c r="H367" s="10">
        <f>'Raw Orders'!I367</f>
        <v>45931</v>
      </c>
      <c r="I367" s="11">
        <f>'Raw Orders'!K367</f>
        <v>1.58</v>
      </c>
      <c r="J367" s="11">
        <f>IF('Raw Orders'!J367,"",(YEAR('Raw Orders'!I367)-YEAR('Raw Orders'!H367))*12+MONTH('Raw Orders'!I367)-MONTH('Raw Orders'!H367))</f>
        <v>2</v>
      </c>
      <c r="K367" t="str">
        <f>IF('Raw Orders'!J367,"Cancelled",IF('Raw Orders'!K367&gt;=2,"Slipped","On plan"))</f>
        <v>On plan</v>
      </c>
      <c r="L367" s="12">
        <f t="shared" si="5"/>
        <v>0</v>
      </c>
    </row>
    <row r="368" spans="1:12" x14ac:dyDescent="0.3">
      <c r="A368" t="str">
        <f>'Raw Orders'!A368</f>
        <v>NX-00364</v>
      </c>
      <c r="B368" t="str">
        <f>'Raw Orders'!B368</f>
        <v>APAC</v>
      </c>
      <c r="C368" t="str">
        <f>'Raw Orders'!C368</f>
        <v>Australia/SEA</v>
      </c>
      <c r="D368" s="11">
        <f>'Raw Orders'!E368</f>
        <v>9.1999999999999993</v>
      </c>
      <c r="E368" s="12">
        <f>'Raw Orders'!F368</f>
        <v>772799.99999999988</v>
      </c>
      <c r="F368" s="12">
        <f>'Raw Orders'!F368*0.75</f>
        <v>579599.99999999988</v>
      </c>
      <c r="G368" s="10">
        <f>'Raw Orders'!H368</f>
        <v>45931</v>
      </c>
      <c r="H368" s="10">
        <f>'Raw Orders'!I368</f>
        <v>46023</v>
      </c>
      <c r="I368" s="11">
        <f>'Raw Orders'!K368</f>
        <v>2.93</v>
      </c>
      <c r="J368" s="11">
        <f>IF('Raw Orders'!J368,"",(YEAR('Raw Orders'!I368)-YEAR('Raw Orders'!H368))*12+MONTH('Raw Orders'!I368)-MONTH('Raw Orders'!H368))</f>
        <v>3</v>
      </c>
      <c r="K368" t="str">
        <f>IF('Raw Orders'!J368,"Cancelled",IF('Raw Orders'!K368&gt;=2,"Slipped","On plan"))</f>
        <v>Slipped</v>
      </c>
      <c r="L368" s="12">
        <f t="shared" si="5"/>
        <v>579599.99999999988</v>
      </c>
    </row>
    <row r="369" spans="1:12" x14ac:dyDescent="0.3">
      <c r="A369" t="str">
        <f>'Raw Orders'!A369</f>
        <v>NX-00365</v>
      </c>
      <c r="B369" t="str">
        <f>'Raw Orders'!B369</f>
        <v>North America</v>
      </c>
      <c r="C369" t="str">
        <f>'Raw Orders'!C369</f>
        <v>US / Canada</v>
      </c>
      <c r="D369" s="11">
        <f>'Raw Orders'!E369</f>
        <v>8.6999999999999993</v>
      </c>
      <c r="E369" s="12">
        <f>'Raw Orders'!F369</f>
        <v>722099.99999999988</v>
      </c>
      <c r="F369" s="12">
        <f>'Raw Orders'!F369*0.75</f>
        <v>541574.99999999988</v>
      </c>
      <c r="G369" s="10">
        <f>'Raw Orders'!H369</f>
        <v>45901</v>
      </c>
      <c r="H369" s="10">
        <f>'Raw Orders'!I369</f>
        <v>45901</v>
      </c>
      <c r="I369" s="11">
        <f>'Raw Orders'!K369</f>
        <v>0.3</v>
      </c>
      <c r="J369" s="11">
        <f>IF('Raw Orders'!J369,"",(YEAR('Raw Orders'!I369)-YEAR('Raw Orders'!H369))*12+MONTH('Raw Orders'!I369)-MONTH('Raw Orders'!H369))</f>
        <v>0</v>
      </c>
      <c r="K369" t="str">
        <f>IF('Raw Orders'!J369,"Cancelled",IF('Raw Orders'!K369&gt;=2,"Slipped","On plan"))</f>
        <v>On plan</v>
      </c>
      <c r="L369" s="12">
        <f t="shared" si="5"/>
        <v>0</v>
      </c>
    </row>
    <row r="370" spans="1:12" x14ac:dyDescent="0.3">
      <c r="A370" t="str">
        <f>'Raw Orders'!A370</f>
        <v>NX-00366</v>
      </c>
      <c r="B370" t="str">
        <f>'Raw Orders'!B370</f>
        <v>North America</v>
      </c>
      <c r="C370" t="str">
        <f>'Raw Orders'!C370</f>
        <v>US / Canada</v>
      </c>
      <c r="D370" s="11">
        <f>'Raw Orders'!E370</f>
        <v>12.2</v>
      </c>
      <c r="E370" s="12">
        <f>'Raw Orders'!F370</f>
        <v>1012600</v>
      </c>
      <c r="F370" s="12">
        <f>'Raw Orders'!F370*0.75</f>
        <v>759450</v>
      </c>
      <c r="G370" s="10">
        <f>'Raw Orders'!H370</f>
        <v>45901</v>
      </c>
      <c r="H370" s="10">
        <f>'Raw Orders'!I370</f>
        <v>45901</v>
      </c>
      <c r="I370" s="11">
        <f>'Raw Orders'!K370</f>
        <v>0</v>
      </c>
      <c r="J370" s="11">
        <f>IF('Raw Orders'!J370,"",(YEAR('Raw Orders'!I370)-YEAR('Raw Orders'!H370))*12+MONTH('Raw Orders'!I370)-MONTH('Raw Orders'!H370))</f>
        <v>0</v>
      </c>
      <c r="K370" t="str">
        <f>IF('Raw Orders'!J370,"Cancelled",IF('Raw Orders'!K370&gt;=2,"Slipped","On plan"))</f>
        <v>On plan</v>
      </c>
      <c r="L370" s="12">
        <f t="shared" si="5"/>
        <v>0</v>
      </c>
    </row>
    <row r="371" spans="1:12" x14ac:dyDescent="0.3">
      <c r="A371" t="str">
        <f>'Raw Orders'!A371</f>
        <v>NX-00367</v>
      </c>
      <c r="B371" t="str">
        <f>'Raw Orders'!B371</f>
        <v>North America</v>
      </c>
      <c r="C371" t="str">
        <f>'Raw Orders'!C371</f>
        <v>US / Canada</v>
      </c>
      <c r="D371" s="11">
        <f>'Raw Orders'!E371</f>
        <v>9.8000000000000007</v>
      </c>
      <c r="E371" s="12">
        <f>'Raw Orders'!F371</f>
        <v>813400.00000000012</v>
      </c>
      <c r="F371" s="12">
        <f>'Raw Orders'!F371*0.75</f>
        <v>610050.00000000012</v>
      </c>
      <c r="G371" s="10">
        <f>'Raw Orders'!H371</f>
        <v>45901</v>
      </c>
      <c r="H371" s="10">
        <f>'Raw Orders'!I371</f>
        <v>45901</v>
      </c>
      <c r="I371" s="11">
        <f>'Raw Orders'!K371</f>
        <v>0.03</v>
      </c>
      <c r="J371" s="11">
        <f>IF('Raw Orders'!J371,"",(YEAR('Raw Orders'!I371)-YEAR('Raw Orders'!H371))*12+MONTH('Raw Orders'!I371)-MONTH('Raw Orders'!H371))</f>
        <v>0</v>
      </c>
      <c r="K371" t="str">
        <f>IF('Raw Orders'!J371,"Cancelled",IF('Raw Orders'!K371&gt;=2,"Slipped","On plan"))</f>
        <v>On plan</v>
      </c>
      <c r="L371" s="12">
        <f t="shared" si="5"/>
        <v>0</v>
      </c>
    </row>
    <row r="372" spans="1:12" x14ac:dyDescent="0.3">
      <c r="A372" t="str">
        <f>'Raw Orders'!A372</f>
        <v>NX-00368</v>
      </c>
      <c r="B372" t="str">
        <f>'Raw Orders'!B372</f>
        <v>North America</v>
      </c>
      <c r="C372" t="str">
        <f>'Raw Orders'!C372</f>
        <v>US / Canada</v>
      </c>
      <c r="D372" s="11">
        <f>'Raw Orders'!E372</f>
        <v>8</v>
      </c>
      <c r="E372" s="12">
        <f>'Raw Orders'!F372</f>
        <v>664000</v>
      </c>
      <c r="F372" s="12">
        <f>'Raw Orders'!F372*0.75</f>
        <v>498000</v>
      </c>
      <c r="G372" s="10">
        <f>'Raw Orders'!H372</f>
        <v>45778</v>
      </c>
      <c r="H372" s="10">
        <f>'Raw Orders'!I372</f>
        <v>45778</v>
      </c>
      <c r="I372" s="11">
        <f>'Raw Orders'!K372</f>
        <v>0.23</v>
      </c>
      <c r="J372" s="11">
        <f>IF('Raw Orders'!J372,"",(YEAR('Raw Orders'!I372)-YEAR('Raw Orders'!H372))*12+MONTH('Raw Orders'!I372)-MONTH('Raw Orders'!H372))</f>
        <v>0</v>
      </c>
      <c r="K372" t="str">
        <f>IF('Raw Orders'!J372,"Cancelled",IF('Raw Orders'!K372&gt;=2,"Slipped","On plan"))</f>
        <v>On plan</v>
      </c>
      <c r="L372" s="12">
        <f t="shared" si="5"/>
        <v>0</v>
      </c>
    </row>
    <row r="373" spans="1:12" x14ac:dyDescent="0.3">
      <c r="A373" t="str">
        <f>'Raw Orders'!A373</f>
        <v>NX-00369</v>
      </c>
      <c r="B373" t="str">
        <f>'Raw Orders'!B373</f>
        <v>North America</v>
      </c>
      <c r="C373" t="str">
        <f>'Raw Orders'!C373</f>
        <v>US / Canada</v>
      </c>
      <c r="D373" s="11">
        <f>'Raw Orders'!E373</f>
        <v>22.1</v>
      </c>
      <c r="E373" s="12">
        <f>'Raw Orders'!F373</f>
        <v>1834300</v>
      </c>
      <c r="F373" s="12">
        <f>'Raw Orders'!F373*0.75</f>
        <v>1375725</v>
      </c>
      <c r="G373" s="10">
        <f>'Raw Orders'!H373</f>
        <v>45931</v>
      </c>
      <c r="H373" s="10">
        <f>'Raw Orders'!I373</f>
        <v>45931</v>
      </c>
      <c r="I373" s="11">
        <f>'Raw Orders'!K373</f>
        <v>0.09</v>
      </c>
      <c r="J373" s="11">
        <f>IF('Raw Orders'!J373,"",(YEAR('Raw Orders'!I373)-YEAR('Raw Orders'!H373))*12+MONTH('Raw Orders'!I373)-MONTH('Raw Orders'!H373))</f>
        <v>0</v>
      </c>
      <c r="K373" t="str">
        <f>IF('Raw Orders'!J373,"Cancelled",IF('Raw Orders'!K373&gt;=2,"Slipped","On plan"))</f>
        <v>On plan</v>
      </c>
      <c r="L373" s="12">
        <f t="shared" si="5"/>
        <v>0</v>
      </c>
    </row>
    <row r="374" spans="1:12" x14ac:dyDescent="0.3">
      <c r="A374" t="str">
        <f>'Raw Orders'!A374</f>
        <v>NX-00370</v>
      </c>
      <c r="B374" t="str">
        <f>'Raw Orders'!B374</f>
        <v>North America</v>
      </c>
      <c r="C374" t="str">
        <f>'Raw Orders'!C374</f>
        <v>US / Canada</v>
      </c>
      <c r="D374" s="11">
        <f>'Raw Orders'!E374</f>
        <v>7.4</v>
      </c>
      <c r="E374" s="12">
        <f>'Raw Orders'!F374</f>
        <v>614200</v>
      </c>
      <c r="F374" s="12">
        <f>'Raw Orders'!F374*0.75</f>
        <v>460650</v>
      </c>
      <c r="G374" s="10">
        <f>'Raw Orders'!H374</f>
        <v>45931</v>
      </c>
      <c r="H374" s="10">
        <f>'Raw Orders'!I374</f>
        <v>45931</v>
      </c>
      <c r="I374" s="11">
        <f>'Raw Orders'!K374</f>
        <v>0.1</v>
      </c>
      <c r="J374" s="11">
        <f>IF('Raw Orders'!J374,"",(YEAR('Raw Orders'!I374)-YEAR('Raw Orders'!H374))*12+MONTH('Raw Orders'!I374)-MONTH('Raw Orders'!H374))</f>
        <v>0</v>
      </c>
      <c r="K374" t="str">
        <f>IF('Raw Orders'!J374,"Cancelled",IF('Raw Orders'!K374&gt;=2,"Slipped","On plan"))</f>
        <v>On plan</v>
      </c>
      <c r="L374" s="12">
        <f t="shared" si="5"/>
        <v>0</v>
      </c>
    </row>
    <row r="375" spans="1:12" x14ac:dyDescent="0.3">
      <c r="A375" t="str">
        <f>'Raw Orders'!A375</f>
        <v>NX-00371</v>
      </c>
      <c r="B375" t="str">
        <f>'Raw Orders'!B375</f>
        <v>North America</v>
      </c>
      <c r="C375" t="str">
        <f>'Raw Orders'!C375</f>
        <v>US / Canada</v>
      </c>
      <c r="D375" s="11">
        <f>'Raw Orders'!E375</f>
        <v>11.2</v>
      </c>
      <c r="E375" s="12">
        <f>'Raw Orders'!F375</f>
        <v>929600</v>
      </c>
      <c r="F375" s="12">
        <f>'Raw Orders'!F375*0.75</f>
        <v>697200</v>
      </c>
      <c r="G375" s="10">
        <f>'Raw Orders'!H375</f>
        <v>45901</v>
      </c>
      <c r="H375" s="10">
        <f>'Raw Orders'!I375</f>
        <v>0</v>
      </c>
      <c r="I375" s="11">
        <f>'Raw Orders'!K375</f>
        <v>0</v>
      </c>
      <c r="J375" s="11" t="str">
        <f>IF('Raw Orders'!J375,"",(YEAR('Raw Orders'!I375)-YEAR('Raw Orders'!H375))*12+MONTH('Raw Orders'!I375)-MONTH('Raw Orders'!H375))</f>
        <v/>
      </c>
      <c r="K375" t="str">
        <f>IF('Raw Orders'!J375,"Cancelled",IF('Raw Orders'!K375&gt;=2,"Slipped","On plan"))</f>
        <v>Cancelled</v>
      </c>
      <c r="L375" s="12">
        <f t="shared" si="5"/>
        <v>697200</v>
      </c>
    </row>
    <row r="376" spans="1:12" x14ac:dyDescent="0.3">
      <c r="A376" t="str">
        <f>'Raw Orders'!A376</f>
        <v>NX-00372</v>
      </c>
      <c r="B376" t="str">
        <f>'Raw Orders'!B376</f>
        <v>North America</v>
      </c>
      <c r="C376" t="str">
        <f>'Raw Orders'!C376</f>
        <v>US / Canada</v>
      </c>
      <c r="D376" s="11">
        <f>'Raw Orders'!E376</f>
        <v>11.4</v>
      </c>
      <c r="E376" s="12">
        <f>'Raw Orders'!F376</f>
        <v>946200</v>
      </c>
      <c r="F376" s="12">
        <f>'Raw Orders'!F376*0.75</f>
        <v>709650</v>
      </c>
      <c r="G376" s="10">
        <f>'Raw Orders'!H376</f>
        <v>45870</v>
      </c>
      <c r="H376" s="10">
        <f>'Raw Orders'!I376</f>
        <v>45870</v>
      </c>
      <c r="I376" s="11">
        <f>'Raw Orders'!K376</f>
        <v>0.02</v>
      </c>
      <c r="J376" s="11">
        <f>IF('Raw Orders'!J376,"",(YEAR('Raw Orders'!I376)-YEAR('Raw Orders'!H376))*12+MONTH('Raw Orders'!I376)-MONTH('Raw Orders'!H376))</f>
        <v>0</v>
      </c>
      <c r="K376" t="str">
        <f>IF('Raw Orders'!J376,"Cancelled",IF('Raw Orders'!K376&gt;=2,"Slipped","On plan"))</f>
        <v>On plan</v>
      </c>
      <c r="L376" s="12">
        <f t="shared" si="5"/>
        <v>0</v>
      </c>
    </row>
    <row r="377" spans="1:12" x14ac:dyDescent="0.3">
      <c r="A377" t="str">
        <f>'Raw Orders'!A377</f>
        <v>NX-00373</v>
      </c>
      <c r="B377" t="str">
        <f>'Raw Orders'!B377</f>
        <v>North America</v>
      </c>
      <c r="C377" t="str">
        <f>'Raw Orders'!C377</f>
        <v>US / Canada</v>
      </c>
      <c r="D377" s="11">
        <f>'Raw Orders'!E377</f>
        <v>12.4</v>
      </c>
      <c r="E377" s="12">
        <f>'Raw Orders'!F377</f>
        <v>1029200</v>
      </c>
      <c r="F377" s="12">
        <f>'Raw Orders'!F377*0.75</f>
        <v>771900</v>
      </c>
      <c r="G377" s="10">
        <f>'Raw Orders'!H377</f>
        <v>45901</v>
      </c>
      <c r="H377" s="10">
        <f>'Raw Orders'!I377</f>
        <v>45992</v>
      </c>
      <c r="I377" s="11">
        <f>'Raw Orders'!K377</f>
        <v>2.85</v>
      </c>
      <c r="J377" s="11">
        <f>IF('Raw Orders'!J377,"",(YEAR('Raw Orders'!I377)-YEAR('Raw Orders'!H377))*12+MONTH('Raw Orders'!I377)-MONTH('Raw Orders'!H377))</f>
        <v>3</v>
      </c>
      <c r="K377" t="str">
        <f>IF('Raw Orders'!J377,"Cancelled",IF('Raw Orders'!K377&gt;=2,"Slipped","On plan"))</f>
        <v>Slipped</v>
      </c>
      <c r="L377" s="12">
        <f t="shared" si="5"/>
        <v>771900</v>
      </c>
    </row>
    <row r="378" spans="1:12" x14ac:dyDescent="0.3">
      <c r="A378" t="str">
        <f>'Raw Orders'!A378</f>
        <v>NX-00374</v>
      </c>
      <c r="B378" t="str">
        <f>'Raw Orders'!B378</f>
        <v>North America</v>
      </c>
      <c r="C378" t="str">
        <f>'Raw Orders'!C378</f>
        <v>US / Canada</v>
      </c>
      <c r="D378" s="11">
        <f>'Raw Orders'!E378</f>
        <v>8.1999999999999993</v>
      </c>
      <c r="E378" s="12">
        <f>'Raw Orders'!F378</f>
        <v>680599.99999999988</v>
      </c>
      <c r="F378" s="12">
        <f>'Raw Orders'!F378*0.75</f>
        <v>510449.99999999988</v>
      </c>
      <c r="G378" s="10">
        <f>'Raw Orders'!H378</f>
        <v>45778</v>
      </c>
      <c r="H378" s="10">
        <f>'Raw Orders'!I378</f>
        <v>45809</v>
      </c>
      <c r="I378" s="11">
        <f>'Raw Orders'!K378</f>
        <v>1.32</v>
      </c>
      <c r="J378" s="11">
        <f>IF('Raw Orders'!J378,"",(YEAR('Raw Orders'!I378)-YEAR('Raw Orders'!H378))*12+MONTH('Raw Orders'!I378)-MONTH('Raw Orders'!H378))</f>
        <v>1</v>
      </c>
      <c r="K378" t="str">
        <f>IF('Raw Orders'!J378,"Cancelled",IF('Raw Orders'!K378&gt;=2,"Slipped","On plan"))</f>
        <v>On plan</v>
      </c>
      <c r="L378" s="12">
        <f t="shared" si="5"/>
        <v>0</v>
      </c>
    </row>
    <row r="379" spans="1:12" x14ac:dyDescent="0.3">
      <c r="A379" t="str">
        <f>'Raw Orders'!A379</f>
        <v>NX-00375</v>
      </c>
      <c r="B379" t="str">
        <f>'Raw Orders'!B379</f>
        <v>North America</v>
      </c>
      <c r="C379" t="str">
        <f>'Raw Orders'!C379</f>
        <v>US / Canada</v>
      </c>
      <c r="D379" s="11">
        <f>'Raw Orders'!E379</f>
        <v>7.5</v>
      </c>
      <c r="E379" s="12">
        <f>'Raw Orders'!F379</f>
        <v>622500</v>
      </c>
      <c r="F379" s="12">
        <f>'Raw Orders'!F379*0.75</f>
        <v>466875</v>
      </c>
      <c r="G379" s="10">
        <f>'Raw Orders'!H379</f>
        <v>45962</v>
      </c>
      <c r="H379" s="10">
        <f>'Raw Orders'!I379</f>
        <v>45962</v>
      </c>
      <c r="I379" s="11">
        <f>'Raw Orders'!K379</f>
        <v>0</v>
      </c>
      <c r="J379" s="11">
        <f>IF('Raw Orders'!J379,"",(YEAR('Raw Orders'!I379)-YEAR('Raw Orders'!H379))*12+MONTH('Raw Orders'!I379)-MONTH('Raw Orders'!H379))</f>
        <v>0</v>
      </c>
      <c r="K379" t="str">
        <f>IF('Raw Orders'!J379,"Cancelled",IF('Raw Orders'!K379&gt;=2,"Slipped","On plan"))</f>
        <v>On plan</v>
      </c>
      <c r="L379" s="12">
        <f t="shared" si="5"/>
        <v>0</v>
      </c>
    </row>
    <row r="380" spans="1:12" x14ac:dyDescent="0.3">
      <c r="A380" t="str">
        <f>'Raw Orders'!A380</f>
        <v>NX-00376</v>
      </c>
      <c r="B380" t="str">
        <f>'Raw Orders'!B380</f>
        <v>North America</v>
      </c>
      <c r="C380" t="str">
        <f>'Raw Orders'!C380</f>
        <v>US / Canada</v>
      </c>
      <c r="D380" s="11">
        <f>'Raw Orders'!E380</f>
        <v>15</v>
      </c>
      <c r="E380" s="12">
        <f>'Raw Orders'!F380</f>
        <v>1245000</v>
      </c>
      <c r="F380" s="12">
        <f>'Raw Orders'!F380*0.75</f>
        <v>933750</v>
      </c>
      <c r="G380" s="10">
        <f>'Raw Orders'!H380</f>
        <v>45839</v>
      </c>
      <c r="H380" s="10">
        <f>'Raw Orders'!I380</f>
        <v>0</v>
      </c>
      <c r="I380" s="11">
        <f>'Raw Orders'!K380</f>
        <v>0</v>
      </c>
      <c r="J380" s="11" t="str">
        <f>IF('Raw Orders'!J380,"",(YEAR('Raw Orders'!I380)-YEAR('Raw Orders'!H380))*12+MONTH('Raw Orders'!I380)-MONTH('Raw Orders'!H380))</f>
        <v/>
      </c>
      <c r="K380" t="str">
        <f>IF('Raw Orders'!J380,"Cancelled",IF('Raw Orders'!K380&gt;=2,"Slipped","On plan"))</f>
        <v>Cancelled</v>
      </c>
      <c r="L380" s="12">
        <f t="shared" si="5"/>
        <v>933750</v>
      </c>
    </row>
    <row r="381" spans="1:12" x14ac:dyDescent="0.3">
      <c r="A381" t="str">
        <f>'Raw Orders'!A381</f>
        <v>NX-00377</v>
      </c>
      <c r="B381" t="str">
        <f>'Raw Orders'!B381</f>
        <v>North America</v>
      </c>
      <c r="C381" t="str">
        <f>'Raw Orders'!C381</f>
        <v>US / Canada</v>
      </c>
      <c r="D381" s="11">
        <f>'Raw Orders'!E381</f>
        <v>24.1</v>
      </c>
      <c r="E381" s="12">
        <f>'Raw Orders'!F381</f>
        <v>2000300</v>
      </c>
      <c r="F381" s="12">
        <f>'Raw Orders'!F381*0.75</f>
        <v>1500225</v>
      </c>
      <c r="G381" s="10">
        <f>'Raw Orders'!H381</f>
        <v>45778</v>
      </c>
      <c r="H381" s="10">
        <f>'Raw Orders'!I381</f>
        <v>45778</v>
      </c>
      <c r="I381" s="11">
        <f>'Raw Orders'!K381</f>
        <v>7.0000000000000007E-2</v>
      </c>
      <c r="J381" s="11">
        <f>IF('Raw Orders'!J381,"",(YEAR('Raw Orders'!I381)-YEAR('Raw Orders'!H381))*12+MONTH('Raw Orders'!I381)-MONTH('Raw Orders'!H381))</f>
        <v>0</v>
      </c>
      <c r="K381" t="str">
        <f>IF('Raw Orders'!J381,"Cancelled",IF('Raw Orders'!K381&gt;=2,"Slipped","On plan"))</f>
        <v>On plan</v>
      </c>
      <c r="L381" s="12">
        <f t="shared" si="5"/>
        <v>0</v>
      </c>
    </row>
    <row r="382" spans="1:12" x14ac:dyDescent="0.3">
      <c r="A382" t="str">
        <f>'Raw Orders'!A382</f>
        <v>NX-00378</v>
      </c>
      <c r="B382" t="str">
        <f>'Raw Orders'!B382</f>
        <v>North America</v>
      </c>
      <c r="C382" t="str">
        <f>'Raw Orders'!C382</f>
        <v>US / Canada</v>
      </c>
      <c r="D382" s="11">
        <f>'Raw Orders'!E382</f>
        <v>4</v>
      </c>
      <c r="E382" s="12">
        <f>'Raw Orders'!F382</f>
        <v>332000</v>
      </c>
      <c r="F382" s="12">
        <f>'Raw Orders'!F382*0.75</f>
        <v>249000</v>
      </c>
      <c r="G382" s="10">
        <f>'Raw Orders'!H382</f>
        <v>45778</v>
      </c>
      <c r="H382" s="10">
        <f>'Raw Orders'!I382</f>
        <v>45778</v>
      </c>
      <c r="I382" s="11">
        <f>'Raw Orders'!K382</f>
        <v>0.26</v>
      </c>
      <c r="J382" s="11">
        <f>IF('Raw Orders'!J382,"",(YEAR('Raw Orders'!I382)-YEAR('Raw Orders'!H382))*12+MONTH('Raw Orders'!I382)-MONTH('Raw Orders'!H382))</f>
        <v>0</v>
      </c>
      <c r="K382" t="str">
        <f>IF('Raw Orders'!J382,"Cancelled",IF('Raw Orders'!K382&gt;=2,"Slipped","On plan"))</f>
        <v>On plan</v>
      </c>
      <c r="L382" s="12">
        <f t="shared" si="5"/>
        <v>0</v>
      </c>
    </row>
    <row r="383" spans="1:12" x14ac:dyDescent="0.3">
      <c r="A383" t="str">
        <f>'Raw Orders'!A383</f>
        <v>NX-00379</v>
      </c>
      <c r="B383" t="str">
        <f>'Raw Orders'!B383</f>
        <v>North America</v>
      </c>
      <c r="C383" t="str">
        <f>'Raw Orders'!C383</f>
        <v>US / Canada</v>
      </c>
      <c r="D383" s="11">
        <f>'Raw Orders'!E383</f>
        <v>13.8</v>
      </c>
      <c r="E383" s="12">
        <f>'Raw Orders'!F383</f>
        <v>1145400</v>
      </c>
      <c r="F383" s="12">
        <f>'Raw Orders'!F383*0.75</f>
        <v>859050</v>
      </c>
      <c r="G383" s="10">
        <f>'Raw Orders'!H383</f>
        <v>45839</v>
      </c>
      <c r="H383" s="10">
        <f>'Raw Orders'!I383</f>
        <v>45839</v>
      </c>
      <c r="I383" s="11">
        <f>'Raw Orders'!K383</f>
        <v>0</v>
      </c>
      <c r="J383" s="11">
        <f>IF('Raw Orders'!J383,"",(YEAR('Raw Orders'!I383)-YEAR('Raw Orders'!H383))*12+MONTH('Raw Orders'!I383)-MONTH('Raw Orders'!H383))</f>
        <v>0</v>
      </c>
      <c r="K383" t="str">
        <f>IF('Raw Orders'!J383,"Cancelled",IF('Raw Orders'!K383&gt;=2,"Slipped","On plan"))</f>
        <v>On plan</v>
      </c>
      <c r="L383" s="12">
        <f t="shared" si="5"/>
        <v>0</v>
      </c>
    </row>
    <row r="384" spans="1:12" x14ac:dyDescent="0.3">
      <c r="A384" t="str">
        <f>'Raw Orders'!A384</f>
        <v>NX-00380</v>
      </c>
      <c r="B384" t="str">
        <f>'Raw Orders'!B384</f>
        <v>North America</v>
      </c>
      <c r="C384" t="str">
        <f>'Raw Orders'!C384</f>
        <v>US / Canada</v>
      </c>
      <c r="D384" s="11">
        <f>'Raw Orders'!E384</f>
        <v>18.8</v>
      </c>
      <c r="E384" s="12">
        <f>'Raw Orders'!F384</f>
        <v>1560400</v>
      </c>
      <c r="F384" s="12">
        <f>'Raw Orders'!F384*0.75</f>
        <v>1170300</v>
      </c>
      <c r="G384" s="10">
        <f>'Raw Orders'!H384</f>
        <v>45962</v>
      </c>
      <c r="H384" s="10">
        <f>'Raw Orders'!I384</f>
        <v>45962</v>
      </c>
      <c r="I384" s="11">
        <f>'Raw Orders'!K384</f>
        <v>0.06</v>
      </c>
      <c r="J384" s="11">
        <f>IF('Raw Orders'!J384,"",(YEAR('Raw Orders'!I384)-YEAR('Raw Orders'!H384))*12+MONTH('Raw Orders'!I384)-MONTH('Raw Orders'!H384))</f>
        <v>0</v>
      </c>
      <c r="K384" t="str">
        <f>IF('Raw Orders'!J384,"Cancelled",IF('Raw Orders'!K384&gt;=2,"Slipped","On plan"))</f>
        <v>On plan</v>
      </c>
      <c r="L384" s="12">
        <f t="shared" si="5"/>
        <v>0</v>
      </c>
    </row>
    <row r="385" spans="1:12" x14ac:dyDescent="0.3">
      <c r="A385" t="str">
        <f>'Raw Orders'!A385</f>
        <v>NX-00381</v>
      </c>
      <c r="B385" t="str">
        <f>'Raw Orders'!B385</f>
        <v>North America</v>
      </c>
      <c r="C385" t="str">
        <f>'Raw Orders'!C385</f>
        <v>US / Canada</v>
      </c>
      <c r="D385" s="11">
        <f>'Raw Orders'!E385</f>
        <v>6.3</v>
      </c>
      <c r="E385" s="12">
        <f>'Raw Orders'!F385</f>
        <v>522900</v>
      </c>
      <c r="F385" s="12">
        <f>'Raw Orders'!F385*0.75</f>
        <v>392175</v>
      </c>
      <c r="G385" s="10">
        <f>'Raw Orders'!H385</f>
        <v>45839</v>
      </c>
      <c r="H385" s="10">
        <f>'Raw Orders'!I385</f>
        <v>45839</v>
      </c>
      <c r="I385" s="11">
        <f>'Raw Orders'!K385</f>
        <v>0.16</v>
      </c>
      <c r="J385" s="11">
        <f>IF('Raw Orders'!J385,"",(YEAR('Raw Orders'!I385)-YEAR('Raw Orders'!H385))*12+MONTH('Raw Orders'!I385)-MONTH('Raw Orders'!H385))</f>
        <v>0</v>
      </c>
      <c r="K385" t="str">
        <f>IF('Raw Orders'!J385,"Cancelled",IF('Raw Orders'!K385&gt;=2,"Slipped","On plan"))</f>
        <v>On plan</v>
      </c>
      <c r="L385" s="12">
        <f t="shared" si="5"/>
        <v>0</v>
      </c>
    </row>
    <row r="386" spans="1:12" x14ac:dyDescent="0.3">
      <c r="A386" t="str">
        <f>'Raw Orders'!A386</f>
        <v>NX-00382</v>
      </c>
      <c r="B386" t="str">
        <f>'Raw Orders'!B386</f>
        <v>North America</v>
      </c>
      <c r="C386" t="str">
        <f>'Raw Orders'!C386</f>
        <v>US / Canada</v>
      </c>
      <c r="D386" s="11">
        <f>'Raw Orders'!E386</f>
        <v>11.8</v>
      </c>
      <c r="E386" s="12">
        <f>'Raw Orders'!F386</f>
        <v>979400</v>
      </c>
      <c r="F386" s="12">
        <f>'Raw Orders'!F386*0.75</f>
        <v>734550</v>
      </c>
      <c r="G386" s="10">
        <f>'Raw Orders'!H386</f>
        <v>45901</v>
      </c>
      <c r="H386" s="10">
        <f>'Raw Orders'!I386</f>
        <v>45992</v>
      </c>
      <c r="I386" s="11">
        <f>'Raw Orders'!K386</f>
        <v>2.75</v>
      </c>
      <c r="J386" s="11">
        <f>IF('Raw Orders'!J386,"",(YEAR('Raw Orders'!I386)-YEAR('Raw Orders'!H386))*12+MONTH('Raw Orders'!I386)-MONTH('Raw Orders'!H386))</f>
        <v>3</v>
      </c>
      <c r="K386" t="str">
        <f>IF('Raw Orders'!J386,"Cancelled",IF('Raw Orders'!K386&gt;=2,"Slipped","On plan"))</f>
        <v>Slipped</v>
      </c>
      <c r="L386" s="12">
        <f t="shared" si="5"/>
        <v>734550</v>
      </c>
    </row>
    <row r="387" spans="1:12" x14ac:dyDescent="0.3">
      <c r="A387" t="str">
        <f>'Raw Orders'!A387</f>
        <v>NX-00383</v>
      </c>
      <c r="B387" t="str">
        <f>'Raw Orders'!B387</f>
        <v>North America</v>
      </c>
      <c r="C387" t="str">
        <f>'Raw Orders'!C387</f>
        <v>US / Canada</v>
      </c>
      <c r="D387" s="11">
        <f>'Raw Orders'!E387</f>
        <v>12.5</v>
      </c>
      <c r="E387" s="12">
        <f>'Raw Orders'!F387</f>
        <v>1037500</v>
      </c>
      <c r="F387" s="12">
        <f>'Raw Orders'!F387*0.75</f>
        <v>778125</v>
      </c>
      <c r="G387" s="10">
        <f>'Raw Orders'!H387</f>
        <v>45839</v>
      </c>
      <c r="H387" s="10">
        <f>'Raw Orders'!I387</f>
        <v>45839</v>
      </c>
      <c r="I387" s="11">
        <f>'Raw Orders'!K387</f>
        <v>0.06</v>
      </c>
      <c r="J387" s="11">
        <f>IF('Raw Orders'!J387,"",(YEAR('Raw Orders'!I387)-YEAR('Raw Orders'!H387))*12+MONTH('Raw Orders'!I387)-MONTH('Raw Orders'!H387))</f>
        <v>0</v>
      </c>
      <c r="K387" t="str">
        <f>IF('Raw Orders'!J387,"Cancelled",IF('Raw Orders'!K387&gt;=2,"Slipped","On plan"))</f>
        <v>On plan</v>
      </c>
      <c r="L387" s="12">
        <f t="shared" si="5"/>
        <v>0</v>
      </c>
    </row>
    <row r="388" spans="1:12" x14ac:dyDescent="0.3">
      <c r="A388" t="str">
        <f>'Raw Orders'!A388</f>
        <v>NX-00384</v>
      </c>
      <c r="B388" t="str">
        <f>'Raw Orders'!B388</f>
        <v>North America</v>
      </c>
      <c r="C388" t="str">
        <f>'Raw Orders'!C388</f>
        <v>US / Canada</v>
      </c>
      <c r="D388" s="11">
        <f>'Raw Orders'!E388</f>
        <v>12.6</v>
      </c>
      <c r="E388" s="12">
        <f>'Raw Orders'!F388</f>
        <v>1045800</v>
      </c>
      <c r="F388" s="12">
        <f>'Raw Orders'!F388*0.75</f>
        <v>784350</v>
      </c>
      <c r="G388" s="10">
        <f>'Raw Orders'!H388</f>
        <v>45839</v>
      </c>
      <c r="H388" s="10">
        <f>'Raw Orders'!I388</f>
        <v>45839</v>
      </c>
      <c r="I388" s="11">
        <f>'Raw Orders'!K388</f>
        <v>0</v>
      </c>
      <c r="J388" s="11">
        <f>IF('Raw Orders'!J388,"",(YEAR('Raw Orders'!I388)-YEAR('Raw Orders'!H388))*12+MONTH('Raw Orders'!I388)-MONTH('Raw Orders'!H388))</f>
        <v>0</v>
      </c>
      <c r="K388" t="str">
        <f>IF('Raw Orders'!J388,"Cancelled",IF('Raw Orders'!K388&gt;=2,"Slipped","On plan"))</f>
        <v>On plan</v>
      </c>
      <c r="L388" s="12">
        <f t="shared" si="5"/>
        <v>0</v>
      </c>
    </row>
    <row r="389" spans="1:12" x14ac:dyDescent="0.3">
      <c r="A389" t="str">
        <f>'Raw Orders'!A389</f>
        <v>NX-00385</v>
      </c>
      <c r="B389" t="str">
        <f>'Raw Orders'!B389</f>
        <v>North America</v>
      </c>
      <c r="C389" t="str">
        <f>'Raw Orders'!C389</f>
        <v>US / Canada</v>
      </c>
      <c r="D389" s="11">
        <f>'Raw Orders'!E389</f>
        <v>5.7</v>
      </c>
      <c r="E389" s="12">
        <f>'Raw Orders'!F389</f>
        <v>473100</v>
      </c>
      <c r="F389" s="12">
        <f>'Raw Orders'!F389*0.75</f>
        <v>354825</v>
      </c>
      <c r="G389" s="10">
        <f>'Raw Orders'!H389</f>
        <v>45962</v>
      </c>
      <c r="H389" s="10">
        <f>'Raw Orders'!I389</f>
        <v>45962</v>
      </c>
      <c r="I389" s="11">
        <f>'Raw Orders'!K389</f>
        <v>0.01</v>
      </c>
      <c r="J389" s="11">
        <f>IF('Raw Orders'!J389,"",(YEAR('Raw Orders'!I389)-YEAR('Raw Orders'!H389))*12+MONTH('Raw Orders'!I389)-MONTH('Raw Orders'!H389))</f>
        <v>0</v>
      </c>
      <c r="K389" t="str">
        <f>IF('Raw Orders'!J389,"Cancelled",IF('Raw Orders'!K389&gt;=2,"Slipped","On plan"))</f>
        <v>On plan</v>
      </c>
      <c r="L389" s="12">
        <f t="shared" ref="L389:L452" si="6">IF(K389="On plan",0,F389)</f>
        <v>0</v>
      </c>
    </row>
    <row r="390" spans="1:12" x14ac:dyDescent="0.3">
      <c r="A390" t="str">
        <f>'Raw Orders'!A390</f>
        <v>NX-00386</v>
      </c>
      <c r="B390" t="str">
        <f>'Raw Orders'!B390</f>
        <v>North America</v>
      </c>
      <c r="C390" t="str">
        <f>'Raw Orders'!C390</f>
        <v>US / Canada</v>
      </c>
      <c r="D390" s="11">
        <f>'Raw Orders'!E390</f>
        <v>20.6</v>
      </c>
      <c r="E390" s="12">
        <f>'Raw Orders'!F390</f>
        <v>1709800</v>
      </c>
      <c r="F390" s="12">
        <f>'Raw Orders'!F390*0.75</f>
        <v>1282350</v>
      </c>
      <c r="G390" s="10">
        <f>'Raw Orders'!H390</f>
        <v>45962</v>
      </c>
      <c r="H390" s="10">
        <f>'Raw Orders'!I390</f>
        <v>45962</v>
      </c>
      <c r="I390" s="11">
        <f>'Raw Orders'!K390</f>
        <v>0.21</v>
      </c>
      <c r="J390" s="11">
        <f>IF('Raw Orders'!J390,"",(YEAR('Raw Orders'!I390)-YEAR('Raw Orders'!H390))*12+MONTH('Raw Orders'!I390)-MONTH('Raw Orders'!H390))</f>
        <v>0</v>
      </c>
      <c r="K390" t="str">
        <f>IF('Raw Orders'!J390,"Cancelled",IF('Raw Orders'!K390&gt;=2,"Slipped","On plan"))</f>
        <v>On plan</v>
      </c>
      <c r="L390" s="12">
        <f t="shared" si="6"/>
        <v>0</v>
      </c>
    </row>
    <row r="391" spans="1:12" x14ac:dyDescent="0.3">
      <c r="A391" t="str">
        <f>'Raw Orders'!A391</f>
        <v>NX-00387</v>
      </c>
      <c r="B391" t="str">
        <f>'Raw Orders'!B391</f>
        <v>North America</v>
      </c>
      <c r="C391" t="str">
        <f>'Raw Orders'!C391</f>
        <v>US / Canada</v>
      </c>
      <c r="D391" s="11">
        <f>'Raw Orders'!E391</f>
        <v>9.6</v>
      </c>
      <c r="E391" s="12">
        <f>'Raw Orders'!F391</f>
        <v>796800</v>
      </c>
      <c r="F391" s="12">
        <f>'Raw Orders'!F391*0.75</f>
        <v>597600</v>
      </c>
      <c r="G391" s="10">
        <f>'Raw Orders'!H391</f>
        <v>45870</v>
      </c>
      <c r="H391" s="10">
        <f>'Raw Orders'!I391</f>
        <v>45901</v>
      </c>
      <c r="I391" s="11">
        <f>'Raw Orders'!K391</f>
        <v>0.85</v>
      </c>
      <c r="J391" s="11">
        <f>IF('Raw Orders'!J391,"",(YEAR('Raw Orders'!I391)-YEAR('Raw Orders'!H391))*12+MONTH('Raw Orders'!I391)-MONTH('Raw Orders'!H391))</f>
        <v>1</v>
      </c>
      <c r="K391" t="str">
        <f>IF('Raw Orders'!J391,"Cancelled",IF('Raw Orders'!K391&gt;=2,"Slipped","On plan"))</f>
        <v>On plan</v>
      </c>
      <c r="L391" s="12">
        <f t="shared" si="6"/>
        <v>0</v>
      </c>
    </row>
    <row r="392" spans="1:12" x14ac:dyDescent="0.3">
      <c r="A392" t="str">
        <f>'Raw Orders'!A392</f>
        <v>NX-00388</v>
      </c>
      <c r="B392" t="str">
        <f>'Raw Orders'!B392</f>
        <v>North America</v>
      </c>
      <c r="C392" t="str">
        <f>'Raw Orders'!C392</f>
        <v>US / Canada</v>
      </c>
      <c r="D392" s="11">
        <f>'Raw Orders'!E392</f>
        <v>5.0999999999999996</v>
      </c>
      <c r="E392" s="12">
        <f>'Raw Orders'!F392</f>
        <v>423300</v>
      </c>
      <c r="F392" s="12">
        <f>'Raw Orders'!F392*0.75</f>
        <v>317475</v>
      </c>
      <c r="G392" s="10">
        <f>'Raw Orders'!H392</f>
        <v>45901</v>
      </c>
      <c r="H392" s="10">
        <f>'Raw Orders'!I392</f>
        <v>45901</v>
      </c>
      <c r="I392" s="11">
        <f>'Raw Orders'!K392</f>
        <v>0</v>
      </c>
      <c r="J392" s="11">
        <f>IF('Raw Orders'!J392,"",(YEAR('Raw Orders'!I392)-YEAR('Raw Orders'!H392))*12+MONTH('Raw Orders'!I392)-MONTH('Raw Orders'!H392))</f>
        <v>0</v>
      </c>
      <c r="K392" t="str">
        <f>IF('Raw Orders'!J392,"Cancelled",IF('Raw Orders'!K392&gt;=2,"Slipped","On plan"))</f>
        <v>On plan</v>
      </c>
      <c r="L392" s="12">
        <f t="shared" si="6"/>
        <v>0</v>
      </c>
    </row>
    <row r="393" spans="1:12" x14ac:dyDescent="0.3">
      <c r="A393" t="str">
        <f>'Raw Orders'!A393</f>
        <v>NX-00389</v>
      </c>
      <c r="B393" t="str">
        <f>'Raw Orders'!B393</f>
        <v>EMEA</v>
      </c>
      <c r="C393" t="str">
        <f>'Raw Orders'!C393</f>
        <v>Europe</v>
      </c>
      <c r="D393" s="11">
        <f>'Raw Orders'!E393</f>
        <v>7.1</v>
      </c>
      <c r="E393" s="12">
        <f>'Raw Orders'!F393</f>
        <v>624800</v>
      </c>
      <c r="F393" s="12">
        <f>'Raw Orders'!F393*0.75</f>
        <v>468600</v>
      </c>
      <c r="G393" s="10">
        <f>'Raw Orders'!H393</f>
        <v>45962</v>
      </c>
      <c r="H393" s="10">
        <f>'Raw Orders'!I393</f>
        <v>45962</v>
      </c>
      <c r="I393" s="11">
        <f>'Raw Orders'!K393</f>
        <v>0.16</v>
      </c>
      <c r="J393" s="11">
        <f>IF('Raw Orders'!J393,"",(YEAR('Raw Orders'!I393)-YEAR('Raw Orders'!H393))*12+MONTH('Raw Orders'!I393)-MONTH('Raw Orders'!H393))</f>
        <v>0</v>
      </c>
      <c r="K393" t="str">
        <f>IF('Raw Orders'!J393,"Cancelled",IF('Raw Orders'!K393&gt;=2,"Slipped","On plan"))</f>
        <v>On plan</v>
      </c>
      <c r="L393" s="12">
        <f t="shared" si="6"/>
        <v>0</v>
      </c>
    </row>
    <row r="394" spans="1:12" x14ac:dyDescent="0.3">
      <c r="A394" t="str">
        <f>'Raw Orders'!A394</f>
        <v>NX-00390</v>
      </c>
      <c r="B394" t="str">
        <f>'Raw Orders'!B394</f>
        <v>EMEA</v>
      </c>
      <c r="C394" t="str">
        <f>'Raw Orders'!C394</f>
        <v>Europe</v>
      </c>
      <c r="D394" s="11">
        <f>'Raw Orders'!E394</f>
        <v>37.5</v>
      </c>
      <c r="E394" s="12">
        <f>'Raw Orders'!F394</f>
        <v>3300000</v>
      </c>
      <c r="F394" s="12">
        <f>'Raw Orders'!F394*0.75</f>
        <v>2475000</v>
      </c>
      <c r="G394" s="10">
        <f>'Raw Orders'!H394</f>
        <v>45839</v>
      </c>
      <c r="H394" s="10">
        <f>'Raw Orders'!I394</f>
        <v>45992</v>
      </c>
      <c r="I394" s="11">
        <f>'Raw Orders'!K394</f>
        <v>4.87</v>
      </c>
      <c r="J394" s="11">
        <f>IF('Raw Orders'!J394,"",(YEAR('Raw Orders'!I394)-YEAR('Raw Orders'!H394))*12+MONTH('Raw Orders'!I394)-MONTH('Raw Orders'!H394))</f>
        <v>5</v>
      </c>
      <c r="K394" t="str">
        <f>IF('Raw Orders'!J394,"Cancelled",IF('Raw Orders'!K394&gt;=2,"Slipped","On plan"))</f>
        <v>Slipped</v>
      </c>
      <c r="L394" s="12">
        <f t="shared" si="6"/>
        <v>2475000</v>
      </c>
    </row>
    <row r="395" spans="1:12" x14ac:dyDescent="0.3">
      <c r="A395" t="str">
        <f>'Raw Orders'!A395</f>
        <v>NX-00391</v>
      </c>
      <c r="B395" t="str">
        <f>'Raw Orders'!B395</f>
        <v>EMEA</v>
      </c>
      <c r="C395" t="str">
        <f>'Raw Orders'!C395</f>
        <v>MENA</v>
      </c>
      <c r="D395" s="11">
        <f>'Raw Orders'!E395</f>
        <v>10.8</v>
      </c>
      <c r="E395" s="12">
        <f>'Raw Orders'!F395</f>
        <v>874800</v>
      </c>
      <c r="F395" s="12">
        <f>'Raw Orders'!F395*0.75</f>
        <v>656100</v>
      </c>
      <c r="G395" s="10">
        <f>'Raw Orders'!H395</f>
        <v>45809</v>
      </c>
      <c r="H395" s="10">
        <f>'Raw Orders'!I395</f>
        <v>45901</v>
      </c>
      <c r="I395" s="11">
        <f>'Raw Orders'!K395</f>
        <v>2.73</v>
      </c>
      <c r="J395" s="11">
        <f>IF('Raw Orders'!J395,"",(YEAR('Raw Orders'!I395)-YEAR('Raw Orders'!H395))*12+MONTH('Raw Orders'!I395)-MONTH('Raw Orders'!H395))</f>
        <v>3</v>
      </c>
      <c r="K395" t="str">
        <f>IF('Raw Orders'!J395,"Cancelled",IF('Raw Orders'!K395&gt;=2,"Slipped","On plan"))</f>
        <v>Slipped</v>
      </c>
      <c r="L395" s="12">
        <f t="shared" si="6"/>
        <v>656100</v>
      </c>
    </row>
    <row r="396" spans="1:12" x14ac:dyDescent="0.3">
      <c r="A396" t="str">
        <f>'Raw Orders'!A396</f>
        <v>NX-00392</v>
      </c>
      <c r="B396" t="str">
        <f>'Raw Orders'!B396</f>
        <v>EMEA</v>
      </c>
      <c r="C396" t="str">
        <f>'Raw Orders'!C396</f>
        <v>MENA</v>
      </c>
      <c r="D396" s="11">
        <f>'Raw Orders'!E396</f>
        <v>8.1</v>
      </c>
      <c r="E396" s="12">
        <f>'Raw Orders'!F396</f>
        <v>656100</v>
      </c>
      <c r="F396" s="12">
        <f>'Raw Orders'!F396*0.75</f>
        <v>492075</v>
      </c>
      <c r="G396" s="10">
        <f>'Raw Orders'!H396</f>
        <v>45839</v>
      </c>
      <c r="H396" s="10">
        <f>'Raw Orders'!I396</f>
        <v>45870</v>
      </c>
      <c r="I396" s="11">
        <f>'Raw Orders'!K396</f>
        <v>1.23</v>
      </c>
      <c r="J396" s="11">
        <f>IF('Raw Orders'!J396,"",(YEAR('Raw Orders'!I396)-YEAR('Raw Orders'!H396))*12+MONTH('Raw Orders'!I396)-MONTH('Raw Orders'!H396))</f>
        <v>1</v>
      </c>
      <c r="K396" t="str">
        <f>IF('Raw Orders'!J396,"Cancelled",IF('Raw Orders'!K396&gt;=2,"Slipped","On plan"))</f>
        <v>On plan</v>
      </c>
      <c r="L396" s="12">
        <f t="shared" si="6"/>
        <v>0</v>
      </c>
    </row>
    <row r="397" spans="1:12" x14ac:dyDescent="0.3">
      <c r="A397" t="str">
        <f>'Raw Orders'!A397</f>
        <v>NX-00393</v>
      </c>
      <c r="B397" t="str">
        <f>'Raw Orders'!B397</f>
        <v>APAC</v>
      </c>
      <c r="C397" t="str">
        <f>'Raw Orders'!C397</f>
        <v>India</v>
      </c>
      <c r="D397" s="11">
        <f>'Raw Orders'!E397</f>
        <v>35</v>
      </c>
      <c r="E397" s="12">
        <f>'Raw Orders'!F397</f>
        <v>2485000</v>
      </c>
      <c r="F397" s="12">
        <f>'Raw Orders'!F397*0.75</f>
        <v>1863750</v>
      </c>
      <c r="G397" s="10">
        <f>'Raw Orders'!H397</f>
        <v>45839</v>
      </c>
      <c r="H397" s="10">
        <f>'Raw Orders'!I397</f>
        <v>45870</v>
      </c>
      <c r="I397" s="11">
        <f>'Raw Orders'!K397</f>
        <v>0.56999999999999995</v>
      </c>
      <c r="J397" s="11">
        <f>IF('Raw Orders'!J397,"",(YEAR('Raw Orders'!I397)-YEAR('Raw Orders'!H397))*12+MONTH('Raw Orders'!I397)-MONTH('Raw Orders'!H397))</f>
        <v>1</v>
      </c>
      <c r="K397" t="str">
        <f>IF('Raw Orders'!J397,"Cancelled",IF('Raw Orders'!K397&gt;=2,"Slipped","On plan"))</f>
        <v>On plan</v>
      </c>
      <c r="L397" s="12">
        <f t="shared" si="6"/>
        <v>0</v>
      </c>
    </row>
    <row r="398" spans="1:12" x14ac:dyDescent="0.3">
      <c r="A398" t="str">
        <f>'Raw Orders'!A398</f>
        <v>NX-00394</v>
      </c>
      <c r="B398" t="str">
        <f>'Raw Orders'!B398</f>
        <v>APAC</v>
      </c>
      <c r="C398" t="str">
        <f>'Raw Orders'!C398</f>
        <v>Australia/SEA</v>
      </c>
      <c r="D398" s="11">
        <f>'Raw Orders'!E398</f>
        <v>62.8</v>
      </c>
      <c r="E398" s="12">
        <f>'Raw Orders'!F398</f>
        <v>5275200</v>
      </c>
      <c r="F398" s="12">
        <f>'Raw Orders'!F398*0.75</f>
        <v>3956400</v>
      </c>
      <c r="G398" s="10">
        <f>'Raw Orders'!H398</f>
        <v>45870</v>
      </c>
      <c r="H398" s="10">
        <f>'Raw Orders'!I398</f>
        <v>0</v>
      </c>
      <c r="I398" s="11">
        <f>'Raw Orders'!K398</f>
        <v>0.91</v>
      </c>
      <c r="J398" s="11" t="str">
        <f>IF('Raw Orders'!J398,"",(YEAR('Raw Orders'!I398)-YEAR('Raw Orders'!H398))*12+MONTH('Raw Orders'!I398)-MONTH('Raw Orders'!H398))</f>
        <v/>
      </c>
      <c r="K398" t="str">
        <f>IF('Raw Orders'!J398,"Cancelled",IF('Raw Orders'!K398&gt;=2,"Slipped","On plan"))</f>
        <v>Cancelled</v>
      </c>
      <c r="L398" s="12">
        <f t="shared" si="6"/>
        <v>3956400</v>
      </c>
    </row>
    <row r="399" spans="1:12" x14ac:dyDescent="0.3">
      <c r="A399" t="str">
        <f>'Raw Orders'!A399</f>
        <v>NX-00395</v>
      </c>
      <c r="B399" t="str">
        <f>'Raw Orders'!B399</f>
        <v>LATAM</v>
      </c>
      <c r="C399" t="str">
        <f>'Raw Orders'!C399</f>
        <v>LATAM</v>
      </c>
      <c r="D399" s="11">
        <f>'Raw Orders'!E399</f>
        <v>8.6</v>
      </c>
      <c r="E399" s="12">
        <f>'Raw Orders'!F399</f>
        <v>679400</v>
      </c>
      <c r="F399" s="12">
        <f>'Raw Orders'!F399*0.75</f>
        <v>509550</v>
      </c>
      <c r="G399" s="10">
        <f>'Raw Orders'!H399</f>
        <v>45931</v>
      </c>
      <c r="H399" s="10">
        <f>'Raw Orders'!I399</f>
        <v>46023</v>
      </c>
      <c r="I399" s="11">
        <f>'Raw Orders'!K399</f>
        <v>2.93</v>
      </c>
      <c r="J399" s="11">
        <f>IF('Raw Orders'!J399,"",(YEAR('Raw Orders'!I399)-YEAR('Raw Orders'!H399))*12+MONTH('Raw Orders'!I399)-MONTH('Raw Orders'!H399))</f>
        <v>3</v>
      </c>
      <c r="K399" t="str">
        <f>IF('Raw Orders'!J399,"Cancelled",IF('Raw Orders'!K399&gt;=2,"Slipped","On plan"))</f>
        <v>Slipped</v>
      </c>
      <c r="L399" s="12">
        <f t="shared" si="6"/>
        <v>509550</v>
      </c>
    </row>
    <row r="400" spans="1:12" x14ac:dyDescent="0.3">
      <c r="A400" t="str">
        <f>'Raw Orders'!A400</f>
        <v>NX-00396</v>
      </c>
      <c r="B400" t="str">
        <f>'Raw Orders'!B400</f>
        <v>LATAM</v>
      </c>
      <c r="C400" t="str">
        <f>'Raw Orders'!C400</f>
        <v>LATAM</v>
      </c>
      <c r="D400" s="11">
        <f>'Raw Orders'!E400</f>
        <v>3.5</v>
      </c>
      <c r="E400" s="12">
        <f>'Raw Orders'!F400</f>
        <v>276500</v>
      </c>
      <c r="F400" s="12">
        <f>'Raw Orders'!F400*0.75</f>
        <v>207375</v>
      </c>
      <c r="G400" s="10">
        <f>'Raw Orders'!H400</f>
        <v>45870</v>
      </c>
      <c r="H400" s="10">
        <f>'Raw Orders'!I400</f>
        <v>45901</v>
      </c>
      <c r="I400" s="11">
        <f>'Raw Orders'!K400</f>
        <v>0.7</v>
      </c>
      <c r="J400" s="11">
        <f>IF('Raw Orders'!J400,"",(YEAR('Raw Orders'!I400)-YEAR('Raw Orders'!H400))*12+MONTH('Raw Orders'!I400)-MONTH('Raw Orders'!H400))</f>
        <v>1</v>
      </c>
      <c r="K400" t="str">
        <f>IF('Raw Orders'!J400,"Cancelled",IF('Raw Orders'!K400&gt;=2,"Slipped","On plan"))</f>
        <v>On plan</v>
      </c>
      <c r="L400" s="12">
        <f t="shared" si="6"/>
        <v>0</v>
      </c>
    </row>
    <row r="401" spans="1:12" x14ac:dyDescent="0.3">
      <c r="A401" t="str">
        <f>'Raw Orders'!A401</f>
        <v>NX-00397</v>
      </c>
      <c r="B401" t="str">
        <f>'Raw Orders'!B401</f>
        <v>North America</v>
      </c>
      <c r="C401" t="str">
        <f>'Raw Orders'!C401</f>
        <v>US / Canada</v>
      </c>
      <c r="D401" s="11">
        <f>'Raw Orders'!E401</f>
        <v>28.2</v>
      </c>
      <c r="E401" s="12">
        <f>'Raw Orders'!F401</f>
        <v>2340600</v>
      </c>
      <c r="F401" s="12">
        <f>'Raw Orders'!F401*0.75</f>
        <v>1755450</v>
      </c>
      <c r="G401" s="10">
        <f>'Raw Orders'!H401</f>
        <v>45870</v>
      </c>
      <c r="H401" s="10">
        <f>'Raw Orders'!I401</f>
        <v>45931</v>
      </c>
      <c r="I401" s="11">
        <f>'Raw Orders'!K401</f>
        <v>1.78</v>
      </c>
      <c r="J401" s="11">
        <f>IF('Raw Orders'!J401,"",(YEAR('Raw Orders'!I401)-YEAR('Raw Orders'!H401))*12+MONTH('Raw Orders'!I401)-MONTH('Raw Orders'!H401))</f>
        <v>2</v>
      </c>
      <c r="K401" t="str">
        <f>IF('Raw Orders'!J401,"Cancelled",IF('Raw Orders'!K401&gt;=2,"Slipped","On plan"))</f>
        <v>On plan</v>
      </c>
      <c r="L401" s="12">
        <f t="shared" si="6"/>
        <v>0</v>
      </c>
    </row>
    <row r="402" spans="1:12" x14ac:dyDescent="0.3">
      <c r="A402" t="str">
        <f>'Raw Orders'!A402</f>
        <v>NX-00398</v>
      </c>
      <c r="B402" t="str">
        <f>'Raw Orders'!B402</f>
        <v>North America</v>
      </c>
      <c r="C402" t="str">
        <f>'Raw Orders'!C402</f>
        <v>US / Canada</v>
      </c>
      <c r="D402" s="11">
        <f>'Raw Orders'!E402</f>
        <v>12.4</v>
      </c>
      <c r="E402" s="12">
        <f>'Raw Orders'!F402</f>
        <v>1029200</v>
      </c>
      <c r="F402" s="12">
        <f>'Raw Orders'!F402*0.75</f>
        <v>771900</v>
      </c>
      <c r="G402" s="10">
        <f>'Raw Orders'!H402</f>
        <v>45901</v>
      </c>
      <c r="H402" s="10">
        <f>'Raw Orders'!I402</f>
        <v>45901</v>
      </c>
      <c r="I402" s="11">
        <f>'Raw Orders'!K402</f>
        <v>0.05</v>
      </c>
      <c r="J402" s="11">
        <f>IF('Raw Orders'!J402,"",(YEAR('Raw Orders'!I402)-YEAR('Raw Orders'!H402))*12+MONTH('Raw Orders'!I402)-MONTH('Raw Orders'!H402))</f>
        <v>0</v>
      </c>
      <c r="K402" t="str">
        <f>IF('Raw Orders'!J402,"Cancelled",IF('Raw Orders'!K402&gt;=2,"Slipped","On plan"))</f>
        <v>On plan</v>
      </c>
      <c r="L402" s="12">
        <f t="shared" si="6"/>
        <v>0</v>
      </c>
    </row>
    <row r="403" spans="1:12" x14ac:dyDescent="0.3">
      <c r="A403" t="str">
        <f>'Raw Orders'!A403</f>
        <v>NX-00399</v>
      </c>
      <c r="B403" t="str">
        <f>'Raw Orders'!B403</f>
        <v>North America</v>
      </c>
      <c r="C403" t="str">
        <f>'Raw Orders'!C403</f>
        <v>US / Canada</v>
      </c>
      <c r="D403" s="11">
        <f>'Raw Orders'!E403</f>
        <v>27</v>
      </c>
      <c r="E403" s="12">
        <f>'Raw Orders'!F403</f>
        <v>2241000</v>
      </c>
      <c r="F403" s="12">
        <f>'Raw Orders'!F403*0.75</f>
        <v>1680750</v>
      </c>
      <c r="G403" s="10">
        <f>'Raw Orders'!H403</f>
        <v>45931</v>
      </c>
      <c r="H403" s="10">
        <f>'Raw Orders'!I403</f>
        <v>45931</v>
      </c>
      <c r="I403" s="11">
        <f>'Raw Orders'!K403</f>
        <v>0</v>
      </c>
      <c r="J403" s="11">
        <f>IF('Raw Orders'!J403,"",(YEAR('Raw Orders'!I403)-YEAR('Raw Orders'!H403))*12+MONTH('Raw Orders'!I403)-MONTH('Raw Orders'!H403))</f>
        <v>0</v>
      </c>
      <c r="K403" t="str">
        <f>IF('Raw Orders'!J403,"Cancelled",IF('Raw Orders'!K403&gt;=2,"Slipped","On plan"))</f>
        <v>On plan</v>
      </c>
      <c r="L403" s="12">
        <f t="shared" si="6"/>
        <v>0</v>
      </c>
    </row>
    <row r="404" spans="1:12" x14ac:dyDescent="0.3">
      <c r="A404" t="str">
        <f>'Raw Orders'!A404</f>
        <v>NX-00400</v>
      </c>
      <c r="B404" t="str">
        <f>'Raw Orders'!B404</f>
        <v>North America</v>
      </c>
      <c r="C404" t="str">
        <f>'Raw Orders'!C404</f>
        <v>US / Canada</v>
      </c>
      <c r="D404" s="11">
        <f>'Raw Orders'!E404</f>
        <v>66.099999999999994</v>
      </c>
      <c r="E404" s="12">
        <f>'Raw Orders'!F404</f>
        <v>5486299.9999999991</v>
      </c>
      <c r="F404" s="12">
        <f>'Raw Orders'!F404*0.75</f>
        <v>4114724.9999999991</v>
      </c>
      <c r="G404" s="10">
        <f>'Raw Orders'!H404</f>
        <v>45962</v>
      </c>
      <c r="H404" s="10">
        <f>'Raw Orders'!I404</f>
        <v>45962</v>
      </c>
      <c r="I404" s="11">
        <f>'Raw Orders'!K404</f>
        <v>0</v>
      </c>
      <c r="J404" s="11">
        <f>IF('Raw Orders'!J404,"",(YEAR('Raw Orders'!I404)-YEAR('Raw Orders'!H404))*12+MONTH('Raw Orders'!I404)-MONTH('Raw Orders'!H404))</f>
        <v>0</v>
      </c>
      <c r="K404" t="str">
        <f>IF('Raw Orders'!J404,"Cancelled",IF('Raw Orders'!K404&gt;=2,"Slipped","On plan"))</f>
        <v>On plan</v>
      </c>
      <c r="L404" s="12">
        <f t="shared" si="6"/>
        <v>0</v>
      </c>
    </row>
    <row r="405" spans="1:12" x14ac:dyDescent="0.3">
      <c r="A405" t="str">
        <f>'Raw Orders'!A405</f>
        <v>NX-00401</v>
      </c>
      <c r="B405" t="str">
        <f>'Raw Orders'!B405</f>
        <v>North America</v>
      </c>
      <c r="C405" t="str">
        <f>'Raw Orders'!C405</f>
        <v>US / Canada</v>
      </c>
      <c r="D405" s="11">
        <f>'Raw Orders'!E405</f>
        <v>30.7</v>
      </c>
      <c r="E405" s="12">
        <f>'Raw Orders'!F405</f>
        <v>2548100</v>
      </c>
      <c r="F405" s="12">
        <f>'Raw Orders'!F405*0.75</f>
        <v>1911075</v>
      </c>
      <c r="G405" s="10">
        <f>'Raw Orders'!H405</f>
        <v>45962</v>
      </c>
      <c r="H405" s="10">
        <f>'Raw Orders'!I405</f>
        <v>45962</v>
      </c>
      <c r="I405" s="11">
        <f>'Raw Orders'!K405</f>
        <v>0</v>
      </c>
      <c r="J405" s="11">
        <f>IF('Raw Orders'!J405,"",(YEAR('Raw Orders'!I405)-YEAR('Raw Orders'!H405))*12+MONTH('Raw Orders'!I405)-MONTH('Raw Orders'!H405))</f>
        <v>0</v>
      </c>
      <c r="K405" t="str">
        <f>IF('Raw Orders'!J405,"Cancelled",IF('Raw Orders'!K405&gt;=2,"Slipped","On plan"))</f>
        <v>On plan</v>
      </c>
      <c r="L405" s="12">
        <f t="shared" si="6"/>
        <v>0</v>
      </c>
    </row>
    <row r="406" spans="1:12" x14ac:dyDescent="0.3">
      <c r="A406" t="str">
        <f>'Raw Orders'!A406</f>
        <v>NX-00402</v>
      </c>
      <c r="B406" t="str">
        <f>'Raw Orders'!B406</f>
        <v>North America</v>
      </c>
      <c r="C406" t="str">
        <f>'Raw Orders'!C406</f>
        <v>US / Canada</v>
      </c>
      <c r="D406" s="11">
        <f>'Raw Orders'!E406</f>
        <v>10.4</v>
      </c>
      <c r="E406" s="12">
        <f>'Raw Orders'!F406</f>
        <v>863200</v>
      </c>
      <c r="F406" s="12">
        <f>'Raw Orders'!F406*0.75</f>
        <v>647400</v>
      </c>
      <c r="G406" s="10">
        <f>'Raw Orders'!H406</f>
        <v>45839</v>
      </c>
      <c r="H406" s="10">
        <f>'Raw Orders'!I406</f>
        <v>45839</v>
      </c>
      <c r="I406" s="11">
        <f>'Raw Orders'!K406</f>
        <v>0</v>
      </c>
      <c r="J406" s="11">
        <f>IF('Raw Orders'!J406,"",(YEAR('Raw Orders'!I406)-YEAR('Raw Orders'!H406))*12+MONTH('Raw Orders'!I406)-MONTH('Raw Orders'!H406))</f>
        <v>0</v>
      </c>
      <c r="K406" t="str">
        <f>IF('Raw Orders'!J406,"Cancelled",IF('Raw Orders'!K406&gt;=2,"Slipped","On plan"))</f>
        <v>On plan</v>
      </c>
      <c r="L406" s="12">
        <f t="shared" si="6"/>
        <v>0</v>
      </c>
    </row>
    <row r="407" spans="1:12" x14ac:dyDescent="0.3">
      <c r="A407" t="str">
        <f>'Raw Orders'!A407</f>
        <v>NX-00403</v>
      </c>
      <c r="B407" t="str">
        <f>'Raw Orders'!B407</f>
        <v>North America</v>
      </c>
      <c r="C407" t="str">
        <f>'Raw Orders'!C407</f>
        <v>US / Canada</v>
      </c>
      <c r="D407" s="11">
        <f>'Raw Orders'!E407</f>
        <v>11</v>
      </c>
      <c r="E407" s="12">
        <f>'Raw Orders'!F407</f>
        <v>913000</v>
      </c>
      <c r="F407" s="12">
        <f>'Raw Orders'!F407*0.75</f>
        <v>684750</v>
      </c>
      <c r="G407" s="10">
        <f>'Raw Orders'!H407</f>
        <v>45992</v>
      </c>
      <c r="H407" s="10">
        <f>'Raw Orders'!I407</f>
        <v>45992</v>
      </c>
      <c r="I407" s="11">
        <f>'Raw Orders'!K407</f>
        <v>0.04</v>
      </c>
      <c r="J407" s="11">
        <f>IF('Raw Orders'!J407,"",(YEAR('Raw Orders'!I407)-YEAR('Raw Orders'!H407))*12+MONTH('Raw Orders'!I407)-MONTH('Raw Orders'!H407))</f>
        <v>0</v>
      </c>
      <c r="K407" t="str">
        <f>IF('Raw Orders'!J407,"Cancelled",IF('Raw Orders'!K407&gt;=2,"Slipped","On plan"))</f>
        <v>On plan</v>
      </c>
      <c r="L407" s="12">
        <f t="shared" si="6"/>
        <v>0</v>
      </c>
    </row>
    <row r="408" spans="1:12" x14ac:dyDescent="0.3">
      <c r="A408" t="str">
        <f>'Raw Orders'!A408</f>
        <v>NX-00404</v>
      </c>
      <c r="B408" t="str">
        <f>'Raw Orders'!B408</f>
        <v>North America</v>
      </c>
      <c r="C408" t="str">
        <f>'Raw Orders'!C408</f>
        <v>US / Canada</v>
      </c>
      <c r="D408" s="11">
        <f>'Raw Orders'!E408</f>
        <v>8.5</v>
      </c>
      <c r="E408" s="12">
        <f>'Raw Orders'!F408</f>
        <v>705500</v>
      </c>
      <c r="F408" s="12">
        <f>'Raw Orders'!F408*0.75</f>
        <v>529125</v>
      </c>
      <c r="G408" s="10">
        <f>'Raw Orders'!H408</f>
        <v>45992</v>
      </c>
      <c r="H408" s="10">
        <f>'Raw Orders'!I408</f>
        <v>46054</v>
      </c>
      <c r="I408" s="11">
        <f>'Raw Orders'!K408</f>
        <v>1.98</v>
      </c>
      <c r="J408" s="11">
        <f>IF('Raw Orders'!J408,"",(YEAR('Raw Orders'!I408)-YEAR('Raw Orders'!H408))*12+MONTH('Raw Orders'!I408)-MONTH('Raw Orders'!H408))</f>
        <v>2</v>
      </c>
      <c r="K408" t="str">
        <f>IF('Raw Orders'!J408,"Cancelled",IF('Raw Orders'!K408&gt;=2,"Slipped","On plan"))</f>
        <v>On plan</v>
      </c>
      <c r="L408" s="12">
        <f t="shared" si="6"/>
        <v>0</v>
      </c>
    </row>
    <row r="409" spans="1:12" x14ac:dyDescent="0.3">
      <c r="A409" t="str">
        <f>'Raw Orders'!A409</f>
        <v>NX-00405</v>
      </c>
      <c r="B409" t="str">
        <f>'Raw Orders'!B409</f>
        <v>North America</v>
      </c>
      <c r="C409" t="str">
        <f>'Raw Orders'!C409</f>
        <v>US / Canada</v>
      </c>
      <c r="D409" s="11">
        <f>'Raw Orders'!E409</f>
        <v>21.4</v>
      </c>
      <c r="E409" s="12">
        <f>'Raw Orders'!F409</f>
        <v>1776200</v>
      </c>
      <c r="F409" s="12">
        <f>'Raw Orders'!F409*0.75</f>
        <v>1332150</v>
      </c>
      <c r="G409" s="10">
        <f>'Raw Orders'!H409</f>
        <v>45870</v>
      </c>
      <c r="H409" s="10">
        <f>'Raw Orders'!I409</f>
        <v>45870</v>
      </c>
      <c r="I409" s="11">
        <f>'Raw Orders'!K409</f>
        <v>0</v>
      </c>
      <c r="J409" s="11">
        <f>IF('Raw Orders'!J409,"",(YEAR('Raw Orders'!I409)-YEAR('Raw Orders'!H409))*12+MONTH('Raw Orders'!I409)-MONTH('Raw Orders'!H409))</f>
        <v>0</v>
      </c>
      <c r="K409" t="str">
        <f>IF('Raw Orders'!J409,"Cancelled",IF('Raw Orders'!K409&gt;=2,"Slipped","On plan"))</f>
        <v>On plan</v>
      </c>
      <c r="L409" s="12">
        <f t="shared" si="6"/>
        <v>0</v>
      </c>
    </row>
    <row r="410" spans="1:12" x14ac:dyDescent="0.3">
      <c r="A410" t="str">
        <f>'Raw Orders'!A410</f>
        <v>NX-00406</v>
      </c>
      <c r="B410" t="str">
        <f>'Raw Orders'!B410</f>
        <v>North America</v>
      </c>
      <c r="C410" t="str">
        <f>'Raw Orders'!C410</f>
        <v>US / Canada</v>
      </c>
      <c r="D410" s="11">
        <f>'Raw Orders'!E410</f>
        <v>33.9</v>
      </c>
      <c r="E410" s="12">
        <f>'Raw Orders'!F410</f>
        <v>2813700</v>
      </c>
      <c r="F410" s="12">
        <f>'Raw Orders'!F410*0.75</f>
        <v>2110275</v>
      </c>
      <c r="G410" s="10">
        <f>'Raw Orders'!H410</f>
        <v>45839</v>
      </c>
      <c r="H410" s="10">
        <f>'Raw Orders'!I410</f>
        <v>45870</v>
      </c>
      <c r="I410" s="11">
        <f>'Raw Orders'!K410</f>
        <v>0.51</v>
      </c>
      <c r="J410" s="11">
        <f>IF('Raw Orders'!J410,"",(YEAR('Raw Orders'!I410)-YEAR('Raw Orders'!H410))*12+MONTH('Raw Orders'!I410)-MONTH('Raw Orders'!H410))</f>
        <v>1</v>
      </c>
      <c r="K410" t="str">
        <f>IF('Raw Orders'!J410,"Cancelled",IF('Raw Orders'!K410&gt;=2,"Slipped","On plan"))</f>
        <v>On plan</v>
      </c>
      <c r="L410" s="12">
        <f t="shared" si="6"/>
        <v>0</v>
      </c>
    </row>
    <row r="411" spans="1:12" x14ac:dyDescent="0.3">
      <c r="A411" t="str">
        <f>'Raw Orders'!A411</f>
        <v>NX-00407</v>
      </c>
      <c r="B411" t="str">
        <f>'Raw Orders'!B411</f>
        <v>North America</v>
      </c>
      <c r="C411" t="str">
        <f>'Raw Orders'!C411</f>
        <v>US / Canada</v>
      </c>
      <c r="D411" s="11">
        <f>'Raw Orders'!E411</f>
        <v>3.9</v>
      </c>
      <c r="E411" s="12">
        <f>'Raw Orders'!F411</f>
        <v>323700</v>
      </c>
      <c r="F411" s="12">
        <f>'Raw Orders'!F411*0.75</f>
        <v>242775</v>
      </c>
      <c r="G411" s="10">
        <f>'Raw Orders'!H411</f>
        <v>45992</v>
      </c>
      <c r="H411" s="10">
        <f>'Raw Orders'!I411</f>
        <v>45992</v>
      </c>
      <c r="I411" s="11">
        <f>'Raw Orders'!K411</f>
        <v>0.01</v>
      </c>
      <c r="J411" s="11">
        <f>IF('Raw Orders'!J411,"",(YEAR('Raw Orders'!I411)-YEAR('Raw Orders'!H411))*12+MONTH('Raw Orders'!I411)-MONTH('Raw Orders'!H411))</f>
        <v>0</v>
      </c>
      <c r="K411" t="str">
        <f>IF('Raw Orders'!J411,"Cancelled",IF('Raw Orders'!K411&gt;=2,"Slipped","On plan"))</f>
        <v>On plan</v>
      </c>
      <c r="L411" s="12">
        <f t="shared" si="6"/>
        <v>0</v>
      </c>
    </row>
    <row r="412" spans="1:12" x14ac:dyDescent="0.3">
      <c r="A412" t="str">
        <f>'Raw Orders'!A412</f>
        <v>NX-00408</v>
      </c>
      <c r="B412" t="str">
        <f>'Raw Orders'!B412</f>
        <v>North America</v>
      </c>
      <c r="C412" t="str">
        <f>'Raw Orders'!C412</f>
        <v>US / Canada</v>
      </c>
      <c r="D412" s="11">
        <f>'Raw Orders'!E412</f>
        <v>17.399999999999999</v>
      </c>
      <c r="E412" s="12">
        <f>'Raw Orders'!F412</f>
        <v>1444200</v>
      </c>
      <c r="F412" s="12">
        <f>'Raw Orders'!F412*0.75</f>
        <v>1083150</v>
      </c>
      <c r="G412" s="10">
        <f>'Raw Orders'!H412</f>
        <v>45962</v>
      </c>
      <c r="H412" s="10">
        <f>'Raw Orders'!I412</f>
        <v>45962</v>
      </c>
      <c r="I412" s="11">
        <f>'Raw Orders'!K412</f>
        <v>0.06</v>
      </c>
      <c r="J412" s="11">
        <f>IF('Raw Orders'!J412,"",(YEAR('Raw Orders'!I412)-YEAR('Raw Orders'!H412))*12+MONTH('Raw Orders'!I412)-MONTH('Raw Orders'!H412))</f>
        <v>0</v>
      </c>
      <c r="K412" t="str">
        <f>IF('Raw Orders'!J412,"Cancelled",IF('Raw Orders'!K412&gt;=2,"Slipped","On plan"))</f>
        <v>On plan</v>
      </c>
      <c r="L412" s="12">
        <f t="shared" si="6"/>
        <v>0</v>
      </c>
    </row>
    <row r="413" spans="1:12" x14ac:dyDescent="0.3">
      <c r="A413" t="str">
        <f>'Raw Orders'!A413</f>
        <v>NX-00409</v>
      </c>
      <c r="B413" t="str">
        <f>'Raw Orders'!B413</f>
        <v>North America</v>
      </c>
      <c r="C413" t="str">
        <f>'Raw Orders'!C413</f>
        <v>US / Canada</v>
      </c>
      <c r="D413" s="11">
        <f>'Raw Orders'!E413</f>
        <v>30.3</v>
      </c>
      <c r="E413" s="12">
        <f>'Raw Orders'!F413</f>
        <v>2514900</v>
      </c>
      <c r="F413" s="12">
        <f>'Raw Orders'!F413*0.75</f>
        <v>1886175</v>
      </c>
      <c r="G413" s="10">
        <f>'Raw Orders'!H413</f>
        <v>45839</v>
      </c>
      <c r="H413" s="10">
        <f>'Raw Orders'!I413</f>
        <v>45839</v>
      </c>
      <c r="I413" s="11">
        <f>'Raw Orders'!K413</f>
        <v>0.01</v>
      </c>
      <c r="J413" s="11">
        <f>IF('Raw Orders'!J413,"",(YEAR('Raw Orders'!I413)-YEAR('Raw Orders'!H413))*12+MONTH('Raw Orders'!I413)-MONTH('Raw Orders'!H413))</f>
        <v>0</v>
      </c>
      <c r="K413" t="str">
        <f>IF('Raw Orders'!J413,"Cancelled",IF('Raw Orders'!K413&gt;=2,"Slipped","On plan"))</f>
        <v>On plan</v>
      </c>
      <c r="L413" s="12">
        <f t="shared" si="6"/>
        <v>0</v>
      </c>
    </row>
    <row r="414" spans="1:12" x14ac:dyDescent="0.3">
      <c r="A414" t="str">
        <f>'Raw Orders'!A414</f>
        <v>NX-00410</v>
      </c>
      <c r="B414" t="str">
        <f>'Raw Orders'!B414</f>
        <v>North America</v>
      </c>
      <c r="C414" t="str">
        <f>'Raw Orders'!C414</f>
        <v>US / Canada</v>
      </c>
      <c r="D414" s="11">
        <f>'Raw Orders'!E414</f>
        <v>14.1</v>
      </c>
      <c r="E414" s="12">
        <f>'Raw Orders'!F414</f>
        <v>1170300</v>
      </c>
      <c r="F414" s="12">
        <f>'Raw Orders'!F414*0.75</f>
        <v>877725</v>
      </c>
      <c r="G414" s="10">
        <f>'Raw Orders'!H414</f>
        <v>45870</v>
      </c>
      <c r="H414" s="10">
        <f>'Raw Orders'!I414</f>
        <v>45870</v>
      </c>
      <c r="I414" s="11">
        <f>'Raw Orders'!K414</f>
        <v>0</v>
      </c>
      <c r="J414" s="11">
        <f>IF('Raw Orders'!J414,"",(YEAR('Raw Orders'!I414)-YEAR('Raw Orders'!H414))*12+MONTH('Raw Orders'!I414)-MONTH('Raw Orders'!H414))</f>
        <v>0</v>
      </c>
      <c r="K414" t="str">
        <f>IF('Raw Orders'!J414,"Cancelled",IF('Raw Orders'!K414&gt;=2,"Slipped","On plan"))</f>
        <v>On plan</v>
      </c>
      <c r="L414" s="12">
        <f t="shared" si="6"/>
        <v>0</v>
      </c>
    </row>
    <row r="415" spans="1:12" x14ac:dyDescent="0.3">
      <c r="A415" t="str">
        <f>'Raw Orders'!A415</f>
        <v>NX-00411</v>
      </c>
      <c r="B415" t="str">
        <f>'Raw Orders'!B415</f>
        <v>North America</v>
      </c>
      <c r="C415" t="str">
        <f>'Raw Orders'!C415</f>
        <v>US / Canada</v>
      </c>
      <c r="D415" s="11">
        <f>'Raw Orders'!E415</f>
        <v>17.399999999999999</v>
      </c>
      <c r="E415" s="12">
        <f>'Raw Orders'!F415</f>
        <v>1444200</v>
      </c>
      <c r="F415" s="12">
        <f>'Raw Orders'!F415*0.75</f>
        <v>1083150</v>
      </c>
      <c r="G415" s="10">
        <f>'Raw Orders'!H415</f>
        <v>45809</v>
      </c>
      <c r="H415" s="10">
        <f>'Raw Orders'!I415</f>
        <v>45809</v>
      </c>
      <c r="I415" s="11">
        <f>'Raw Orders'!K415</f>
        <v>0</v>
      </c>
      <c r="J415" s="11">
        <f>IF('Raw Orders'!J415,"",(YEAR('Raw Orders'!I415)-YEAR('Raw Orders'!H415))*12+MONTH('Raw Orders'!I415)-MONTH('Raw Orders'!H415))</f>
        <v>0</v>
      </c>
      <c r="K415" t="str">
        <f>IF('Raw Orders'!J415,"Cancelled",IF('Raw Orders'!K415&gt;=2,"Slipped","On plan"))</f>
        <v>On plan</v>
      </c>
      <c r="L415" s="12">
        <f t="shared" si="6"/>
        <v>0</v>
      </c>
    </row>
    <row r="416" spans="1:12" x14ac:dyDescent="0.3">
      <c r="A416" t="str">
        <f>'Raw Orders'!A416</f>
        <v>NX-00412</v>
      </c>
      <c r="B416" t="str">
        <f>'Raw Orders'!B416</f>
        <v>North America</v>
      </c>
      <c r="C416" t="str">
        <f>'Raw Orders'!C416</f>
        <v>US / Canada</v>
      </c>
      <c r="D416" s="11">
        <f>'Raw Orders'!E416</f>
        <v>67.5</v>
      </c>
      <c r="E416" s="12">
        <f>'Raw Orders'!F416</f>
        <v>5602500</v>
      </c>
      <c r="F416" s="12">
        <f>'Raw Orders'!F416*0.75</f>
        <v>4201875</v>
      </c>
      <c r="G416" s="10">
        <f>'Raw Orders'!H416</f>
        <v>45931</v>
      </c>
      <c r="H416" s="10">
        <f>'Raw Orders'!I416</f>
        <v>45931</v>
      </c>
      <c r="I416" s="11">
        <f>'Raw Orders'!K416</f>
        <v>0.05</v>
      </c>
      <c r="J416" s="11">
        <f>IF('Raw Orders'!J416,"",(YEAR('Raw Orders'!I416)-YEAR('Raw Orders'!H416))*12+MONTH('Raw Orders'!I416)-MONTH('Raw Orders'!H416))</f>
        <v>0</v>
      </c>
      <c r="K416" t="str">
        <f>IF('Raw Orders'!J416,"Cancelled",IF('Raw Orders'!K416&gt;=2,"Slipped","On plan"))</f>
        <v>On plan</v>
      </c>
      <c r="L416" s="12">
        <f t="shared" si="6"/>
        <v>0</v>
      </c>
    </row>
    <row r="417" spans="1:12" x14ac:dyDescent="0.3">
      <c r="A417" t="str">
        <f>'Raw Orders'!A417</f>
        <v>NX-00413</v>
      </c>
      <c r="B417" t="str">
        <f>'Raw Orders'!B417</f>
        <v>North America</v>
      </c>
      <c r="C417" t="str">
        <f>'Raw Orders'!C417</f>
        <v>US / Canada</v>
      </c>
      <c r="D417" s="11">
        <f>'Raw Orders'!E417</f>
        <v>2.1</v>
      </c>
      <c r="E417" s="12">
        <f>'Raw Orders'!F417</f>
        <v>174300</v>
      </c>
      <c r="F417" s="12">
        <f>'Raw Orders'!F417*0.75</f>
        <v>130725</v>
      </c>
      <c r="G417" s="10">
        <f>'Raw Orders'!H417</f>
        <v>45870</v>
      </c>
      <c r="H417" s="10">
        <f>'Raw Orders'!I417</f>
        <v>45870</v>
      </c>
      <c r="I417" s="11">
        <f>'Raw Orders'!K417</f>
        <v>0.05</v>
      </c>
      <c r="J417" s="11">
        <f>IF('Raw Orders'!J417,"",(YEAR('Raw Orders'!I417)-YEAR('Raw Orders'!H417))*12+MONTH('Raw Orders'!I417)-MONTH('Raw Orders'!H417))</f>
        <v>0</v>
      </c>
      <c r="K417" t="str">
        <f>IF('Raw Orders'!J417,"Cancelled",IF('Raw Orders'!K417&gt;=2,"Slipped","On plan"))</f>
        <v>On plan</v>
      </c>
      <c r="L417" s="12">
        <f t="shared" si="6"/>
        <v>0</v>
      </c>
    </row>
    <row r="418" spans="1:12" x14ac:dyDescent="0.3">
      <c r="A418" t="str">
        <f>'Raw Orders'!A418</f>
        <v>NX-00414</v>
      </c>
      <c r="B418" t="str">
        <f>'Raw Orders'!B418</f>
        <v>North America</v>
      </c>
      <c r="C418" t="str">
        <f>'Raw Orders'!C418</f>
        <v>US / Canada</v>
      </c>
      <c r="D418" s="11">
        <f>'Raw Orders'!E418</f>
        <v>15.6</v>
      </c>
      <c r="E418" s="12">
        <f>'Raw Orders'!F418</f>
        <v>1294800</v>
      </c>
      <c r="F418" s="12">
        <f>'Raw Orders'!F418*0.75</f>
        <v>971100</v>
      </c>
      <c r="G418" s="10">
        <f>'Raw Orders'!H418</f>
        <v>45809</v>
      </c>
      <c r="H418" s="10">
        <f>'Raw Orders'!I418</f>
        <v>45809</v>
      </c>
      <c r="I418" s="11">
        <f>'Raw Orders'!K418</f>
        <v>0.11</v>
      </c>
      <c r="J418" s="11">
        <f>IF('Raw Orders'!J418,"",(YEAR('Raw Orders'!I418)-YEAR('Raw Orders'!H418))*12+MONTH('Raw Orders'!I418)-MONTH('Raw Orders'!H418))</f>
        <v>0</v>
      </c>
      <c r="K418" t="str">
        <f>IF('Raw Orders'!J418,"Cancelled",IF('Raw Orders'!K418&gt;=2,"Slipped","On plan"))</f>
        <v>On plan</v>
      </c>
      <c r="L418" s="12">
        <f t="shared" si="6"/>
        <v>0</v>
      </c>
    </row>
    <row r="419" spans="1:12" x14ac:dyDescent="0.3">
      <c r="A419" t="str">
        <f>'Raw Orders'!A419</f>
        <v>NX-00415</v>
      </c>
      <c r="B419" t="str">
        <f>'Raw Orders'!B419</f>
        <v>North America</v>
      </c>
      <c r="C419" t="str">
        <f>'Raw Orders'!C419</f>
        <v>US / Canada</v>
      </c>
      <c r="D419" s="11">
        <f>'Raw Orders'!E419</f>
        <v>28.4</v>
      </c>
      <c r="E419" s="12">
        <f>'Raw Orders'!F419</f>
        <v>2357200</v>
      </c>
      <c r="F419" s="12">
        <f>'Raw Orders'!F419*0.75</f>
        <v>1767900</v>
      </c>
      <c r="G419" s="10">
        <f>'Raw Orders'!H419</f>
        <v>45809</v>
      </c>
      <c r="H419" s="10">
        <f>'Raw Orders'!I419</f>
        <v>45809</v>
      </c>
      <c r="I419" s="11">
        <f>'Raw Orders'!K419</f>
        <v>0</v>
      </c>
      <c r="J419" s="11">
        <f>IF('Raw Orders'!J419,"",(YEAR('Raw Orders'!I419)-YEAR('Raw Orders'!H419))*12+MONTH('Raw Orders'!I419)-MONTH('Raw Orders'!H419))</f>
        <v>0</v>
      </c>
      <c r="K419" t="str">
        <f>IF('Raw Orders'!J419,"Cancelled",IF('Raw Orders'!K419&gt;=2,"Slipped","On plan"))</f>
        <v>On plan</v>
      </c>
      <c r="L419" s="12">
        <f t="shared" si="6"/>
        <v>0</v>
      </c>
    </row>
    <row r="420" spans="1:12" x14ac:dyDescent="0.3">
      <c r="A420" t="str">
        <f>'Raw Orders'!A420</f>
        <v>NX-00416</v>
      </c>
      <c r="B420" t="str">
        <f>'Raw Orders'!B420</f>
        <v>North America</v>
      </c>
      <c r="C420" t="str">
        <f>'Raw Orders'!C420</f>
        <v>US / Canada</v>
      </c>
      <c r="D420" s="11">
        <f>'Raw Orders'!E420</f>
        <v>12.8</v>
      </c>
      <c r="E420" s="12">
        <f>'Raw Orders'!F420</f>
        <v>1062400</v>
      </c>
      <c r="F420" s="12">
        <f>'Raw Orders'!F420*0.75</f>
        <v>796800</v>
      </c>
      <c r="G420" s="10">
        <f>'Raw Orders'!H420</f>
        <v>45931</v>
      </c>
      <c r="H420" s="10">
        <f>'Raw Orders'!I420</f>
        <v>45931</v>
      </c>
      <c r="I420" s="11">
        <f>'Raw Orders'!K420</f>
        <v>0.01</v>
      </c>
      <c r="J420" s="11">
        <f>IF('Raw Orders'!J420,"",(YEAR('Raw Orders'!I420)-YEAR('Raw Orders'!H420))*12+MONTH('Raw Orders'!I420)-MONTH('Raw Orders'!H420))</f>
        <v>0</v>
      </c>
      <c r="K420" t="str">
        <f>IF('Raw Orders'!J420,"Cancelled",IF('Raw Orders'!K420&gt;=2,"Slipped","On plan"))</f>
        <v>On plan</v>
      </c>
      <c r="L420" s="12">
        <f t="shared" si="6"/>
        <v>0</v>
      </c>
    </row>
    <row r="421" spans="1:12" x14ac:dyDescent="0.3">
      <c r="A421" t="str">
        <f>'Raw Orders'!A421</f>
        <v>NX-00417</v>
      </c>
      <c r="B421" t="str">
        <f>'Raw Orders'!B421</f>
        <v>North America</v>
      </c>
      <c r="C421" t="str">
        <f>'Raw Orders'!C421</f>
        <v>US / Canada</v>
      </c>
      <c r="D421" s="11">
        <f>'Raw Orders'!E421</f>
        <v>6.8</v>
      </c>
      <c r="E421" s="12">
        <f>'Raw Orders'!F421</f>
        <v>564400</v>
      </c>
      <c r="F421" s="12">
        <f>'Raw Orders'!F421*0.75</f>
        <v>423300</v>
      </c>
      <c r="G421" s="10">
        <f>'Raw Orders'!H421</f>
        <v>45962</v>
      </c>
      <c r="H421" s="10">
        <f>'Raw Orders'!I421</f>
        <v>45962</v>
      </c>
      <c r="I421" s="11">
        <f>'Raw Orders'!K421</f>
        <v>0</v>
      </c>
      <c r="J421" s="11">
        <f>IF('Raw Orders'!J421,"",(YEAR('Raw Orders'!I421)-YEAR('Raw Orders'!H421))*12+MONTH('Raw Orders'!I421)-MONTH('Raw Orders'!H421))</f>
        <v>0</v>
      </c>
      <c r="K421" t="str">
        <f>IF('Raw Orders'!J421,"Cancelled",IF('Raw Orders'!K421&gt;=2,"Slipped","On plan"))</f>
        <v>On plan</v>
      </c>
      <c r="L421" s="12">
        <f t="shared" si="6"/>
        <v>0</v>
      </c>
    </row>
    <row r="422" spans="1:12" x14ac:dyDescent="0.3">
      <c r="A422" t="str">
        <f>'Raw Orders'!A422</f>
        <v>NX-00418</v>
      </c>
      <c r="B422" t="str">
        <f>'Raw Orders'!B422</f>
        <v>North America</v>
      </c>
      <c r="C422" t="str">
        <f>'Raw Orders'!C422</f>
        <v>US / Canada</v>
      </c>
      <c r="D422" s="11">
        <f>'Raw Orders'!E422</f>
        <v>4.5999999999999996</v>
      </c>
      <c r="E422" s="12">
        <f>'Raw Orders'!F422</f>
        <v>381800</v>
      </c>
      <c r="F422" s="12">
        <f>'Raw Orders'!F422*0.75</f>
        <v>286350</v>
      </c>
      <c r="G422" s="10">
        <f>'Raw Orders'!H422</f>
        <v>45839</v>
      </c>
      <c r="H422" s="10">
        <f>'Raw Orders'!I422</f>
        <v>45870</v>
      </c>
      <c r="I422" s="11">
        <f>'Raw Orders'!K422</f>
        <v>0.59</v>
      </c>
      <c r="J422" s="11">
        <f>IF('Raw Orders'!J422,"",(YEAR('Raw Orders'!I422)-YEAR('Raw Orders'!H422))*12+MONTH('Raw Orders'!I422)-MONTH('Raw Orders'!H422))</f>
        <v>1</v>
      </c>
      <c r="K422" t="str">
        <f>IF('Raw Orders'!J422,"Cancelled",IF('Raw Orders'!K422&gt;=2,"Slipped","On plan"))</f>
        <v>On plan</v>
      </c>
      <c r="L422" s="12">
        <f t="shared" si="6"/>
        <v>0</v>
      </c>
    </row>
    <row r="423" spans="1:12" x14ac:dyDescent="0.3">
      <c r="A423" t="str">
        <f>'Raw Orders'!A423</f>
        <v>NX-00419</v>
      </c>
      <c r="B423" t="str">
        <f>'Raw Orders'!B423</f>
        <v>North America</v>
      </c>
      <c r="C423" t="str">
        <f>'Raw Orders'!C423</f>
        <v>US / Canada</v>
      </c>
      <c r="D423" s="11">
        <f>'Raw Orders'!E423</f>
        <v>6.6</v>
      </c>
      <c r="E423" s="12">
        <f>'Raw Orders'!F423</f>
        <v>547800</v>
      </c>
      <c r="F423" s="12">
        <f>'Raw Orders'!F423*0.75</f>
        <v>410850</v>
      </c>
      <c r="G423" s="10">
        <f>'Raw Orders'!H423</f>
        <v>45962</v>
      </c>
      <c r="H423" s="10">
        <f>'Raw Orders'!I423</f>
        <v>45962</v>
      </c>
      <c r="I423" s="11">
        <f>'Raw Orders'!K423</f>
        <v>0.48</v>
      </c>
      <c r="J423" s="11">
        <f>IF('Raw Orders'!J423,"",(YEAR('Raw Orders'!I423)-YEAR('Raw Orders'!H423))*12+MONTH('Raw Orders'!I423)-MONTH('Raw Orders'!H423))</f>
        <v>0</v>
      </c>
      <c r="K423" t="str">
        <f>IF('Raw Orders'!J423,"Cancelled",IF('Raw Orders'!K423&gt;=2,"Slipped","On plan"))</f>
        <v>On plan</v>
      </c>
      <c r="L423" s="12">
        <f t="shared" si="6"/>
        <v>0</v>
      </c>
    </row>
    <row r="424" spans="1:12" x14ac:dyDescent="0.3">
      <c r="A424" t="str">
        <f>'Raw Orders'!A424</f>
        <v>NX-00420</v>
      </c>
      <c r="B424" t="str">
        <f>'Raw Orders'!B424</f>
        <v>North America</v>
      </c>
      <c r="C424" t="str">
        <f>'Raw Orders'!C424</f>
        <v>US / Canada</v>
      </c>
      <c r="D424" s="11">
        <f>'Raw Orders'!E424</f>
        <v>7.7</v>
      </c>
      <c r="E424" s="12">
        <f>'Raw Orders'!F424</f>
        <v>639100</v>
      </c>
      <c r="F424" s="12">
        <f>'Raw Orders'!F424*0.75</f>
        <v>479325</v>
      </c>
      <c r="G424" s="10">
        <f>'Raw Orders'!H424</f>
        <v>45809</v>
      </c>
      <c r="H424" s="10">
        <f>'Raw Orders'!I424</f>
        <v>45901</v>
      </c>
      <c r="I424" s="11">
        <f>'Raw Orders'!K424</f>
        <v>2.64</v>
      </c>
      <c r="J424" s="11">
        <f>IF('Raw Orders'!J424,"",(YEAR('Raw Orders'!I424)-YEAR('Raw Orders'!H424))*12+MONTH('Raw Orders'!I424)-MONTH('Raw Orders'!H424))</f>
        <v>3</v>
      </c>
      <c r="K424" t="str">
        <f>IF('Raw Orders'!J424,"Cancelled",IF('Raw Orders'!K424&gt;=2,"Slipped","On plan"))</f>
        <v>Slipped</v>
      </c>
      <c r="L424" s="12">
        <f t="shared" si="6"/>
        <v>479325</v>
      </c>
    </row>
    <row r="425" spans="1:12" x14ac:dyDescent="0.3">
      <c r="A425" t="str">
        <f>'Raw Orders'!A425</f>
        <v>NX-00421</v>
      </c>
      <c r="B425" t="str">
        <f>'Raw Orders'!B425</f>
        <v>North America</v>
      </c>
      <c r="C425" t="str">
        <f>'Raw Orders'!C425</f>
        <v>US / Canada</v>
      </c>
      <c r="D425" s="11">
        <f>'Raw Orders'!E425</f>
        <v>13</v>
      </c>
      <c r="E425" s="12">
        <f>'Raw Orders'!F425</f>
        <v>1079000</v>
      </c>
      <c r="F425" s="12">
        <f>'Raw Orders'!F425*0.75</f>
        <v>809250</v>
      </c>
      <c r="G425" s="10">
        <f>'Raw Orders'!H425</f>
        <v>45839</v>
      </c>
      <c r="H425" s="10">
        <f>'Raw Orders'!I425</f>
        <v>45870</v>
      </c>
      <c r="I425" s="11">
        <f>'Raw Orders'!K425</f>
        <v>1.41</v>
      </c>
      <c r="J425" s="11">
        <f>IF('Raw Orders'!J425,"",(YEAR('Raw Orders'!I425)-YEAR('Raw Orders'!H425))*12+MONTH('Raw Orders'!I425)-MONTH('Raw Orders'!H425))</f>
        <v>1</v>
      </c>
      <c r="K425" t="str">
        <f>IF('Raw Orders'!J425,"Cancelled",IF('Raw Orders'!K425&gt;=2,"Slipped","On plan"))</f>
        <v>On plan</v>
      </c>
      <c r="L425" s="12">
        <f t="shared" si="6"/>
        <v>0</v>
      </c>
    </row>
    <row r="426" spans="1:12" x14ac:dyDescent="0.3">
      <c r="A426" t="str">
        <f>'Raw Orders'!A426</f>
        <v>NX-00422</v>
      </c>
      <c r="B426" t="str">
        <f>'Raw Orders'!B426</f>
        <v>North America</v>
      </c>
      <c r="C426" t="str">
        <f>'Raw Orders'!C426</f>
        <v>US / Canada</v>
      </c>
      <c r="D426" s="11">
        <f>'Raw Orders'!E426</f>
        <v>8.6</v>
      </c>
      <c r="E426" s="12">
        <f>'Raw Orders'!F426</f>
        <v>713800</v>
      </c>
      <c r="F426" s="12">
        <f>'Raw Orders'!F426*0.75</f>
        <v>535350</v>
      </c>
      <c r="G426" s="10">
        <f>'Raw Orders'!H426</f>
        <v>45870</v>
      </c>
      <c r="H426" s="10">
        <f>'Raw Orders'!I426</f>
        <v>45870</v>
      </c>
      <c r="I426" s="11">
        <f>'Raw Orders'!K426</f>
        <v>0.06</v>
      </c>
      <c r="J426" s="11">
        <f>IF('Raw Orders'!J426,"",(YEAR('Raw Orders'!I426)-YEAR('Raw Orders'!H426))*12+MONTH('Raw Orders'!I426)-MONTH('Raw Orders'!H426))</f>
        <v>0</v>
      </c>
      <c r="K426" t="str">
        <f>IF('Raw Orders'!J426,"Cancelled",IF('Raw Orders'!K426&gt;=2,"Slipped","On plan"))</f>
        <v>On plan</v>
      </c>
      <c r="L426" s="12">
        <f t="shared" si="6"/>
        <v>0</v>
      </c>
    </row>
    <row r="427" spans="1:12" x14ac:dyDescent="0.3">
      <c r="A427" t="str">
        <f>'Raw Orders'!A427</f>
        <v>NX-00423</v>
      </c>
      <c r="B427" t="str">
        <f>'Raw Orders'!B427</f>
        <v>North America</v>
      </c>
      <c r="C427" t="str">
        <f>'Raw Orders'!C427</f>
        <v>US / Canada</v>
      </c>
      <c r="D427" s="11">
        <f>'Raw Orders'!E427</f>
        <v>14.7</v>
      </c>
      <c r="E427" s="12">
        <f>'Raw Orders'!F427</f>
        <v>1220100</v>
      </c>
      <c r="F427" s="12">
        <f>'Raw Orders'!F427*0.75</f>
        <v>915075</v>
      </c>
      <c r="G427" s="10">
        <f>'Raw Orders'!H427</f>
        <v>45870</v>
      </c>
      <c r="H427" s="10">
        <f>'Raw Orders'!I427</f>
        <v>45870</v>
      </c>
      <c r="I427" s="11">
        <f>'Raw Orders'!K427</f>
        <v>0.04</v>
      </c>
      <c r="J427" s="11">
        <f>IF('Raw Orders'!J427,"",(YEAR('Raw Orders'!I427)-YEAR('Raw Orders'!H427))*12+MONTH('Raw Orders'!I427)-MONTH('Raw Orders'!H427))</f>
        <v>0</v>
      </c>
      <c r="K427" t="str">
        <f>IF('Raw Orders'!J427,"Cancelled",IF('Raw Orders'!K427&gt;=2,"Slipped","On plan"))</f>
        <v>On plan</v>
      </c>
      <c r="L427" s="12">
        <f t="shared" si="6"/>
        <v>0</v>
      </c>
    </row>
    <row r="428" spans="1:12" x14ac:dyDescent="0.3">
      <c r="A428" t="str">
        <f>'Raw Orders'!A428</f>
        <v>NX-00424</v>
      </c>
      <c r="B428" t="str">
        <f>'Raw Orders'!B428</f>
        <v>North America</v>
      </c>
      <c r="C428" t="str">
        <f>'Raw Orders'!C428</f>
        <v>US / Canada</v>
      </c>
      <c r="D428" s="11">
        <f>'Raw Orders'!E428</f>
        <v>11.2</v>
      </c>
      <c r="E428" s="12">
        <f>'Raw Orders'!F428</f>
        <v>929600</v>
      </c>
      <c r="F428" s="12">
        <f>'Raw Orders'!F428*0.75</f>
        <v>697200</v>
      </c>
      <c r="G428" s="10">
        <f>'Raw Orders'!H428</f>
        <v>45870</v>
      </c>
      <c r="H428" s="10">
        <f>'Raw Orders'!I428</f>
        <v>45870</v>
      </c>
      <c r="I428" s="11">
        <f>'Raw Orders'!K428</f>
        <v>0.32</v>
      </c>
      <c r="J428" s="11">
        <f>IF('Raw Orders'!J428,"",(YEAR('Raw Orders'!I428)-YEAR('Raw Orders'!H428))*12+MONTH('Raw Orders'!I428)-MONTH('Raw Orders'!H428))</f>
        <v>0</v>
      </c>
      <c r="K428" t="str">
        <f>IF('Raw Orders'!J428,"Cancelled",IF('Raw Orders'!K428&gt;=2,"Slipped","On plan"))</f>
        <v>On plan</v>
      </c>
      <c r="L428" s="12">
        <f t="shared" si="6"/>
        <v>0</v>
      </c>
    </row>
    <row r="429" spans="1:12" x14ac:dyDescent="0.3">
      <c r="A429" t="str">
        <f>'Raw Orders'!A429</f>
        <v>NX-00425</v>
      </c>
      <c r="B429" t="str">
        <f>'Raw Orders'!B429</f>
        <v>North America</v>
      </c>
      <c r="C429" t="str">
        <f>'Raw Orders'!C429</f>
        <v>US / Canada</v>
      </c>
      <c r="D429" s="11">
        <f>'Raw Orders'!E429</f>
        <v>7.9</v>
      </c>
      <c r="E429" s="12">
        <f>'Raw Orders'!F429</f>
        <v>655700</v>
      </c>
      <c r="F429" s="12">
        <f>'Raw Orders'!F429*0.75</f>
        <v>491775</v>
      </c>
      <c r="G429" s="10">
        <f>'Raw Orders'!H429</f>
        <v>45870</v>
      </c>
      <c r="H429" s="10">
        <f>'Raw Orders'!I429</f>
        <v>45931</v>
      </c>
      <c r="I429" s="11">
        <f>'Raw Orders'!K429</f>
        <v>1.97</v>
      </c>
      <c r="J429" s="11">
        <f>IF('Raw Orders'!J429,"",(YEAR('Raw Orders'!I429)-YEAR('Raw Orders'!H429))*12+MONTH('Raw Orders'!I429)-MONTH('Raw Orders'!H429))</f>
        <v>2</v>
      </c>
      <c r="K429" t="str">
        <f>IF('Raw Orders'!J429,"Cancelled",IF('Raw Orders'!K429&gt;=2,"Slipped","On plan"))</f>
        <v>On plan</v>
      </c>
      <c r="L429" s="12">
        <f t="shared" si="6"/>
        <v>0</v>
      </c>
    </row>
    <row r="430" spans="1:12" x14ac:dyDescent="0.3">
      <c r="A430" t="str">
        <f>'Raw Orders'!A430</f>
        <v>NX-00426</v>
      </c>
      <c r="B430" t="str">
        <f>'Raw Orders'!B430</f>
        <v>EMEA</v>
      </c>
      <c r="C430" t="str">
        <f>'Raw Orders'!C430</f>
        <v>MENA</v>
      </c>
      <c r="D430" s="11">
        <f>'Raw Orders'!E430</f>
        <v>7.3</v>
      </c>
      <c r="E430" s="12">
        <f>'Raw Orders'!F430</f>
        <v>591300</v>
      </c>
      <c r="F430" s="12">
        <f>'Raw Orders'!F430*0.75</f>
        <v>443475</v>
      </c>
      <c r="G430" s="10">
        <f>'Raw Orders'!H430</f>
        <v>45839</v>
      </c>
      <c r="H430" s="10">
        <f>'Raw Orders'!I430</f>
        <v>45839</v>
      </c>
      <c r="I430" s="11">
        <f>'Raw Orders'!K430</f>
        <v>0.16</v>
      </c>
      <c r="J430" s="11">
        <f>IF('Raw Orders'!J430,"",(YEAR('Raw Orders'!I430)-YEAR('Raw Orders'!H430))*12+MONTH('Raw Orders'!I430)-MONTH('Raw Orders'!H430))</f>
        <v>0</v>
      </c>
      <c r="K430" t="str">
        <f>IF('Raw Orders'!J430,"Cancelled",IF('Raw Orders'!K430&gt;=2,"Slipped","On plan"))</f>
        <v>On plan</v>
      </c>
      <c r="L430" s="12">
        <f t="shared" si="6"/>
        <v>0</v>
      </c>
    </row>
    <row r="431" spans="1:12" x14ac:dyDescent="0.3">
      <c r="A431" t="str">
        <f>'Raw Orders'!A431</f>
        <v>NX-00427</v>
      </c>
      <c r="B431" t="str">
        <f>'Raw Orders'!B431</f>
        <v>EMEA</v>
      </c>
      <c r="C431" t="str">
        <f>'Raw Orders'!C431</f>
        <v>MENA</v>
      </c>
      <c r="D431" s="11">
        <f>'Raw Orders'!E431</f>
        <v>28.8</v>
      </c>
      <c r="E431" s="12">
        <f>'Raw Orders'!F431</f>
        <v>2332800</v>
      </c>
      <c r="F431" s="12">
        <f>'Raw Orders'!F431*0.75</f>
        <v>1749600</v>
      </c>
      <c r="G431" s="10">
        <f>'Raw Orders'!H431</f>
        <v>45962</v>
      </c>
      <c r="H431" s="10">
        <f>'Raw Orders'!I431</f>
        <v>0</v>
      </c>
      <c r="I431" s="11">
        <f>'Raw Orders'!K431</f>
        <v>2.5099999999999998</v>
      </c>
      <c r="J431" s="11" t="str">
        <f>IF('Raw Orders'!J431,"",(YEAR('Raw Orders'!I431)-YEAR('Raw Orders'!H431))*12+MONTH('Raw Orders'!I431)-MONTH('Raw Orders'!H431))</f>
        <v/>
      </c>
      <c r="K431" t="str">
        <f>IF('Raw Orders'!J431,"Cancelled",IF('Raw Orders'!K431&gt;=2,"Slipped","On plan"))</f>
        <v>Cancelled</v>
      </c>
      <c r="L431" s="12">
        <f t="shared" si="6"/>
        <v>1749600</v>
      </c>
    </row>
    <row r="432" spans="1:12" x14ac:dyDescent="0.3">
      <c r="A432" t="str">
        <f>'Raw Orders'!A432</f>
        <v>NX-00428</v>
      </c>
      <c r="B432" t="str">
        <f>'Raw Orders'!B432</f>
        <v>APAC</v>
      </c>
      <c r="C432" t="str">
        <f>'Raw Orders'!C432</f>
        <v>India</v>
      </c>
      <c r="D432" s="11">
        <f>'Raw Orders'!E432</f>
        <v>3.4</v>
      </c>
      <c r="E432" s="12">
        <f>'Raw Orders'!F432</f>
        <v>241400</v>
      </c>
      <c r="F432" s="12">
        <f>'Raw Orders'!F432*0.75</f>
        <v>181050</v>
      </c>
      <c r="G432" s="10">
        <f>'Raw Orders'!H432</f>
        <v>45931</v>
      </c>
      <c r="H432" s="10">
        <f>'Raw Orders'!I432</f>
        <v>46082</v>
      </c>
      <c r="I432" s="11">
        <f>'Raw Orders'!K432</f>
        <v>4.84</v>
      </c>
      <c r="J432" s="11">
        <f>IF('Raw Orders'!J432,"",(YEAR('Raw Orders'!I432)-YEAR('Raw Orders'!H432))*12+MONTH('Raw Orders'!I432)-MONTH('Raw Orders'!H432))</f>
        <v>5</v>
      </c>
      <c r="K432" t="str">
        <f>IF('Raw Orders'!J432,"Cancelled",IF('Raw Orders'!K432&gt;=2,"Slipped","On plan"))</f>
        <v>Slipped</v>
      </c>
      <c r="L432" s="12">
        <f t="shared" si="6"/>
        <v>181050</v>
      </c>
    </row>
    <row r="433" spans="1:12" x14ac:dyDescent="0.3">
      <c r="A433" t="str">
        <f>'Raw Orders'!A433</f>
        <v>NX-00429</v>
      </c>
      <c r="B433" t="str">
        <f>'Raw Orders'!B433</f>
        <v>APAC</v>
      </c>
      <c r="C433" t="str">
        <f>'Raw Orders'!C433</f>
        <v>India</v>
      </c>
      <c r="D433" s="11">
        <f>'Raw Orders'!E433</f>
        <v>15</v>
      </c>
      <c r="E433" s="12">
        <f>'Raw Orders'!F433</f>
        <v>1065000</v>
      </c>
      <c r="F433" s="12">
        <f>'Raw Orders'!F433*0.75</f>
        <v>798750</v>
      </c>
      <c r="G433" s="10">
        <f>'Raw Orders'!H433</f>
        <v>45901</v>
      </c>
      <c r="H433" s="10">
        <f>'Raw Orders'!I433</f>
        <v>45901</v>
      </c>
      <c r="I433" s="11">
        <f>'Raw Orders'!K433</f>
        <v>0.49</v>
      </c>
      <c r="J433" s="11">
        <f>IF('Raw Orders'!J433,"",(YEAR('Raw Orders'!I433)-YEAR('Raw Orders'!H433))*12+MONTH('Raw Orders'!I433)-MONTH('Raw Orders'!H433))</f>
        <v>0</v>
      </c>
      <c r="K433" t="str">
        <f>IF('Raw Orders'!J433,"Cancelled",IF('Raw Orders'!K433&gt;=2,"Slipped","On plan"))</f>
        <v>On plan</v>
      </c>
      <c r="L433" s="12">
        <f t="shared" si="6"/>
        <v>0</v>
      </c>
    </row>
    <row r="434" spans="1:12" x14ac:dyDescent="0.3">
      <c r="A434" t="str">
        <f>'Raw Orders'!A434</f>
        <v>NX-00430</v>
      </c>
      <c r="B434" t="str">
        <f>'Raw Orders'!B434</f>
        <v>APAC</v>
      </c>
      <c r="C434" t="str">
        <f>'Raw Orders'!C434</f>
        <v>Australia/SEA</v>
      </c>
      <c r="D434" s="11">
        <f>'Raw Orders'!E434</f>
        <v>4.7</v>
      </c>
      <c r="E434" s="12">
        <f>'Raw Orders'!F434</f>
        <v>394800</v>
      </c>
      <c r="F434" s="12">
        <f>'Raw Orders'!F434*0.75</f>
        <v>296100</v>
      </c>
      <c r="G434" s="10">
        <f>'Raw Orders'!H434</f>
        <v>45870</v>
      </c>
      <c r="H434" s="10">
        <f>'Raw Orders'!I434</f>
        <v>45870</v>
      </c>
      <c r="I434" s="11">
        <f>'Raw Orders'!K434</f>
        <v>0.04</v>
      </c>
      <c r="J434" s="11">
        <f>IF('Raw Orders'!J434,"",(YEAR('Raw Orders'!I434)-YEAR('Raw Orders'!H434))*12+MONTH('Raw Orders'!I434)-MONTH('Raw Orders'!H434))</f>
        <v>0</v>
      </c>
      <c r="K434" t="str">
        <f>IF('Raw Orders'!J434,"Cancelled",IF('Raw Orders'!K434&gt;=2,"Slipped","On plan"))</f>
        <v>On plan</v>
      </c>
      <c r="L434" s="12">
        <f t="shared" si="6"/>
        <v>0</v>
      </c>
    </row>
    <row r="435" spans="1:12" x14ac:dyDescent="0.3">
      <c r="A435" t="str">
        <f>'Raw Orders'!A435</f>
        <v>NX-00431</v>
      </c>
      <c r="B435" t="str">
        <f>'Raw Orders'!B435</f>
        <v>APAC</v>
      </c>
      <c r="C435" t="str">
        <f>'Raw Orders'!C435</f>
        <v>Australia/SEA</v>
      </c>
      <c r="D435" s="11">
        <f>'Raw Orders'!E435</f>
        <v>29.8</v>
      </c>
      <c r="E435" s="12">
        <f>'Raw Orders'!F435</f>
        <v>2503200</v>
      </c>
      <c r="F435" s="12">
        <f>'Raw Orders'!F435*0.75</f>
        <v>1877400</v>
      </c>
      <c r="G435" s="10">
        <f>'Raw Orders'!H435</f>
        <v>45901</v>
      </c>
      <c r="H435" s="10">
        <f>'Raw Orders'!I435</f>
        <v>45901</v>
      </c>
      <c r="I435" s="11">
        <f>'Raw Orders'!K435</f>
        <v>0</v>
      </c>
      <c r="J435" s="11">
        <f>IF('Raw Orders'!J435,"",(YEAR('Raw Orders'!I435)-YEAR('Raw Orders'!H435))*12+MONTH('Raw Orders'!I435)-MONTH('Raw Orders'!H435))</f>
        <v>0</v>
      </c>
      <c r="K435" t="str">
        <f>IF('Raw Orders'!J435,"Cancelled",IF('Raw Orders'!K435&gt;=2,"Slipped","On plan"))</f>
        <v>On plan</v>
      </c>
      <c r="L435" s="12">
        <f t="shared" si="6"/>
        <v>0</v>
      </c>
    </row>
    <row r="436" spans="1:12" x14ac:dyDescent="0.3">
      <c r="A436" t="str">
        <f>'Raw Orders'!A436</f>
        <v>NX-00432</v>
      </c>
      <c r="B436" t="str">
        <f>'Raw Orders'!B436</f>
        <v>LATAM</v>
      </c>
      <c r="C436" t="str">
        <f>'Raw Orders'!C436</f>
        <v>LATAM</v>
      </c>
      <c r="D436" s="11">
        <f>'Raw Orders'!E436</f>
        <v>13.8</v>
      </c>
      <c r="E436" s="12">
        <f>'Raw Orders'!F436</f>
        <v>1090200</v>
      </c>
      <c r="F436" s="12">
        <f>'Raw Orders'!F436*0.75</f>
        <v>817650</v>
      </c>
      <c r="G436" s="10">
        <f>'Raw Orders'!H436</f>
        <v>45839</v>
      </c>
      <c r="H436" s="10">
        <f>'Raw Orders'!I436</f>
        <v>45839</v>
      </c>
      <c r="I436" s="11">
        <f>'Raw Orders'!K436</f>
        <v>0.19</v>
      </c>
      <c r="J436" s="11">
        <f>IF('Raw Orders'!J436,"",(YEAR('Raw Orders'!I436)-YEAR('Raw Orders'!H436))*12+MONTH('Raw Orders'!I436)-MONTH('Raw Orders'!H436))</f>
        <v>0</v>
      </c>
      <c r="K436" t="str">
        <f>IF('Raw Orders'!J436,"Cancelled",IF('Raw Orders'!K436&gt;=2,"Slipped","On plan"))</f>
        <v>On plan</v>
      </c>
      <c r="L436" s="12">
        <f t="shared" si="6"/>
        <v>0</v>
      </c>
    </row>
    <row r="437" spans="1:12" x14ac:dyDescent="0.3">
      <c r="A437" t="str">
        <f>'Raw Orders'!A437</f>
        <v>NX-00433</v>
      </c>
      <c r="B437" t="str">
        <f>'Raw Orders'!B437</f>
        <v>LATAM</v>
      </c>
      <c r="C437" t="str">
        <f>'Raw Orders'!C437</f>
        <v>LATAM</v>
      </c>
      <c r="D437" s="11">
        <f>'Raw Orders'!E437</f>
        <v>10.3</v>
      </c>
      <c r="E437" s="12">
        <f>'Raw Orders'!F437</f>
        <v>813700</v>
      </c>
      <c r="F437" s="12">
        <f>'Raw Orders'!F437*0.75</f>
        <v>610275</v>
      </c>
      <c r="G437" s="10">
        <f>'Raw Orders'!H437</f>
        <v>45901</v>
      </c>
      <c r="H437" s="10">
        <f>'Raw Orders'!I437</f>
        <v>45901</v>
      </c>
      <c r="I437" s="11">
        <f>'Raw Orders'!K437</f>
        <v>0.2</v>
      </c>
      <c r="J437" s="11">
        <f>IF('Raw Orders'!J437,"",(YEAR('Raw Orders'!I437)-YEAR('Raw Orders'!H437))*12+MONTH('Raw Orders'!I437)-MONTH('Raw Orders'!H437))</f>
        <v>0</v>
      </c>
      <c r="K437" t="str">
        <f>IF('Raw Orders'!J437,"Cancelled",IF('Raw Orders'!K437&gt;=2,"Slipped","On plan"))</f>
        <v>On plan</v>
      </c>
      <c r="L437" s="12">
        <f t="shared" si="6"/>
        <v>0</v>
      </c>
    </row>
    <row r="438" spans="1:12" x14ac:dyDescent="0.3">
      <c r="A438" t="str">
        <f>'Raw Orders'!A438</f>
        <v>NX-00434</v>
      </c>
      <c r="B438" t="str">
        <f>'Raw Orders'!B438</f>
        <v>LATAM</v>
      </c>
      <c r="C438" t="str">
        <f>'Raw Orders'!C438</f>
        <v>LATAM</v>
      </c>
      <c r="D438" s="11">
        <f>'Raw Orders'!E438</f>
        <v>7.6</v>
      </c>
      <c r="E438" s="12">
        <f>'Raw Orders'!F438</f>
        <v>600400</v>
      </c>
      <c r="F438" s="12">
        <f>'Raw Orders'!F438*0.75</f>
        <v>450300</v>
      </c>
      <c r="G438" s="10">
        <f>'Raw Orders'!H438</f>
        <v>45901</v>
      </c>
      <c r="H438" s="10">
        <f>'Raw Orders'!I438</f>
        <v>45901</v>
      </c>
      <c r="I438" s="11">
        <f>'Raw Orders'!K438</f>
        <v>0</v>
      </c>
      <c r="J438" s="11">
        <f>IF('Raw Orders'!J438,"",(YEAR('Raw Orders'!I438)-YEAR('Raw Orders'!H438))*12+MONTH('Raw Orders'!I438)-MONTH('Raw Orders'!H438))</f>
        <v>0</v>
      </c>
      <c r="K438" t="str">
        <f>IF('Raw Orders'!J438,"Cancelled",IF('Raw Orders'!K438&gt;=2,"Slipped","On plan"))</f>
        <v>On plan</v>
      </c>
      <c r="L438" s="12">
        <f t="shared" si="6"/>
        <v>0</v>
      </c>
    </row>
    <row r="439" spans="1:12" x14ac:dyDescent="0.3">
      <c r="A439" t="str">
        <f>'Raw Orders'!A439</f>
        <v>NX-00435</v>
      </c>
      <c r="B439" t="str">
        <f>'Raw Orders'!B439</f>
        <v>North America</v>
      </c>
      <c r="C439" t="str">
        <f>'Raw Orders'!C439</f>
        <v>US / Canada</v>
      </c>
      <c r="D439" s="11">
        <f>'Raw Orders'!E439</f>
        <v>14.3</v>
      </c>
      <c r="E439" s="12">
        <f>'Raw Orders'!F439</f>
        <v>1186900</v>
      </c>
      <c r="F439" s="12">
        <f>'Raw Orders'!F439*0.75</f>
        <v>890175</v>
      </c>
      <c r="G439" s="10">
        <f>'Raw Orders'!H439</f>
        <v>45931</v>
      </c>
      <c r="H439" s="10">
        <f>'Raw Orders'!I439</f>
        <v>45931</v>
      </c>
      <c r="I439" s="11">
        <f>'Raw Orders'!K439</f>
        <v>0.31</v>
      </c>
      <c r="J439" s="11">
        <f>IF('Raw Orders'!J439,"",(YEAR('Raw Orders'!I439)-YEAR('Raw Orders'!H439))*12+MONTH('Raw Orders'!I439)-MONTH('Raw Orders'!H439))</f>
        <v>0</v>
      </c>
      <c r="K439" t="str">
        <f>IF('Raw Orders'!J439,"Cancelled",IF('Raw Orders'!K439&gt;=2,"Slipped","On plan"))</f>
        <v>On plan</v>
      </c>
      <c r="L439" s="12">
        <f t="shared" si="6"/>
        <v>0</v>
      </c>
    </row>
    <row r="440" spans="1:12" x14ac:dyDescent="0.3">
      <c r="A440" t="str">
        <f>'Raw Orders'!A440</f>
        <v>NX-00436</v>
      </c>
      <c r="B440" t="str">
        <f>'Raw Orders'!B440</f>
        <v>North America</v>
      </c>
      <c r="C440" t="str">
        <f>'Raw Orders'!C440</f>
        <v>US / Canada</v>
      </c>
      <c r="D440" s="11">
        <f>'Raw Orders'!E440</f>
        <v>6</v>
      </c>
      <c r="E440" s="12">
        <f>'Raw Orders'!F440</f>
        <v>498000</v>
      </c>
      <c r="F440" s="12">
        <f>'Raw Orders'!F440*0.75</f>
        <v>373500</v>
      </c>
      <c r="G440" s="10">
        <f>'Raw Orders'!H440</f>
        <v>46023</v>
      </c>
      <c r="H440" s="10">
        <f>'Raw Orders'!I440</f>
        <v>46023</v>
      </c>
      <c r="I440" s="11">
        <f>'Raw Orders'!K440</f>
        <v>0</v>
      </c>
      <c r="J440" s="11">
        <f>IF('Raw Orders'!J440,"",(YEAR('Raw Orders'!I440)-YEAR('Raw Orders'!H440))*12+MONTH('Raw Orders'!I440)-MONTH('Raw Orders'!H440))</f>
        <v>0</v>
      </c>
      <c r="K440" t="str">
        <f>IF('Raw Orders'!J440,"Cancelled",IF('Raw Orders'!K440&gt;=2,"Slipped","On plan"))</f>
        <v>On plan</v>
      </c>
      <c r="L440" s="12">
        <f t="shared" si="6"/>
        <v>0</v>
      </c>
    </row>
    <row r="441" spans="1:12" x14ac:dyDescent="0.3">
      <c r="A441" t="str">
        <f>'Raw Orders'!A441</f>
        <v>NX-00437</v>
      </c>
      <c r="B441" t="str">
        <f>'Raw Orders'!B441</f>
        <v>North America</v>
      </c>
      <c r="C441" t="str">
        <f>'Raw Orders'!C441</f>
        <v>US / Canada</v>
      </c>
      <c r="D441" s="11">
        <f>'Raw Orders'!E441</f>
        <v>26.7</v>
      </c>
      <c r="E441" s="12">
        <f>'Raw Orders'!F441</f>
        <v>2216100</v>
      </c>
      <c r="F441" s="12">
        <f>'Raw Orders'!F441*0.75</f>
        <v>1662075</v>
      </c>
      <c r="G441" s="10">
        <f>'Raw Orders'!H441</f>
        <v>45839</v>
      </c>
      <c r="H441" s="10">
        <f>'Raw Orders'!I441</f>
        <v>45870</v>
      </c>
      <c r="I441" s="11">
        <f>'Raw Orders'!K441</f>
        <v>0.65</v>
      </c>
      <c r="J441" s="11">
        <f>IF('Raw Orders'!J441,"",(YEAR('Raw Orders'!I441)-YEAR('Raw Orders'!H441))*12+MONTH('Raw Orders'!I441)-MONTH('Raw Orders'!H441))</f>
        <v>1</v>
      </c>
      <c r="K441" t="str">
        <f>IF('Raw Orders'!J441,"Cancelled",IF('Raw Orders'!K441&gt;=2,"Slipped","On plan"))</f>
        <v>On plan</v>
      </c>
      <c r="L441" s="12">
        <f t="shared" si="6"/>
        <v>0</v>
      </c>
    </row>
    <row r="442" spans="1:12" x14ac:dyDescent="0.3">
      <c r="A442" t="str">
        <f>'Raw Orders'!A442</f>
        <v>NX-00438</v>
      </c>
      <c r="B442" t="str">
        <f>'Raw Orders'!B442</f>
        <v>North America</v>
      </c>
      <c r="C442" t="str">
        <f>'Raw Orders'!C442</f>
        <v>US / Canada</v>
      </c>
      <c r="D442" s="11">
        <f>'Raw Orders'!E442</f>
        <v>12.7</v>
      </c>
      <c r="E442" s="12">
        <f>'Raw Orders'!F442</f>
        <v>1054100</v>
      </c>
      <c r="F442" s="12">
        <f>'Raw Orders'!F442*0.75</f>
        <v>790575</v>
      </c>
      <c r="G442" s="10">
        <f>'Raw Orders'!H442</f>
        <v>45962</v>
      </c>
      <c r="H442" s="10">
        <f>'Raw Orders'!I442</f>
        <v>45962</v>
      </c>
      <c r="I442" s="11">
        <f>'Raw Orders'!K442</f>
        <v>0.02</v>
      </c>
      <c r="J442" s="11">
        <f>IF('Raw Orders'!J442,"",(YEAR('Raw Orders'!I442)-YEAR('Raw Orders'!H442))*12+MONTH('Raw Orders'!I442)-MONTH('Raw Orders'!H442))</f>
        <v>0</v>
      </c>
      <c r="K442" t="str">
        <f>IF('Raw Orders'!J442,"Cancelled",IF('Raw Orders'!K442&gt;=2,"Slipped","On plan"))</f>
        <v>On plan</v>
      </c>
      <c r="L442" s="12">
        <f t="shared" si="6"/>
        <v>0</v>
      </c>
    </row>
    <row r="443" spans="1:12" x14ac:dyDescent="0.3">
      <c r="A443" t="str">
        <f>'Raw Orders'!A443</f>
        <v>NX-00439</v>
      </c>
      <c r="B443" t="str">
        <f>'Raw Orders'!B443</f>
        <v>North America</v>
      </c>
      <c r="C443" t="str">
        <f>'Raw Orders'!C443</f>
        <v>US / Canada</v>
      </c>
      <c r="D443" s="11">
        <f>'Raw Orders'!E443</f>
        <v>19.8</v>
      </c>
      <c r="E443" s="12">
        <f>'Raw Orders'!F443</f>
        <v>1643400</v>
      </c>
      <c r="F443" s="12">
        <f>'Raw Orders'!F443*0.75</f>
        <v>1232550</v>
      </c>
      <c r="G443" s="10">
        <f>'Raw Orders'!H443</f>
        <v>45962</v>
      </c>
      <c r="H443" s="10">
        <f>'Raw Orders'!I443</f>
        <v>45992</v>
      </c>
      <c r="I443" s="11">
        <f>'Raw Orders'!K443</f>
        <v>0.9</v>
      </c>
      <c r="J443" s="11">
        <f>IF('Raw Orders'!J443,"",(YEAR('Raw Orders'!I443)-YEAR('Raw Orders'!H443))*12+MONTH('Raw Orders'!I443)-MONTH('Raw Orders'!H443))</f>
        <v>1</v>
      </c>
      <c r="K443" t="str">
        <f>IF('Raw Orders'!J443,"Cancelled",IF('Raw Orders'!K443&gt;=2,"Slipped","On plan"))</f>
        <v>On plan</v>
      </c>
      <c r="L443" s="12">
        <f t="shared" si="6"/>
        <v>0</v>
      </c>
    </row>
    <row r="444" spans="1:12" x14ac:dyDescent="0.3">
      <c r="A444" t="str">
        <f>'Raw Orders'!A444</f>
        <v>NX-00440</v>
      </c>
      <c r="B444" t="str">
        <f>'Raw Orders'!B444</f>
        <v>North America</v>
      </c>
      <c r="C444" t="str">
        <f>'Raw Orders'!C444</f>
        <v>US / Canada</v>
      </c>
      <c r="D444" s="11">
        <f>'Raw Orders'!E444</f>
        <v>8.9</v>
      </c>
      <c r="E444" s="12">
        <f>'Raw Orders'!F444</f>
        <v>738700</v>
      </c>
      <c r="F444" s="12">
        <f>'Raw Orders'!F444*0.75</f>
        <v>554025</v>
      </c>
      <c r="G444" s="10">
        <f>'Raw Orders'!H444</f>
        <v>45962</v>
      </c>
      <c r="H444" s="10">
        <f>'Raw Orders'!I444</f>
        <v>45992</v>
      </c>
      <c r="I444" s="11">
        <f>'Raw Orders'!K444</f>
        <v>0.65</v>
      </c>
      <c r="J444" s="11">
        <f>IF('Raw Orders'!J444,"",(YEAR('Raw Orders'!I444)-YEAR('Raw Orders'!H444))*12+MONTH('Raw Orders'!I444)-MONTH('Raw Orders'!H444))</f>
        <v>1</v>
      </c>
      <c r="K444" t="str">
        <f>IF('Raw Orders'!J444,"Cancelled",IF('Raw Orders'!K444&gt;=2,"Slipped","On plan"))</f>
        <v>On plan</v>
      </c>
      <c r="L444" s="12">
        <f t="shared" si="6"/>
        <v>0</v>
      </c>
    </row>
    <row r="445" spans="1:12" x14ac:dyDescent="0.3">
      <c r="A445" t="str">
        <f>'Raw Orders'!A445</f>
        <v>NX-00441</v>
      </c>
      <c r="B445" t="str">
        <f>'Raw Orders'!B445</f>
        <v>North America</v>
      </c>
      <c r="C445" t="str">
        <f>'Raw Orders'!C445</f>
        <v>US / Canada</v>
      </c>
      <c r="D445" s="11">
        <f>'Raw Orders'!E445</f>
        <v>11.6</v>
      </c>
      <c r="E445" s="12">
        <f>'Raw Orders'!F445</f>
        <v>962800</v>
      </c>
      <c r="F445" s="12">
        <f>'Raw Orders'!F445*0.75</f>
        <v>722100</v>
      </c>
      <c r="G445" s="10">
        <f>'Raw Orders'!H445</f>
        <v>45962</v>
      </c>
      <c r="H445" s="10">
        <f>'Raw Orders'!I445</f>
        <v>45992</v>
      </c>
      <c r="I445" s="11">
        <f>'Raw Orders'!K445</f>
        <v>0.98</v>
      </c>
      <c r="J445" s="11">
        <f>IF('Raw Orders'!J445,"",(YEAR('Raw Orders'!I445)-YEAR('Raw Orders'!H445))*12+MONTH('Raw Orders'!I445)-MONTH('Raw Orders'!H445))</f>
        <v>1</v>
      </c>
      <c r="K445" t="str">
        <f>IF('Raw Orders'!J445,"Cancelled",IF('Raw Orders'!K445&gt;=2,"Slipped","On plan"))</f>
        <v>On plan</v>
      </c>
      <c r="L445" s="12">
        <f t="shared" si="6"/>
        <v>0</v>
      </c>
    </row>
    <row r="446" spans="1:12" x14ac:dyDescent="0.3">
      <c r="A446" t="str">
        <f>'Raw Orders'!A446</f>
        <v>NX-00442</v>
      </c>
      <c r="B446" t="str">
        <f>'Raw Orders'!B446</f>
        <v>North America</v>
      </c>
      <c r="C446" t="str">
        <f>'Raw Orders'!C446</f>
        <v>US / Canada</v>
      </c>
      <c r="D446" s="11">
        <f>'Raw Orders'!E446</f>
        <v>10.9</v>
      </c>
      <c r="E446" s="12">
        <f>'Raw Orders'!F446</f>
        <v>904700</v>
      </c>
      <c r="F446" s="12">
        <f>'Raw Orders'!F446*0.75</f>
        <v>678525</v>
      </c>
      <c r="G446" s="10">
        <f>'Raw Orders'!H446</f>
        <v>45962</v>
      </c>
      <c r="H446" s="10">
        <f>'Raw Orders'!I446</f>
        <v>46174</v>
      </c>
      <c r="I446" s="11">
        <f>'Raw Orders'!K446</f>
        <v>6.94</v>
      </c>
      <c r="J446" s="11">
        <f>IF('Raw Orders'!J446,"",(YEAR('Raw Orders'!I446)-YEAR('Raw Orders'!H446))*12+MONTH('Raw Orders'!I446)-MONTH('Raw Orders'!H446))</f>
        <v>7</v>
      </c>
      <c r="K446" t="str">
        <f>IF('Raw Orders'!J446,"Cancelled",IF('Raw Orders'!K446&gt;=2,"Slipped","On plan"))</f>
        <v>Slipped</v>
      </c>
      <c r="L446" s="12">
        <f t="shared" si="6"/>
        <v>678525</v>
      </c>
    </row>
    <row r="447" spans="1:12" x14ac:dyDescent="0.3">
      <c r="A447" t="str">
        <f>'Raw Orders'!A447</f>
        <v>NX-00443</v>
      </c>
      <c r="B447" t="str">
        <f>'Raw Orders'!B447</f>
        <v>North America</v>
      </c>
      <c r="C447" t="str">
        <f>'Raw Orders'!C447</f>
        <v>US / Canada</v>
      </c>
      <c r="D447" s="11">
        <f>'Raw Orders'!E447</f>
        <v>7.6</v>
      </c>
      <c r="E447" s="12">
        <f>'Raw Orders'!F447</f>
        <v>630800</v>
      </c>
      <c r="F447" s="12">
        <f>'Raw Orders'!F447*0.75</f>
        <v>473100</v>
      </c>
      <c r="G447" s="10">
        <f>'Raw Orders'!H447</f>
        <v>45992</v>
      </c>
      <c r="H447" s="10">
        <f>'Raw Orders'!I447</f>
        <v>46023</v>
      </c>
      <c r="I447" s="11">
        <f>'Raw Orders'!K447</f>
        <v>0.68</v>
      </c>
      <c r="J447" s="11">
        <f>IF('Raw Orders'!J447,"",(YEAR('Raw Orders'!I447)-YEAR('Raw Orders'!H447))*12+MONTH('Raw Orders'!I447)-MONTH('Raw Orders'!H447))</f>
        <v>1</v>
      </c>
      <c r="K447" t="str">
        <f>IF('Raw Orders'!J447,"Cancelled",IF('Raw Orders'!K447&gt;=2,"Slipped","On plan"))</f>
        <v>On plan</v>
      </c>
      <c r="L447" s="12">
        <f t="shared" si="6"/>
        <v>0</v>
      </c>
    </row>
    <row r="448" spans="1:12" x14ac:dyDescent="0.3">
      <c r="A448" t="str">
        <f>'Raw Orders'!A448</f>
        <v>NX-00444</v>
      </c>
      <c r="B448" t="str">
        <f>'Raw Orders'!B448</f>
        <v>North America</v>
      </c>
      <c r="C448" t="str">
        <f>'Raw Orders'!C448</f>
        <v>US / Canada</v>
      </c>
      <c r="D448" s="11">
        <f>'Raw Orders'!E448</f>
        <v>15.5</v>
      </c>
      <c r="E448" s="12">
        <f>'Raw Orders'!F448</f>
        <v>1286500</v>
      </c>
      <c r="F448" s="12">
        <f>'Raw Orders'!F448*0.75</f>
        <v>964875</v>
      </c>
      <c r="G448" s="10">
        <f>'Raw Orders'!H448</f>
        <v>46023</v>
      </c>
      <c r="H448" s="10">
        <f>'Raw Orders'!I448</f>
        <v>46023</v>
      </c>
      <c r="I448" s="11">
        <f>'Raw Orders'!K448</f>
        <v>0</v>
      </c>
      <c r="J448" s="11">
        <f>IF('Raw Orders'!J448,"",(YEAR('Raw Orders'!I448)-YEAR('Raw Orders'!H448))*12+MONTH('Raw Orders'!I448)-MONTH('Raw Orders'!H448))</f>
        <v>0</v>
      </c>
      <c r="K448" t="str">
        <f>IF('Raw Orders'!J448,"Cancelled",IF('Raw Orders'!K448&gt;=2,"Slipped","On plan"))</f>
        <v>On plan</v>
      </c>
      <c r="L448" s="12">
        <f t="shared" si="6"/>
        <v>0</v>
      </c>
    </row>
    <row r="449" spans="1:12" x14ac:dyDescent="0.3">
      <c r="A449" t="str">
        <f>'Raw Orders'!A449</f>
        <v>NX-00445</v>
      </c>
      <c r="B449" t="str">
        <f>'Raw Orders'!B449</f>
        <v>North America</v>
      </c>
      <c r="C449" t="str">
        <f>'Raw Orders'!C449</f>
        <v>US / Canada</v>
      </c>
      <c r="D449" s="11">
        <f>'Raw Orders'!E449</f>
        <v>9.6999999999999993</v>
      </c>
      <c r="E449" s="12">
        <f>'Raw Orders'!F449</f>
        <v>805099.99999999988</v>
      </c>
      <c r="F449" s="12">
        <f>'Raw Orders'!F449*0.75</f>
        <v>603824.99999999988</v>
      </c>
      <c r="G449" s="10">
        <f>'Raw Orders'!H449</f>
        <v>45962</v>
      </c>
      <c r="H449" s="10">
        <f>'Raw Orders'!I449</f>
        <v>45962</v>
      </c>
      <c r="I449" s="11">
        <f>'Raw Orders'!K449</f>
        <v>0.03</v>
      </c>
      <c r="J449" s="11">
        <f>IF('Raw Orders'!J449,"",(YEAR('Raw Orders'!I449)-YEAR('Raw Orders'!H449))*12+MONTH('Raw Orders'!I449)-MONTH('Raw Orders'!H449))</f>
        <v>0</v>
      </c>
      <c r="K449" t="str">
        <f>IF('Raw Orders'!J449,"Cancelled",IF('Raw Orders'!K449&gt;=2,"Slipped","On plan"))</f>
        <v>On plan</v>
      </c>
      <c r="L449" s="12">
        <f t="shared" si="6"/>
        <v>0</v>
      </c>
    </row>
    <row r="450" spans="1:12" x14ac:dyDescent="0.3">
      <c r="A450" t="str">
        <f>'Raw Orders'!A450</f>
        <v>NX-00446</v>
      </c>
      <c r="B450" t="str">
        <f>'Raw Orders'!B450</f>
        <v>North America</v>
      </c>
      <c r="C450" t="str">
        <f>'Raw Orders'!C450</f>
        <v>US / Canada</v>
      </c>
      <c r="D450" s="11">
        <f>'Raw Orders'!E450</f>
        <v>26.6</v>
      </c>
      <c r="E450" s="12">
        <f>'Raw Orders'!F450</f>
        <v>2207800</v>
      </c>
      <c r="F450" s="12">
        <f>'Raw Orders'!F450*0.75</f>
        <v>1655850</v>
      </c>
      <c r="G450" s="10">
        <f>'Raw Orders'!H450</f>
        <v>45992</v>
      </c>
      <c r="H450" s="10">
        <f>'Raw Orders'!I450</f>
        <v>45992</v>
      </c>
      <c r="I450" s="11">
        <f>'Raw Orders'!K450</f>
        <v>0</v>
      </c>
      <c r="J450" s="11">
        <f>IF('Raw Orders'!J450,"",(YEAR('Raw Orders'!I450)-YEAR('Raw Orders'!H450))*12+MONTH('Raw Orders'!I450)-MONTH('Raw Orders'!H450))</f>
        <v>0</v>
      </c>
      <c r="K450" t="str">
        <f>IF('Raw Orders'!J450,"Cancelled",IF('Raw Orders'!K450&gt;=2,"Slipped","On plan"))</f>
        <v>On plan</v>
      </c>
      <c r="L450" s="12">
        <f t="shared" si="6"/>
        <v>0</v>
      </c>
    </row>
    <row r="451" spans="1:12" x14ac:dyDescent="0.3">
      <c r="A451" t="str">
        <f>'Raw Orders'!A451</f>
        <v>NX-00447</v>
      </c>
      <c r="B451" t="str">
        <f>'Raw Orders'!B451</f>
        <v>North America</v>
      </c>
      <c r="C451" t="str">
        <f>'Raw Orders'!C451</f>
        <v>US / Canada</v>
      </c>
      <c r="D451" s="11">
        <f>'Raw Orders'!E451</f>
        <v>12.7</v>
      </c>
      <c r="E451" s="12">
        <f>'Raw Orders'!F451</f>
        <v>1054100</v>
      </c>
      <c r="F451" s="12">
        <f>'Raw Orders'!F451*0.75</f>
        <v>790575</v>
      </c>
      <c r="G451" s="10">
        <f>'Raw Orders'!H451</f>
        <v>45901</v>
      </c>
      <c r="H451" s="10">
        <f>'Raw Orders'!I451</f>
        <v>45901</v>
      </c>
      <c r="I451" s="11">
        <f>'Raw Orders'!K451</f>
        <v>0</v>
      </c>
      <c r="J451" s="11">
        <f>IF('Raw Orders'!J451,"",(YEAR('Raw Orders'!I451)-YEAR('Raw Orders'!H451))*12+MONTH('Raw Orders'!I451)-MONTH('Raw Orders'!H451))</f>
        <v>0</v>
      </c>
      <c r="K451" t="str">
        <f>IF('Raw Orders'!J451,"Cancelled",IF('Raw Orders'!K451&gt;=2,"Slipped","On plan"))</f>
        <v>On plan</v>
      </c>
      <c r="L451" s="12">
        <f t="shared" si="6"/>
        <v>0</v>
      </c>
    </row>
    <row r="452" spans="1:12" x14ac:dyDescent="0.3">
      <c r="A452" t="str">
        <f>'Raw Orders'!A452</f>
        <v>NX-00448</v>
      </c>
      <c r="B452" t="str">
        <f>'Raw Orders'!B452</f>
        <v>North America</v>
      </c>
      <c r="C452" t="str">
        <f>'Raw Orders'!C452</f>
        <v>US / Canada</v>
      </c>
      <c r="D452" s="11">
        <f>'Raw Orders'!E452</f>
        <v>21.8</v>
      </c>
      <c r="E452" s="12">
        <f>'Raw Orders'!F452</f>
        <v>1809400</v>
      </c>
      <c r="F452" s="12">
        <f>'Raw Orders'!F452*0.75</f>
        <v>1357050</v>
      </c>
      <c r="G452" s="10">
        <f>'Raw Orders'!H452</f>
        <v>45931</v>
      </c>
      <c r="H452" s="10">
        <f>'Raw Orders'!I452</f>
        <v>45962</v>
      </c>
      <c r="I452" s="11">
        <f>'Raw Orders'!K452</f>
        <v>0.97</v>
      </c>
      <c r="J452" s="11">
        <f>IF('Raw Orders'!J452,"",(YEAR('Raw Orders'!I452)-YEAR('Raw Orders'!H452))*12+MONTH('Raw Orders'!I452)-MONTH('Raw Orders'!H452))</f>
        <v>1</v>
      </c>
      <c r="K452" t="str">
        <f>IF('Raw Orders'!J452,"Cancelled",IF('Raw Orders'!K452&gt;=2,"Slipped","On plan"))</f>
        <v>On plan</v>
      </c>
      <c r="L452" s="12">
        <f t="shared" si="6"/>
        <v>0</v>
      </c>
    </row>
    <row r="453" spans="1:12" x14ac:dyDescent="0.3">
      <c r="A453" t="str">
        <f>'Raw Orders'!A453</f>
        <v>NX-00449</v>
      </c>
      <c r="B453" t="str">
        <f>'Raw Orders'!B453</f>
        <v>North America</v>
      </c>
      <c r="C453" t="str">
        <f>'Raw Orders'!C453</f>
        <v>US / Canada</v>
      </c>
      <c r="D453" s="11">
        <f>'Raw Orders'!E453</f>
        <v>7.2</v>
      </c>
      <c r="E453" s="12">
        <f>'Raw Orders'!F453</f>
        <v>597600</v>
      </c>
      <c r="F453" s="12">
        <f>'Raw Orders'!F453*0.75</f>
        <v>448200</v>
      </c>
      <c r="G453" s="10">
        <f>'Raw Orders'!H453</f>
        <v>45931</v>
      </c>
      <c r="H453" s="10">
        <f>'Raw Orders'!I453</f>
        <v>45931</v>
      </c>
      <c r="I453" s="11">
        <f>'Raw Orders'!K453</f>
        <v>0</v>
      </c>
      <c r="J453" s="11">
        <f>IF('Raw Orders'!J453,"",(YEAR('Raw Orders'!I453)-YEAR('Raw Orders'!H453))*12+MONTH('Raw Orders'!I453)-MONTH('Raw Orders'!H453))</f>
        <v>0</v>
      </c>
      <c r="K453" t="str">
        <f>IF('Raw Orders'!J453,"Cancelled",IF('Raw Orders'!K453&gt;=2,"Slipped","On plan"))</f>
        <v>On plan</v>
      </c>
      <c r="L453" s="12">
        <f t="shared" ref="L453:L516" si="7">IF(K453="On plan",0,F453)</f>
        <v>0</v>
      </c>
    </row>
    <row r="454" spans="1:12" x14ac:dyDescent="0.3">
      <c r="A454" t="str">
        <f>'Raw Orders'!A454</f>
        <v>NX-00450</v>
      </c>
      <c r="B454" t="str">
        <f>'Raw Orders'!B454</f>
        <v>North America</v>
      </c>
      <c r="C454" t="str">
        <f>'Raw Orders'!C454</f>
        <v>US / Canada</v>
      </c>
      <c r="D454" s="11">
        <f>'Raw Orders'!E454</f>
        <v>4.3</v>
      </c>
      <c r="E454" s="12">
        <f>'Raw Orders'!F454</f>
        <v>356900</v>
      </c>
      <c r="F454" s="12">
        <f>'Raw Orders'!F454*0.75</f>
        <v>267675</v>
      </c>
      <c r="G454" s="10">
        <f>'Raw Orders'!H454</f>
        <v>45839</v>
      </c>
      <c r="H454" s="10">
        <f>'Raw Orders'!I454</f>
        <v>45839</v>
      </c>
      <c r="I454" s="11">
        <f>'Raw Orders'!K454</f>
        <v>0.02</v>
      </c>
      <c r="J454" s="11">
        <f>IF('Raw Orders'!J454,"",(YEAR('Raw Orders'!I454)-YEAR('Raw Orders'!H454))*12+MONTH('Raw Orders'!I454)-MONTH('Raw Orders'!H454))</f>
        <v>0</v>
      </c>
      <c r="K454" t="str">
        <f>IF('Raw Orders'!J454,"Cancelled",IF('Raw Orders'!K454&gt;=2,"Slipped","On plan"))</f>
        <v>On plan</v>
      </c>
      <c r="L454" s="12">
        <f t="shared" si="7"/>
        <v>0</v>
      </c>
    </row>
    <row r="455" spans="1:12" x14ac:dyDescent="0.3">
      <c r="A455" t="str">
        <f>'Raw Orders'!A455</f>
        <v>NX-00451</v>
      </c>
      <c r="B455" t="str">
        <f>'Raw Orders'!B455</f>
        <v>North America</v>
      </c>
      <c r="C455" t="str">
        <f>'Raw Orders'!C455</f>
        <v>US / Canada</v>
      </c>
      <c r="D455" s="11">
        <f>'Raw Orders'!E455</f>
        <v>6.7</v>
      </c>
      <c r="E455" s="12">
        <f>'Raw Orders'!F455</f>
        <v>556100</v>
      </c>
      <c r="F455" s="12">
        <f>'Raw Orders'!F455*0.75</f>
        <v>417075</v>
      </c>
      <c r="G455" s="10">
        <f>'Raw Orders'!H455</f>
        <v>45901</v>
      </c>
      <c r="H455" s="10">
        <f>'Raw Orders'!I455</f>
        <v>45901</v>
      </c>
      <c r="I455" s="11">
        <f>'Raw Orders'!K455</f>
        <v>0.06</v>
      </c>
      <c r="J455" s="11">
        <f>IF('Raw Orders'!J455,"",(YEAR('Raw Orders'!I455)-YEAR('Raw Orders'!H455))*12+MONTH('Raw Orders'!I455)-MONTH('Raw Orders'!H455))</f>
        <v>0</v>
      </c>
      <c r="K455" t="str">
        <f>IF('Raw Orders'!J455,"Cancelled",IF('Raw Orders'!K455&gt;=2,"Slipped","On plan"))</f>
        <v>On plan</v>
      </c>
      <c r="L455" s="12">
        <f t="shared" si="7"/>
        <v>0</v>
      </c>
    </row>
    <row r="456" spans="1:12" x14ac:dyDescent="0.3">
      <c r="A456" t="str">
        <f>'Raw Orders'!A456</f>
        <v>NX-00452</v>
      </c>
      <c r="B456" t="str">
        <f>'Raw Orders'!B456</f>
        <v>North America</v>
      </c>
      <c r="C456" t="str">
        <f>'Raw Orders'!C456</f>
        <v>US / Canada</v>
      </c>
      <c r="D456" s="11">
        <f>'Raw Orders'!E456</f>
        <v>13.2</v>
      </c>
      <c r="E456" s="12">
        <f>'Raw Orders'!F456</f>
        <v>1095600</v>
      </c>
      <c r="F456" s="12">
        <f>'Raw Orders'!F456*0.75</f>
        <v>821700</v>
      </c>
      <c r="G456" s="10">
        <f>'Raw Orders'!H456</f>
        <v>45992</v>
      </c>
      <c r="H456" s="10">
        <f>'Raw Orders'!I456</f>
        <v>45992</v>
      </c>
      <c r="I456" s="11">
        <f>'Raw Orders'!K456</f>
        <v>0.02</v>
      </c>
      <c r="J456" s="11">
        <f>IF('Raw Orders'!J456,"",(YEAR('Raw Orders'!I456)-YEAR('Raw Orders'!H456))*12+MONTH('Raw Orders'!I456)-MONTH('Raw Orders'!H456))</f>
        <v>0</v>
      </c>
      <c r="K456" t="str">
        <f>IF('Raw Orders'!J456,"Cancelled",IF('Raw Orders'!K456&gt;=2,"Slipped","On plan"))</f>
        <v>On plan</v>
      </c>
      <c r="L456" s="12">
        <f t="shared" si="7"/>
        <v>0</v>
      </c>
    </row>
    <row r="457" spans="1:12" x14ac:dyDescent="0.3">
      <c r="A457" t="str">
        <f>'Raw Orders'!A457</f>
        <v>NX-00453</v>
      </c>
      <c r="B457" t="str">
        <f>'Raw Orders'!B457</f>
        <v>North America</v>
      </c>
      <c r="C457" t="str">
        <f>'Raw Orders'!C457</f>
        <v>US / Canada</v>
      </c>
      <c r="D457" s="11">
        <f>'Raw Orders'!E457</f>
        <v>6.8</v>
      </c>
      <c r="E457" s="12">
        <f>'Raw Orders'!F457</f>
        <v>564400</v>
      </c>
      <c r="F457" s="12">
        <f>'Raw Orders'!F457*0.75</f>
        <v>423300</v>
      </c>
      <c r="G457" s="10">
        <f>'Raw Orders'!H457</f>
        <v>45992</v>
      </c>
      <c r="H457" s="10">
        <f>'Raw Orders'!I457</f>
        <v>45992</v>
      </c>
      <c r="I457" s="11">
        <f>'Raw Orders'!K457</f>
        <v>0.03</v>
      </c>
      <c r="J457" s="11">
        <f>IF('Raw Orders'!J457,"",(YEAR('Raw Orders'!I457)-YEAR('Raw Orders'!H457))*12+MONTH('Raw Orders'!I457)-MONTH('Raw Orders'!H457))</f>
        <v>0</v>
      </c>
      <c r="K457" t="str">
        <f>IF('Raw Orders'!J457,"Cancelled",IF('Raw Orders'!K457&gt;=2,"Slipped","On plan"))</f>
        <v>On plan</v>
      </c>
      <c r="L457" s="12">
        <f t="shared" si="7"/>
        <v>0</v>
      </c>
    </row>
    <row r="458" spans="1:12" x14ac:dyDescent="0.3">
      <c r="A458" t="str">
        <f>'Raw Orders'!A458</f>
        <v>NX-00454</v>
      </c>
      <c r="B458" t="str">
        <f>'Raw Orders'!B458</f>
        <v>North America</v>
      </c>
      <c r="C458" t="str">
        <f>'Raw Orders'!C458</f>
        <v>US / Canada</v>
      </c>
      <c r="D458" s="11">
        <f>'Raw Orders'!E458</f>
        <v>12.5</v>
      </c>
      <c r="E458" s="12">
        <f>'Raw Orders'!F458</f>
        <v>1037500</v>
      </c>
      <c r="F458" s="12">
        <f>'Raw Orders'!F458*0.75</f>
        <v>778125</v>
      </c>
      <c r="G458" s="10">
        <f>'Raw Orders'!H458</f>
        <v>45992</v>
      </c>
      <c r="H458" s="10">
        <f>'Raw Orders'!I458</f>
        <v>45992</v>
      </c>
      <c r="I458" s="11">
        <f>'Raw Orders'!K458</f>
        <v>0</v>
      </c>
      <c r="J458" s="11">
        <f>IF('Raw Orders'!J458,"",(YEAR('Raw Orders'!I458)-YEAR('Raw Orders'!H458))*12+MONTH('Raw Orders'!I458)-MONTH('Raw Orders'!H458))</f>
        <v>0</v>
      </c>
      <c r="K458" t="str">
        <f>IF('Raw Orders'!J458,"Cancelled",IF('Raw Orders'!K458&gt;=2,"Slipped","On plan"))</f>
        <v>On plan</v>
      </c>
      <c r="L458" s="12">
        <f t="shared" si="7"/>
        <v>0</v>
      </c>
    </row>
    <row r="459" spans="1:12" x14ac:dyDescent="0.3">
      <c r="A459" t="str">
        <f>'Raw Orders'!A459</f>
        <v>NX-00455</v>
      </c>
      <c r="B459" t="str">
        <f>'Raw Orders'!B459</f>
        <v>North America</v>
      </c>
      <c r="C459" t="str">
        <f>'Raw Orders'!C459</f>
        <v>US / Canada</v>
      </c>
      <c r="D459" s="11">
        <f>'Raw Orders'!E459</f>
        <v>54.6</v>
      </c>
      <c r="E459" s="12">
        <f>'Raw Orders'!F459</f>
        <v>4531800</v>
      </c>
      <c r="F459" s="12">
        <f>'Raw Orders'!F459*0.75</f>
        <v>3398850</v>
      </c>
      <c r="G459" s="10">
        <f>'Raw Orders'!H459</f>
        <v>45839</v>
      </c>
      <c r="H459" s="10">
        <f>'Raw Orders'!I459</f>
        <v>45870</v>
      </c>
      <c r="I459" s="11">
        <f>'Raw Orders'!K459</f>
        <v>0.7</v>
      </c>
      <c r="J459" s="11">
        <f>IF('Raw Orders'!J459,"",(YEAR('Raw Orders'!I459)-YEAR('Raw Orders'!H459))*12+MONTH('Raw Orders'!I459)-MONTH('Raw Orders'!H459))</f>
        <v>1</v>
      </c>
      <c r="K459" t="str">
        <f>IF('Raw Orders'!J459,"Cancelled",IF('Raw Orders'!K459&gt;=2,"Slipped","On plan"))</f>
        <v>On plan</v>
      </c>
      <c r="L459" s="12">
        <f t="shared" si="7"/>
        <v>0</v>
      </c>
    </row>
    <row r="460" spans="1:12" x14ac:dyDescent="0.3">
      <c r="A460" t="str">
        <f>'Raw Orders'!A460</f>
        <v>NX-00456</v>
      </c>
      <c r="B460" t="str">
        <f>'Raw Orders'!B460</f>
        <v>North America</v>
      </c>
      <c r="C460" t="str">
        <f>'Raw Orders'!C460</f>
        <v>US / Canada</v>
      </c>
      <c r="D460" s="11">
        <f>'Raw Orders'!E460</f>
        <v>22.3</v>
      </c>
      <c r="E460" s="12">
        <f>'Raw Orders'!F460</f>
        <v>1850900</v>
      </c>
      <c r="F460" s="12">
        <f>'Raw Orders'!F460*0.75</f>
        <v>1388175</v>
      </c>
      <c r="G460" s="10">
        <f>'Raw Orders'!H460</f>
        <v>46023</v>
      </c>
      <c r="H460" s="10">
        <f>'Raw Orders'!I460</f>
        <v>46143</v>
      </c>
      <c r="I460" s="11">
        <f>'Raw Orders'!K460</f>
        <v>4.1500000000000004</v>
      </c>
      <c r="J460" s="11">
        <f>IF('Raw Orders'!J460,"",(YEAR('Raw Orders'!I460)-YEAR('Raw Orders'!H460))*12+MONTH('Raw Orders'!I460)-MONTH('Raw Orders'!H460))</f>
        <v>4</v>
      </c>
      <c r="K460" t="str">
        <f>IF('Raw Orders'!J460,"Cancelled",IF('Raw Orders'!K460&gt;=2,"Slipped","On plan"))</f>
        <v>Slipped</v>
      </c>
      <c r="L460" s="12">
        <f t="shared" si="7"/>
        <v>1388175</v>
      </c>
    </row>
    <row r="461" spans="1:12" x14ac:dyDescent="0.3">
      <c r="A461" t="str">
        <f>'Raw Orders'!A461</f>
        <v>NX-00457</v>
      </c>
      <c r="B461" t="str">
        <f>'Raw Orders'!B461</f>
        <v>North America</v>
      </c>
      <c r="C461" t="str">
        <f>'Raw Orders'!C461</f>
        <v>US / Canada</v>
      </c>
      <c r="D461" s="11">
        <f>'Raw Orders'!E461</f>
        <v>11.7</v>
      </c>
      <c r="E461" s="12">
        <f>'Raw Orders'!F461</f>
        <v>971100</v>
      </c>
      <c r="F461" s="12">
        <f>'Raw Orders'!F461*0.75</f>
        <v>728325</v>
      </c>
      <c r="G461" s="10">
        <f>'Raw Orders'!H461</f>
        <v>46023</v>
      </c>
      <c r="H461" s="10">
        <f>'Raw Orders'!I461</f>
        <v>46023</v>
      </c>
      <c r="I461" s="11">
        <f>'Raw Orders'!K461</f>
        <v>0.01</v>
      </c>
      <c r="J461" s="11">
        <f>IF('Raw Orders'!J461,"",(YEAR('Raw Orders'!I461)-YEAR('Raw Orders'!H461))*12+MONTH('Raw Orders'!I461)-MONTH('Raw Orders'!H461))</f>
        <v>0</v>
      </c>
      <c r="K461" t="str">
        <f>IF('Raw Orders'!J461,"Cancelled",IF('Raw Orders'!K461&gt;=2,"Slipped","On plan"))</f>
        <v>On plan</v>
      </c>
      <c r="L461" s="12">
        <f t="shared" si="7"/>
        <v>0</v>
      </c>
    </row>
    <row r="462" spans="1:12" x14ac:dyDescent="0.3">
      <c r="A462" t="str">
        <f>'Raw Orders'!A462</f>
        <v>NX-00458</v>
      </c>
      <c r="B462" t="str">
        <f>'Raw Orders'!B462</f>
        <v>North America</v>
      </c>
      <c r="C462" t="str">
        <f>'Raw Orders'!C462</f>
        <v>US / Canada</v>
      </c>
      <c r="D462" s="11">
        <f>'Raw Orders'!E462</f>
        <v>23</v>
      </c>
      <c r="E462" s="12">
        <f>'Raw Orders'!F462</f>
        <v>1909000</v>
      </c>
      <c r="F462" s="12">
        <f>'Raw Orders'!F462*0.75</f>
        <v>1431750</v>
      </c>
      <c r="G462" s="10">
        <f>'Raw Orders'!H462</f>
        <v>45839</v>
      </c>
      <c r="H462" s="10">
        <f>'Raw Orders'!I462</f>
        <v>45839</v>
      </c>
      <c r="I462" s="11">
        <f>'Raw Orders'!K462</f>
        <v>0.17</v>
      </c>
      <c r="J462" s="11">
        <f>IF('Raw Orders'!J462,"",(YEAR('Raw Orders'!I462)-YEAR('Raw Orders'!H462))*12+MONTH('Raw Orders'!I462)-MONTH('Raw Orders'!H462))</f>
        <v>0</v>
      </c>
      <c r="K462" t="str">
        <f>IF('Raw Orders'!J462,"Cancelled",IF('Raw Orders'!K462&gt;=2,"Slipped","On plan"))</f>
        <v>On plan</v>
      </c>
      <c r="L462" s="12">
        <f t="shared" si="7"/>
        <v>0</v>
      </c>
    </row>
    <row r="463" spans="1:12" x14ac:dyDescent="0.3">
      <c r="A463" t="str">
        <f>'Raw Orders'!A463</f>
        <v>NX-00459</v>
      </c>
      <c r="B463" t="str">
        <f>'Raw Orders'!B463</f>
        <v>North America</v>
      </c>
      <c r="C463" t="str">
        <f>'Raw Orders'!C463</f>
        <v>US / Canada</v>
      </c>
      <c r="D463" s="11">
        <f>'Raw Orders'!E463</f>
        <v>25.1</v>
      </c>
      <c r="E463" s="12">
        <f>'Raw Orders'!F463</f>
        <v>2083300</v>
      </c>
      <c r="F463" s="12">
        <f>'Raw Orders'!F463*0.75</f>
        <v>1562475</v>
      </c>
      <c r="G463" s="10">
        <f>'Raw Orders'!H463</f>
        <v>45962</v>
      </c>
      <c r="H463" s="10">
        <f>'Raw Orders'!I463</f>
        <v>45962</v>
      </c>
      <c r="I463" s="11">
        <f>'Raw Orders'!K463</f>
        <v>0</v>
      </c>
      <c r="J463" s="11">
        <f>IF('Raw Orders'!J463,"",(YEAR('Raw Orders'!I463)-YEAR('Raw Orders'!H463))*12+MONTH('Raw Orders'!I463)-MONTH('Raw Orders'!H463))</f>
        <v>0</v>
      </c>
      <c r="K463" t="str">
        <f>IF('Raw Orders'!J463,"Cancelled",IF('Raw Orders'!K463&gt;=2,"Slipped","On plan"))</f>
        <v>On plan</v>
      </c>
      <c r="L463" s="12">
        <f t="shared" si="7"/>
        <v>0</v>
      </c>
    </row>
    <row r="464" spans="1:12" x14ac:dyDescent="0.3">
      <c r="A464" t="str">
        <f>'Raw Orders'!A464</f>
        <v>NX-00460</v>
      </c>
      <c r="B464" t="str">
        <f>'Raw Orders'!B464</f>
        <v>North America</v>
      </c>
      <c r="C464" t="str">
        <f>'Raw Orders'!C464</f>
        <v>US / Canada</v>
      </c>
      <c r="D464" s="11">
        <f>'Raw Orders'!E464</f>
        <v>10.199999999999999</v>
      </c>
      <c r="E464" s="12">
        <f>'Raw Orders'!F464</f>
        <v>846599.99999999988</v>
      </c>
      <c r="F464" s="12">
        <f>'Raw Orders'!F464*0.75</f>
        <v>634949.99999999988</v>
      </c>
      <c r="G464" s="10">
        <f>'Raw Orders'!H464</f>
        <v>45931</v>
      </c>
      <c r="H464" s="10">
        <f>'Raw Orders'!I464</f>
        <v>45931</v>
      </c>
      <c r="I464" s="11">
        <f>'Raw Orders'!K464</f>
        <v>0</v>
      </c>
      <c r="J464" s="11">
        <f>IF('Raw Orders'!J464,"",(YEAR('Raw Orders'!I464)-YEAR('Raw Orders'!H464))*12+MONTH('Raw Orders'!I464)-MONTH('Raw Orders'!H464))</f>
        <v>0</v>
      </c>
      <c r="K464" t="str">
        <f>IF('Raw Orders'!J464,"Cancelled",IF('Raw Orders'!K464&gt;=2,"Slipped","On plan"))</f>
        <v>On plan</v>
      </c>
      <c r="L464" s="12">
        <f t="shared" si="7"/>
        <v>0</v>
      </c>
    </row>
    <row r="465" spans="1:12" x14ac:dyDescent="0.3">
      <c r="A465" t="str">
        <f>'Raw Orders'!A465</f>
        <v>NX-00461</v>
      </c>
      <c r="B465" t="str">
        <f>'Raw Orders'!B465</f>
        <v>North America</v>
      </c>
      <c r="C465" t="str">
        <f>'Raw Orders'!C465</f>
        <v>US / Canada</v>
      </c>
      <c r="D465" s="11">
        <f>'Raw Orders'!E465</f>
        <v>4.9000000000000004</v>
      </c>
      <c r="E465" s="12">
        <f>'Raw Orders'!F465</f>
        <v>406700.00000000012</v>
      </c>
      <c r="F465" s="12">
        <f>'Raw Orders'!F465*0.75</f>
        <v>305025.00000000012</v>
      </c>
      <c r="G465" s="10">
        <f>'Raw Orders'!H465</f>
        <v>45992</v>
      </c>
      <c r="H465" s="10">
        <f>'Raw Orders'!I465</f>
        <v>45992</v>
      </c>
      <c r="I465" s="11">
        <f>'Raw Orders'!K465</f>
        <v>0</v>
      </c>
      <c r="J465" s="11">
        <f>IF('Raw Orders'!J465,"",(YEAR('Raw Orders'!I465)-YEAR('Raw Orders'!H465))*12+MONTH('Raw Orders'!I465)-MONTH('Raw Orders'!H465))</f>
        <v>0</v>
      </c>
      <c r="K465" t="str">
        <f>IF('Raw Orders'!J465,"Cancelled",IF('Raw Orders'!K465&gt;=2,"Slipped","On plan"))</f>
        <v>On plan</v>
      </c>
      <c r="L465" s="12">
        <f t="shared" si="7"/>
        <v>0</v>
      </c>
    </row>
    <row r="466" spans="1:12" x14ac:dyDescent="0.3">
      <c r="A466" t="str">
        <f>'Raw Orders'!A466</f>
        <v>NX-00462</v>
      </c>
      <c r="B466" t="str">
        <f>'Raw Orders'!B466</f>
        <v>North America</v>
      </c>
      <c r="C466" t="str">
        <f>'Raw Orders'!C466</f>
        <v>US / Canada</v>
      </c>
      <c r="D466" s="11">
        <f>'Raw Orders'!E466</f>
        <v>8.4</v>
      </c>
      <c r="E466" s="12">
        <f>'Raw Orders'!F466</f>
        <v>697200</v>
      </c>
      <c r="F466" s="12">
        <f>'Raw Orders'!F466*0.75</f>
        <v>522900</v>
      </c>
      <c r="G466" s="10">
        <f>'Raw Orders'!H466</f>
        <v>46023</v>
      </c>
      <c r="H466" s="10">
        <f>'Raw Orders'!I466</f>
        <v>46054</v>
      </c>
      <c r="I466" s="11">
        <f>'Raw Orders'!K466</f>
        <v>0.62</v>
      </c>
      <c r="J466" s="11">
        <f>IF('Raw Orders'!J466,"",(YEAR('Raw Orders'!I466)-YEAR('Raw Orders'!H466))*12+MONTH('Raw Orders'!I466)-MONTH('Raw Orders'!H466))</f>
        <v>1</v>
      </c>
      <c r="K466" t="str">
        <f>IF('Raw Orders'!J466,"Cancelled",IF('Raw Orders'!K466&gt;=2,"Slipped","On plan"))</f>
        <v>On plan</v>
      </c>
      <c r="L466" s="12">
        <f t="shared" si="7"/>
        <v>0</v>
      </c>
    </row>
    <row r="467" spans="1:12" x14ac:dyDescent="0.3">
      <c r="A467" t="str">
        <f>'Raw Orders'!A467</f>
        <v>NX-00463</v>
      </c>
      <c r="B467" t="str">
        <f>'Raw Orders'!B467</f>
        <v>EMEA</v>
      </c>
      <c r="C467" t="str">
        <f>'Raw Orders'!C467</f>
        <v>Europe</v>
      </c>
      <c r="D467" s="11">
        <f>'Raw Orders'!E467</f>
        <v>29.2</v>
      </c>
      <c r="E467" s="12">
        <f>'Raw Orders'!F467</f>
        <v>2569600</v>
      </c>
      <c r="F467" s="12">
        <f>'Raw Orders'!F467*0.75</f>
        <v>1927200</v>
      </c>
      <c r="G467" s="10">
        <f>'Raw Orders'!H467</f>
        <v>45931</v>
      </c>
      <c r="H467" s="10">
        <f>'Raw Orders'!I467</f>
        <v>45931</v>
      </c>
      <c r="I467" s="11">
        <f>'Raw Orders'!K467</f>
        <v>0.32</v>
      </c>
      <c r="J467" s="11">
        <f>IF('Raw Orders'!J467,"",(YEAR('Raw Orders'!I467)-YEAR('Raw Orders'!H467))*12+MONTH('Raw Orders'!I467)-MONTH('Raw Orders'!H467))</f>
        <v>0</v>
      </c>
      <c r="K467" t="str">
        <f>IF('Raw Orders'!J467,"Cancelled",IF('Raw Orders'!K467&gt;=2,"Slipped","On plan"))</f>
        <v>On plan</v>
      </c>
      <c r="L467" s="12">
        <f t="shared" si="7"/>
        <v>0</v>
      </c>
    </row>
    <row r="468" spans="1:12" x14ac:dyDescent="0.3">
      <c r="A468" t="str">
        <f>'Raw Orders'!A468</f>
        <v>NX-00464</v>
      </c>
      <c r="B468" t="str">
        <f>'Raw Orders'!B468</f>
        <v>EMEA</v>
      </c>
      <c r="C468" t="str">
        <f>'Raw Orders'!C468</f>
        <v>Europe</v>
      </c>
      <c r="D468" s="11">
        <f>'Raw Orders'!E468</f>
        <v>11</v>
      </c>
      <c r="E468" s="12">
        <f>'Raw Orders'!F468</f>
        <v>968000</v>
      </c>
      <c r="F468" s="12">
        <f>'Raw Orders'!F468*0.75</f>
        <v>726000</v>
      </c>
      <c r="G468" s="10">
        <f>'Raw Orders'!H468</f>
        <v>45931</v>
      </c>
      <c r="H468" s="10">
        <f>'Raw Orders'!I468</f>
        <v>45931</v>
      </c>
      <c r="I468" s="11">
        <f>'Raw Orders'!K468</f>
        <v>0</v>
      </c>
      <c r="J468" s="11">
        <f>IF('Raw Orders'!J468,"",(YEAR('Raw Orders'!I468)-YEAR('Raw Orders'!H468))*12+MONTH('Raw Orders'!I468)-MONTH('Raw Orders'!H468))</f>
        <v>0</v>
      </c>
      <c r="K468" t="str">
        <f>IF('Raw Orders'!J468,"Cancelled",IF('Raw Orders'!K468&gt;=2,"Slipped","On plan"))</f>
        <v>On plan</v>
      </c>
      <c r="L468" s="12">
        <f t="shared" si="7"/>
        <v>0</v>
      </c>
    </row>
    <row r="469" spans="1:12" x14ac:dyDescent="0.3">
      <c r="A469" t="str">
        <f>'Raw Orders'!A469</f>
        <v>NX-00465</v>
      </c>
      <c r="B469" t="str">
        <f>'Raw Orders'!B469</f>
        <v>EMEA</v>
      </c>
      <c r="C469" t="str">
        <f>'Raw Orders'!C469</f>
        <v>Europe</v>
      </c>
      <c r="D469" s="11">
        <f>'Raw Orders'!E469</f>
        <v>10.4</v>
      </c>
      <c r="E469" s="12">
        <f>'Raw Orders'!F469</f>
        <v>915200</v>
      </c>
      <c r="F469" s="12">
        <f>'Raw Orders'!F469*0.75</f>
        <v>686400</v>
      </c>
      <c r="G469" s="10">
        <f>'Raw Orders'!H469</f>
        <v>46023</v>
      </c>
      <c r="H469" s="10">
        <f>'Raw Orders'!I469</f>
        <v>46054</v>
      </c>
      <c r="I469" s="11">
        <f>'Raw Orders'!K469</f>
        <v>0.66</v>
      </c>
      <c r="J469" s="11">
        <f>IF('Raw Orders'!J469,"",(YEAR('Raw Orders'!I469)-YEAR('Raw Orders'!H469))*12+MONTH('Raw Orders'!I469)-MONTH('Raw Orders'!H469))</f>
        <v>1</v>
      </c>
      <c r="K469" t="str">
        <f>IF('Raw Orders'!J469,"Cancelled",IF('Raw Orders'!K469&gt;=2,"Slipped","On plan"))</f>
        <v>On plan</v>
      </c>
      <c r="L469" s="12">
        <f t="shared" si="7"/>
        <v>0</v>
      </c>
    </row>
    <row r="470" spans="1:12" x14ac:dyDescent="0.3">
      <c r="A470" t="str">
        <f>'Raw Orders'!A470</f>
        <v>NX-00466</v>
      </c>
      <c r="B470" t="str">
        <f>'Raw Orders'!B470</f>
        <v>EMEA</v>
      </c>
      <c r="C470" t="str">
        <f>'Raw Orders'!C470</f>
        <v>Europe</v>
      </c>
      <c r="D470" s="11">
        <f>'Raw Orders'!E470</f>
        <v>9</v>
      </c>
      <c r="E470" s="12">
        <f>'Raw Orders'!F470</f>
        <v>792000</v>
      </c>
      <c r="F470" s="12">
        <f>'Raw Orders'!F470*0.75</f>
        <v>594000</v>
      </c>
      <c r="G470" s="10">
        <f>'Raw Orders'!H470</f>
        <v>46023</v>
      </c>
      <c r="H470" s="10">
        <f>'Raw Orders'!I470</f>
        <v>46023</v>
      </c>
      <c r="I470" s="11">
        <f>'Raw Orders'!K470</f>
        <v>0</v>
      </c>
      <c r="J470" s="11">
        <f>IF('Raw Orders'!J470,"",(YEAR('Raw Orders'!I470)-YEAR('Raw Orders'!H470))*12+MONTH('Raw Orders'!I470)-MONTH('Raw Orders'!H470))</f>
        <v>0</v>
      </c>
      <c r="K470" t="str">
        <f>IF('Raw Orders'!J470,"Cancelled",IF('Raw Orders'!K470&gt;=2,"Slipped","On plan"))</f>
        <v>On plan</v>
      </c>
      <c r="L470" s="12">
        <f t="shared" si="7"/>
        <v>0</v>
      </c>
    </row>
    <row r="471" spans="1:12" x14ac:dyDescent="0.3">
      <c r="A471" t="str">
        <f>'Raw Orders'!A471</f>
        <v>NX-00467</v>
      </c>
      <c r="B471" t="str">
        <f>'Raw Orders'!B471</f>
        <v>EMEA</v>
      </c>
      <c r="C471" t="str">
        <f>'Raw Orders'!C471</f>
        <v>Europe</v>
      </c>
      <c r="D471" s="11">
        <f>'Raw Orders'!E471</f>
        <v>7.7</v>
      </c>
      <c r="E471" s="12">
        <f>'Raw Orders'!F471</f>
        <v>677600</v>
      </c>
      <c r="F471" s="12">
        <f>'Raw Orders'!F471*0.75</f>
        <v>508200</v>
      </c>
      <c r="G471" s="10">
        <f>'Raw Orders'!H471</f>
        <v>45992</v>
      </c>
      <c r="H471" s="10">
        <f>'Raw Orders'!I471</f>
        <v>46023</v>
      </c>
      <c r="I471" s="11">
        <f>'Raw Orders'!K471</f>
        <v>0.93</v>
      </c>
      <c r="J471" s="11">
        <f>IF('Raw Orders'!J471,"",(YEAR('Raw Orders'!I471)-YEAR('Raw Orders'!H471))*12+MONTH('Raw Orders'!I471)-MONTH('Raw Orders'!H471))</f>
        <v>1</v>
      </c>
      <c r="K471" t="str">
        <f>IF('Raw Orders'!J471,"Cancelled",IF('Raw Orders'!K471&gt;=2,"Slipped","On plan"))</f>
        <v>On plan</v>
      </c>
      <c r="L471" s="12">
        <f t="shared" si="7"/>
        <v>0</v>
      </c>
    </row>
    <row r="472" spans="1:12" x14ac:dyDescent="0.3">
      <c r="A472" t="str">
        <f>'Raw Orders'!A472</f>
        <v>NX-00468</v>
      </c>
      <c r="B472" t="str">
        <f>'Raw Orders'!B472</f>
        <v>APAC</v>
      </c>
      <c r="C472" t="str">
        <f>'Raw Orders'!C472</f>
        <v>Australia/SEA</v>
      </c>
      <c r="D472" s="11">
        <f>'Raw Orders'!E472</f>
        <v>13.6</v>
      </c>
      <c r="E472" s="12">
        <f>'Raw Orders'!F472</f>
        <v>1142400</v>
      </c>
      <c r="F472" s="12">
        <f>'Raw Orders'!F472*0.75</f>
        <v>856800</v>
      </c>
      <c r="G472" s="10">
        <f>'Raw Orders'!H472</f>
        <v>45901</v>
      </c>
      <c r="H472" s="10">
        <f>'Raw Orders'!I472</f>
        <v>45962</v>
      </c>
      <c r="I472" s="11">
        <f>'Raw Orders'!K472</f>
        <v>1.98</v>
      </c>
      <c r="J472" s="11">
        <f>IF('Raw Orders'!J472,"",(YEAR('Raw Orders'!I472)-YEAR('Raw Orders'!H472))*12+MONTH('Raw Orders'!I472)-MONTH('Raw Orders'!H472))</f>
        <v>2</v>
      </c>
      <c r="K472" t="str">
        <f>IF('Raw Orders'!J472,"Cancelled",IF('Raw Orders'!K472&gt;=2,"Slipped","On plan"))</f>
        <v>On plan</v>
      </c>
      <c r="L472" s="12">
        <f t="shared" si="7"/>
        <v>0</v>
      </c>
    </row>
    <row r="473" spans="1:12" x14ac:dyDescent="0.3">
      <c r="A473" t="str">
        <f>'Raw Orders'!A473</f>
        <v>NX-00469</v>
      </c>
      <c r="B473" t="str">
        <f>'Raw Orders'!B473</f>
        <v>APAC</v>
      </c>
      <c r="C473" t="str">
        <f>'Raw Orders'!C473</f>
        <v>Australia/SEA</v>
      </c>
      <c r="D473" s="11">
        <f>'Raw Orders'!E473</f>
        <v>40.9</v>
      </c>
      <c r="E473" s="12">
        <f>'Raw Orders'!F473</f>
        <v>3435600</v>
      </c>
      <c r="F473" s="12">
        <f>'Raw Orders'!F473*0.75</f>
        <v>2576700</v>
      </c>
      <c r="G473" s="10">
        <f>'Raw Orders'!H473</f>
        <v>45962</v>
      </c>
      <c r="H473" s="10">
        <f>'Raw Orders'!I473</f>
        <v>45962</v>
      </c>
      <c r="I473" s="11">
        <f>'Raw Orders'!K473</f>
        <v>0.23</v>
      </c>
      <c r="J473" s="11">
        <f>IF('Raw Orders'!J473,"",(YEAR('Raw Orders'!I473)-YEAR('Raw Orders'!H473))*12+MONTH('Raw Orders'!I473)-MONTH('Raw Orders'!H473))</f>
        <v>0</v>
      </c>
      <c r="K473" t="str">
        <f>IF('Raw Orders'!J473,"Cancelled",IF('Raw Orders'!K473&gt;=2,"Slipped","On plan"))</f>
        <v>On plan</v>
      </c>
      <c r="L473" s="12">
        <f t="shared" si="7"/>
        <v>0</v>
      </c>
    </row>
    <row r="474" spans="1:12" x14ac:dyDescent="0.3">
      <c r="A474" t="str">
        <f>'Raw Orders'!A474</f>
        <v>NX-00470</v>
      </c>
      <c r="B474" t="str">
        <f>'Raw Orders'!B474</f>
        <v>APAC</v>
      </c>
      <c r="C474" t="str">
        <f>'Raw Orders'!C474</f>
        <v>Australia/SEA</v>
      </c>
      <c r="D474" s="11">
        <f>'Raw Orders'!E474</f>
        <v>7.9</v>
      </c>
      <c r="E474" s="12">
        <f>'Raw Orders'!F474</f>
        <v>663600</v>
      </c>
      <c r="F474" s="12">
        <f>'Raw Orders'!F474*0.75</f>
        <v>497700</v>
      </c>
      <c r="G474" s="10">
        <f>'Raw Orders'!H474</f>
        <v>45992</v>
      </c>
      <c r="H474" s="10">
        <f>'Raw Orders'!I474</f>
        <v>0</v>
      </c>
      <c r="I474" s="11">
        <f>'Raw Orders'!K474</f>
        <v>1.18</v>
      </c>
      <c r="J474" s="11" t="str">
        <f>IF('Raw Orders'!J474,"",(YEAR('Raw Orders'!I474)-YEAR('Raw Orders'!H474))*12+MONTH('Raw Orders'!I474)-MONTH('Raw Orders'!H474))</f>
        <v/>
      </c>
      <c r="K474" t="str">
        <f>IF('Raw Orders'!J474,"Cancelled",IF('Raw Orders'!K474&gt;=2,"Slipped","On plan"))</f>
        <v>Cancelled</v>
      </c>
      <c r="L474" s="12">
        <f t="shared" si="7"/>
        <v>497700</v>
      </c>
    </row>
    <row r="475" spans="1:12" x14ac:dyDescent="0.3">
      <c r="A475" t="str">
        <f>'Raw Orders'!A475</f>
        <v>NX-00471</v>
      </c>
      <c r="B475" t="str">
        <f>'Raw Orders'!B475</f>
        <v>LATAM</v>
      </c>
      <c r="C475" t="str">
        <f>'Raw Orders'!C475</f>
        <v>LATAM</v>
      </c>
      <c r="D475" s="11">
        <f>'Raw Orders'!E475</f>
        <v>14.5</v>
      </c>
      <c r="E475" s="12">
        <f>'Raw Orders'!F475</f>
        <v>1145500</v>
      </c>
      <c r="F475" s="12">
        <f>'Raw Orders'!F475*0.75</f>
        <v>859125</v>
      </c>
      <c r="G475" s="10">
        <f>'Raw Orders'!H475</f>
        <v>45931</v>
      </c>
      <c r="H475" s="10">
        <f>'Raw Orders'!I475</f>
        <v>45962</v>
      </c>
      <c r="I475" s="11">
        <f>'Raw Orders'!K475</f>
        <v>0.57999999999999996</v>
      </c>
      <c r="J475" s="11">
        <f>IF('Raw Orders'!J475,"",(YEAR('Raw Orders'!I475)-YEAR('Raw Orders'!H475))*12+MONTH('Raw Orders'!I475)-MONTH('Raw Orders'!H475))</f>
        <v>1</v>
      </c>
      <c r="K475" t="str">
        <f>IF('Raw Orders'!J475,"Cancelled",IF('Raw Orders'!K475&gt;=2,"Slipped","On plan"))</f>
        <v>On plan</v>
      </c>
      <c r="L475" s="12">
        <f t="shared" si="7"/>
        <v>0</v>
      </c>
    </row>
    <row r="476" spans="1:12" x14ac:dyDescent="0.3">
      <c r="A476" t="str">
        <f>'Raw Orders'!A476</f>
        <v>NX-00472</v>
      </c>
      <c r="B476" t="str">
        <f>'Raw Orders'!B476</f>
        <v>LATAM</v>
      </c>
      <c r="C476" t="str">
        <f>'Raw Orders'!C476</f>
        <v>LATAM</v>
      </c>
      <c r="D476" s="11">
        <f>'Raw Orders'!E476</f>
        <v>9</v>
      </c>
      <c r="E476" s="12">
        <f>'Raw Orders'!F476</f>
        <v>711000</v>
      </c>
      <c r="F476" s="12">
        <f>'Raw Orders'!F476*0.75</f>
        <v>533250</v>
      </c>
      <c r="G476" s="10">
        <f>'Raw Orders'!H476</f>
        <v>45870</v>
      </c>
      <c r="H476" s="10">
        <f>'Raw Orders'!I476</f>
        <v>45901</v>
      </c>
      <c r="I476" s="11">
        <f>'Raw Orders'!K476</f>
        <v>1.1399999999999999</v>
      </c>
      <c r="J476" s="11">
        <f>IF('Raw Orders'!J476,"",(YEAR('Raw Orders'!I476)-YEAR('Raw Orders'!H476))*12+MONTH('Raw Orders'!I476)-MONTH('Raw Orders'!H476))</f>
        <v>1</v>
      </c>
      <c r="K476" t="str">
        <f>IF('Raw Orders'!J476,"Cancelled",IF('Raw Orders'!K476&gt;=2,"Slipped","On plan"))</f>
        <v>On plan</v>
      </c>
      <c r="L476" s="12">
        <f t="shared" si="7"/>
        <v>0</v>
      </c>
    </row>
    <row r="477" spans="1:12" x14ac:dyDescent="0.3">
      <c r="A477" t="str">
        <f>'Raw Orders'!A477</f>
        <v>NX-00473</v>
      </c>
      <c r="B477" t="str">
        <f>'Raw Orders'!B477</f>
        <v>North America</v>
      </c>
      <c r="C477" t="str">
        <f>'Raw Orders'!C477</f>
        <v>US / Canada</v>
      </c>
      <c r="D477" s="11">
        <f>'Raw Orders'!E477</f>
        <v>8</v>
      </c>
      <c r="E477" s="12">
        <f>'Raw Orders'!F477</f>
        <v>664000</v>
      </c>
      <c r="F477" s="12">
        <f>'Raw Orders'!F477*0.75</f>
        <v>498000</v>
      </c>
      <c r="G477" s="10">
        <f>'Raw Orders'!H477</f>
        <v>45931</v>
      </c>
      <c r="H477" s="10">
        <f>'Raw Orders'!I477</f>
        <v>46023</v>
      </c>
      <c r="I477" s="11">
        <f>'Raw Orders'!K477</f>
        <v>2.61</v>
      </c>
      <c r="J477" s="11">
        <f>IF('Raw Orders'!J477,"",(YEAR('Raw Orders'!I477)-YEAR('Raw Orders'!H477))*12+MONTH('Raw Orders'!I477)-MONTH('Raw Orders'!H477))</f>
        <v>3</v>
      </c>
      <c r="K477" t="str">
        <f>IF('Raw Orders'!J477,"Cancelled",IF('Raw Orders'!K477&gt;=2,"Slipped","On plan"))</f>
        <v>Slipped</v>
      </c>
      <c r="L477" s="12">
        <f t="shared" si="7"/>
        <v>498000</v>
      </c>
    </row>
    <row r="478" spans="1:12" x14ac:dyDescent="0.3">
      <c r="A478" t="str">
        <f>'Raw Orders'!A478</f>
        <v>NX-00474</v>
      </c>
      <c r="B478" t="str">
        <f>'Raw Orders'!B478</f>
        <v>North America</v>
      </c>
      <c r="C478" t="str">
        <f>'Raw Orders'!C478</f>
        <v>US / Canada</v>
      </c>
      <c r="D478" s="11">
        <f>'Raw Orders'!E478</f>
        <v>8.8000000000000007</v>
      </c>
      <c r="E478" s="12">
        <f>'Raw Orders'!F478</f>
        <v>730400.00000000012</v>
      </c>
      <c r="F478" s="12">
        <f>'Raw Orders'!F478*0.75</f>
        <v>547800.00000000012</v>
      </c>
      <c r="G478" s="10">
        <f>'Raw Orders'!H478</f>
        <v>45870</v>
      </c>
      <c r="H478" s="10">
        <f>'Raw Orders'!I478</f>
        <v>45870</v>
      </c>
      <c r="I478" s="11">
        <f>'Raw Orders'!K478</f>
        <v>0</v>
      </c>
      <c r="J478" s="11">
        <f>IF('Raw Orders'!J478,"",(YEAR('Raw Orders'!I478)-YEAR('Raw Orders'!H478))*12+MONTH('Raw Orders'!I478)-MONTH('Raw Orders'!H478))</f>
        <v>0</v>
      </c>
      <c r="K478" t="str">
        <f>IF('Raw Orders'!J478,"Cancelled",IF('Raw Orders'!K478&gt;=2,"Slipped","On plan"))</f>
        <v>On plan</v>
      </c>
      <c r="L478" s="12">
        <f t="shared" si="7"/>
        <v>0</v>
      </c>
    </row>
    <row r="479" spans="1:12" x14ac:dyDescent="0.3">
      <c r="A479" t="str">
        <f>'Raw Orders'!A479</f>
        <v>NX-00475</v>
      </c>
      <c r="B479" t="str">
        <f>'Raw Orders'!B479</f>
        <v>North America</v>
      </c>
      <c r="C479" t="str">
        <f>'Raw Orders'!C479</f>
        <v>US / Canada</v>
      </c>
      <c r="D479" s="11">
        <f>'Raw Orders'!E479</f>
        <v>28.3</v>
      </c>
      <c r="E479" s="12">
        <f>'Raw Orders'!F479</f>
        <v>2348900</v>
      </c>
      <c r="F479" s="12">
        <f>'Raw Orders'!F479*0.75</f>
        <v>1761675</v>
      </c>
      <c r="G479" s="10">
        <f>'Raw Orders'!H479</f>
        <v>45931</v>
      </c>
      <c r="H479" s="10">
        <f>'Raw Orders'!I479</f>
        <v>45931</v>
      </c>
      <c r="I479" s="11">
        <f>'Raw Orders'!K479</f>
        <v>0.19</v>
      </c>
      <c r="J479" s="11">
        <f>IF('Raw Orders'!J479,"",(YEAR('Raw Orders'!I479)-YEAR('Raw Orders'!H479))*12+MONTH('Raw Orders'!I479)-MONTH('Raw Orders'!H479))</f>
        <v>0</v>
      </c>
      <c r="K479" t="str">
        <f>IF('Raw Orders'!J479,"Cancelled",IF('Raw Orders'!K479&gt;=2,"Slipped","On plan"))</f>
        <v>On plan</v>
      </c>
      <c r="L479" s="12">
        <f t="shared" si="7"/>
        <v>0</v>
      </c>
    </row>
    <row r="480" spans="1:12" x14ac:dyDescent="0.3">
      <c r="A480" t="str">
        <f>'Raw Orders'!A480</f>
        <v>NX-00476</v>
      </c>
      <c r="B480" t="str">
        <f>'Raw Orders'!B480</f>
        <v>North America</v>
      </c>
      <c r="C480" t="str">
        <f>'Raw Orders'!C480</f>
        <v>US / Canada</v>
      </c>
      <c r="D480" s="11">
        <f>'Raw Orders'!E480</f>
        <v>17.600000000000001</v>
      </c>
      <c r="E480" s="12">
        <f>'Raw Orders'!F480</f>
        <v>1460800</v>
      </c>
      <c r="F480" s="12">
        <f>'Raw Orders'!F480*0.75</f>
        <v>1095600</v>
      </c>
      <c r="G480" s="10">
        <f>'Raw Orders'!H480</f>
        <v>46023</v>
      </c>
      <c r="H480" s="10">
        <f>'Raw Orders'!I480</f>
        <v>46023</v>
      </c>
      <c r="I480" s="11">
        <f>'Raw Orders'!K480</f>
        <v>0</v>
      </c>
      <c r="J480" s="11">
        <f>IF('Raw Orders'!J480,"",(YEAR('Raw Orders'!I480)-YEAR('Raw Orders'!H480))*12+MONTH('Raw Orders'!I480)-MONTH('Raw Orders'!H480))</f>
        <v>0</v>
      </c>
      <c r="K480" t="str">
        <f>IF('Raw Orders'!J480,"Cancelled",IF('Raw Orders'!K480&gt;=2,"Slipped","On plan"))</f>
        <v>On plan</v>
      </c>
      <c r="L480" s="12">
        <f t="shared" si="7"/>
        <v>0</v>
      </c>
    </row>
    <row r="481" spans="1:12" x14ac:dyDescent="0.3">
      <c r="A481" t="str">
        <f>'Raw Orders'!A481</f>
        <v>NX-00477</v>
      </c>
      <c r="B481" t="str">
        <f>'Raw Orders'!B481</f>
        <v>North America</v>
      </c>
      <c r="C481" t="str">
        <f>'Raw Orders'!C481</f>
        <v>US / Canada</v>
      </c>
      <c r="D481" s="11">
        <f>'Raw Orders'!E481</f>
        <v>3.9</v>
      </c>
      <c r="E481" s="12">
        <f>'Raw Orders'!F481</f>
        <v>323700</v>
      </c>
      <c r="F481" s="12">
        <f>'Raw Orders'!F481*0.75</f>
        <v>242775</v>
      </c>
      <c r="G481" s="10">
        <f>'Raw Orders'!H481</f>
        <v>45931</v>
      </c>
      <c r="H481" s="10">
        <f>'Raw Orders'!I481</f>
        <v>46054</v>
      </c>
      <c r="I481" s="11">
        <f>'Raw Orders'!K481</f>
        <v>3.6</v>
      </c>
      <c r="J481" s="11">
        <f>IF('Raw Orders'!J481,"",(YEAR('Raw Orders'!I481)-YEAR('Raw Orders'!H481))*12+MONTH('Raw Orders'!I481)-MONTH('Raw Orders'!H481))</f>
        <v>4</v>
      </c>
      <c r="K481" t="str">
        <f>IF('Raw Orders'!J481,"Cancelled",IF('Raw Orders'!K481&gt;=2,"Slipped","On plan"))</f>
        <v>Slipped</v>
      </c>
      <c r="L481" s="12">
        <f t="shared" si="7"/>
        <v>242775</v>
      </c>
    </row>
    <row r="482" spans="1:12" x14ac:dyDescent="0.3">
      <c r="A482" t="str">
        <f>'Raw Orders'!A482</f>
        <v>NX-00478</v>
      </c>
      <c r="B482" t="str">
        <f>'Raw Orders'!B482</f>
        <v>North America</v>
      </c>
      <c r="C482" t="str">
        <f>'Raw Orders'!C482</f>
        <v>US / Canada</v>
      </c>
      <c r="D482" s="11">
        <f>'Raw Orders'!E482</f>
        <v>27.7</v>
      </c>
      <c r="E482" s="12">
        <f>'Raw Orders'!F482</f>
        <v>2299100</v>
      </c>
      <c r="F482" s="12">
        <f>'Raw Orders'!F482*0.75</f>
        <v>1724325</v>
      </c>
      <c r="G482" s="10">
        <f>'Raw Orders'!H482</f>
        <v>46054</v>
      </c>
      <c r="H482" s="10">
        <f>'Raw Orders'!I482</f>
        <v>46054</v>
      </c>
      <c r="I482" s="11">
        <f>'Raw Orders'!K482</f>
        <v>0.24</v>
      </c>
      <c r="J482" s="11">
        <f>IF('Raw Orders'!J482,"",(YEAR('Raw Orders'!I482)-YEAR('Raw Orders'!H482))*12+MONTH('Raw Orders'!I482)-MONTH('Raw Orders'!H482))</f>
        <v>0</v>
      </c>
      <c r="K482" t="str">
        <f>IF('Raw Orders'!J482,"Cancelled",IF('Raw Orders'!K482&gt;=2,"Slipped","On plan"))</f>
        <v>On plan</v>
      </c>
      <c r="L482" s="12">
        <f t="shared" si="7"/>
        <v>0</v>
      </c>
    </row>
    <row r="483" spans="1:12" x14ac:dyDescent="0.3">
      <c r="A483" t="str">
        <f>'Raw Orders'!A483</f>
        <v>NX-00479</v>
      </c>
      <c r="B483" t="str">
        <f>'Raw Orders'!B483</f>
        <v>North America</v>
      </c>
      <c r="C483" t="str">
        <f>'Raw Orders'!C483</f>
        <v>US / Canada</v>
      </c>
      <c r="D483" s="11">
        <f>'Raw Orders'!E483</f>
        <v>6.2</v>
      </c>
      <c r="E483" s="12">
        <f>'Raw Orders'!F483</f>
        <v>514600</v>
      </c>
      <c r="F483" s="12">
        <f>'Raw Orders'!F483*0.75</f>
        <v>385950</v>
      </c>
      <c r="G483" s="10">
        <f>'Raw Orders'!H483</f>
        <v>46054</v>
      </c>
      <c r="H483" s="10">
        <f>'Raw Orders'!I483</f>
        <v>46054</v>
      </c>
      <c r="I483" s="11">
        <f>'Raw Orders'!K483</f>
        <v>0</v>
      </c>
      <c r="J483" s="11">
        <f>IF('Raw Orders'!J483,"",(YEAR('Raw Orders'!I483)-YEAR('Raw Orders'!H483))*12+MONTH('Raw Orders'!I483)-MONTH('Raw Orders'!H483))</f>
        <v>0</v>
      </c>
      <c r="K483" t="str">
        <f>IF('Raw Orders'!J483,"Cancelled",IF('Raw Orders'!K483&gt;=2,"Slipped","On plan"))</f>
        <v>On plan</v>
      </c>
      <c r="L483" s="12">
        <f t="shared" si="7"/>
        <v>0</v>
      </c>
    </row>
    <row r="484" spans="1:12" x14ac:dyDescent="0.3">
      <c r="A484" t="str">
        <f>'Raw Orders'!A484</f>
        <v>NX-00480</v>
      </c>
      <c r="B484" t="str">
        <f>'Raw Orders'!B484</f>
        <v>North America</v>
      </c>
      <c r="C484" t="str">
        <f>'Raw Orders'!C484</f>
        <v>US / Canada</v>
      </c>
      <c r="D484" s="11">
        <f>'Raw Orders'!E484</f>
        <v>8.3000000000000007</v>
      </c>
      <c r="E484" s="12">
        <f>'Raw Orders'!F484</f>
        <v>688900.00000000012</v>
      </c>
      <c r="F484" s="12">
        <f>'Raw Orders'!F484*0.75</f>
        <v>516675.00000000012</v>
      </c>
      <c r="G484" s="10">
        <f>'Raw Orders'!H484</f>
        <v>45901</v>
      </c>
      <c r="H484" s="10">
        <f>'Raw Orders'!I484</f>
        <v>45931</v>
      </c>
      <c r="I484" s="11">
        <f>'Raw Orders'!K484</f>
        <v>0.66</v>
      </c>
      <c r="J484" s="11">
        <f>IF('Raw Orders'!J484,"",(YEAR('Raw Orders'!I484)-YEAR('Raw Orders'!H484))*12+MONTH('Raw Orders'!I484)-MONTH('Raw Orders'!H484))</f>
        <v>1</v>
      </c>
      <c r="K484" t="str">
        <f>IF('Raw Orders'!J484,"Cancelled",IF('Raw Orders'!K484&gt;=2,"Slipped","On plan"))</f>
        <v>On plan</v>
      </c>
      <c r="L484" s="12">
        <f t="shared" si="7"/>
        <v>0</v>
      </c>
    </row>
    <row r="485" spans="1:12" x14ac:dyDescent="0.3">
      <c r="A485" t="str">
        <f>'Raw Orders'!A485</f>
        <v>NX-00481</v>
      </c>
      <c r="B485" t="str">
        <f>'Raw Orders'!B485</f>
        <v>North America</v>
      </c>
      <c r="C485" t="str">
        <f>'Raw Orders'!C485</f>
        <v>US / Canada</v>
      </c>
      <c r="D485" s="11">
        <f>'Raw Orders'!E485</f>
        <v>18.100000000000001</v>
      </c>
      <c r="E485" s="12">
        <f>'Raw Orders'!F485</f>
        <v>1502300</v>
      </c>
      <c r="F485" s="12">
        <f>'Raw Orders'!F485*0.75</f>
        <v>1126725</v>
      </c>
      <c r="G485" s="10">
        <f>'Raw Orders'!H485</f>
        <v>46023</v>
      </c>
      <c r="H485" s="10">
        <f>'Raw Orders'!I485</f>
        <v>46054</v>
      </c>
      <c r="I485" s="11">
        <f>'Raw Orders'!K485</f>
        <v>0.69</v>
      </c>
      <c r="J485" s="11">
        <f>IF('Raw Orders'!J485,"",(YEAR('Raw Orders'!I485)-YEAR('Raw Orders'!H485))*12+MONTH('Raw Orders'!I485)-MONTH('Raw Orders'!H485))</f>
        <v>1</v>
      </c>
      <c r="K485" t="str">
        <f>IF('Raw Orders'!J485,"Cancelled",IF('Raw Orders'!K485&gt;=2,"Slipped","On plan"))</f>
        <v>On plan</v>
      </c>
      <c r="L485" s="12">
        <f t="shared" si="7"/>
        <v>0</v>
      </c>
    </row>
    <row r="486" spans="1:12" x14ac:dyDescent="0.3">
      <c r="A486" t="str">
        <f>'Raw Orders'!A486</f>
        <v>NX-00482</v>
      </c>
      <c r="B486" t="str">
        <f>'Raw Orders'!B486</f>
        <v>North America</v>
      </c>
      <c r="C486" t="str">
        <f>'Raw Orders'!C486</f>
        <v>US / Canada</v>
      </c>
      <c r="D486" s="11">
        <f>'Raw Orders'!E486</f>
        <v>2.9</v>
      </c>
      <c r="E486" s="12">
        <f>'Raw Orders'!F486</f>
        <v>240700</v>
      </c>
      <c r="F486" s="12">
        <f>'Raw Orders'!F486*0.75</f>
        <v>180525</v>
      </c>
      <c r="G486" s="10">
        <f>'Raw Orders'!H486</f>
        <v>45931</v>
      </c>
      <c r="H486" s="10">
        <f>'Raw Orders'!I486</f>
        <v>45962</v>
      </c>
      <c r="I486" s="11">
        <f>'Raw Orders'!K486</f>
        <v>0.83</v>
      </c>
      <c r="J486" s="11">
        <f>IF('Raw Orders'!J486,"",(YEAR('Raw Orders'!I486)-YEAR('Raw Orders'!H486))*12+MONTH('Raw Orders'!I486)-MONTH('Raw Orders'!H486))</f>
        <v>1</v>
      </c>
      <c r="K486" t="str">
        <f>IF('Raw Orders'!J486,"Cancelled",IF('Raw Orders'!K486&gt;=2,"Slipped","On plan"))</f>
        <v>On plan</v>
      </c>
      <c r="L486" s="12">
        <f t="shared" si="7"/>
        <v>0</v>
      </c>
    </row>
    <row r="487" spans="1:12" x14ac:dyDescent="0.3">
      <c r="A487" t="str">
        <f>'Raw Orders'!A487</f>
        <v>NX-00483</v>
      </c>
      <c r="B487" t="str">
        <f>'Raw Orders'!B487</f>
        <v>North America</v>
      </c>
      <c r="C487" t="str">
        <f>'Raw Orders'!C487</f>
        <v>US / Canada</v>
      </c>
      <c r="D487" s="11">
        <f>'Raw Orders'!E487</f>
        <v>22.1</v>
      </c>
      <c r="E487" s="12">
        <f>'Raw Orders'!F487</f>
        <v>1834300</v>
      </c>
      <c r="F487" s="12">
        <f>'Raw Orders'!F487*0.75</f>
        <v>1375725</v>
      </c>
      <c r="G487" s="10">
        <f>'Raw Orders'!H487</f>
        <v>45870</v>
      </c>
      <c r="H487" s="10">
        <f>'Raw Orders'!I487</f>
        <v>45870</v>
      </c>
      <c r="I487" s="11">
        <f>'Raw Orders'!K487</f>
        <v>0</v>
      </c>
      <c r="J487" s="11">
        <f>IF('Raw Orders'!J487,"",(YEAR('Raw Orders'!I487)-YEAR('Raw Orders'!H487))*12+MONTH('Raw Orders'!I487)-MONTH('Raw Orders'!H487))</f>
        <v>0</v>
      </c>
      <c r="K487" t="str">
        <f>IF('Raw Orders'!J487,"Cancelled",IF('Raw Orders'!K487&gt;=2,"Slipped","On plan"))</f>
        <v>On plan</v>
      </c>
      <c r="L487" s="12">
        <f t="shared" si="7"/>
        <v>0</v>
      </c>
    </row>
    <row r="488" spans="1:12" x14ac:dyDescent="0.3">
      <c r="A488" t="str">
        <f>'Raw Orders'!A488</f>
        <v>NX-00484</v>
      </c>
      <c r="B488" t="str">
        <f>'Raw Orders'!B488</f>
        <v>North America</v>
      </c>
      <c r="C488" t="str">
        <f>'Raw Orders'!C488</f>
        <v>US / Canada</v>
      </c>
      <c r="D488" s="11">
        <f>'Raw Orders'!E488</f>
        <v>25.2</v>
      </c>
      <c r="E488" s="12">
        <f>'Raw Orders'!F488</f>
        <v>2091600</v>
      </c>
      <c r="F488" s="12">
        <f>'Raw Orders'!F488*0.75</f>
        <v>1568700</v>
      </c>
      <c r="G488" s="10">
        <f>'Raw Orders'!H488</f>
        <v>45992</v>
      </c>
      <c r="H488" s="10">
        <f>'Raw Orders'!I488</f>
        <v>45992</v>
      </c>
      <c r="I488" s="11">
        <f>'Raw Orders'!K488</f>
        <v>0.33</v>
      </c>
      <c r="J488" s="11">
        <f>IF('Raw Orders'!J488,"",(YEAR('Raw Orders'!I488)-YEAR('Raw Orders'!H488))*12+MONTH('Raw Orders'!I488)-MONTH('Raw Orders'!H488))</f>
        <v>0</v>
      </c>
      <c r="K488" t="str">
        <f>IF('Raw Orders'!J488,"Cancelled",IF('Raw Orders'!K488&gt;=2,"Slipped","On plan"))</f>
        <v>On plan</v>
      </c>
      <c r="L488" s="12">
        <f t="shared" si="7"/>
        <v>0</v>
      </c>
    </row>
    <row r="489" spans="1:12" x14ac:dyDescent="0.3">
      <c r="A489" t="str">
        <f>'Raw Orders'!A489</f>
        <v>NX-00485</v>
      </c>
      <c r="B489" t="str">
        <f>'Raw Orders'!B489</f>
        <v>North America</v>
      </c>
      <c r="C489" t="str">
        <f>'Raw Orders'!C489</f>
        <v>US / Canada</v>
      </c>
      <c r="D489" s="11">
        <f>'Raw Orders'!E489</f>
        <v>32.200000000000003</v>
      </c>
      <c r="E489" s="12">
        <f>'Raw Orders'!F489</f>
        <v>2672600</v>
      </c>
      <c r="F489" s="12">
        <f>'Raw Orders'!F489*0.75</f>
        <v>2004450</v>
      </c>
      <c r="G489" s="10">
        <f>'Raw Orders'!H489</f>
        <v>46054</v>
      </c>
      <c r="H489" s="10">
        <f>'Raw Orders'!I489</f>
        <v>46054</v>
      </c>
      <c r="I489" s="11">
        <f>'Raw Orders'!K489</f>
        <v>0.02</v>
      </c>
      <c r="J489" s="11">
        <f>IF('Raw Orders'!J489,"",(YEAR('Raw Orders'!I489)-YEAR('Raw Orders'!H489))*12+MONTH('Raw Orders'!I489)-MONTH('Raw Orders'!H489))</f>
        <v>0</v>
      </c>
      <c r="K489" t="str">
        <f>IF('Raw Orders'!J489,"Cancelled",IF('Raw Orders'!K489&gt;=2,"Slipped","On plan"))</f>
        <v>On plan</v>
      </c>
      <c r="L489" s="12">
        <f t="shared" si="7"/>
        <v>0</v>
      </c>
    </row>
    <row r="490" spans="1:12" x14ac:dyDescent="0.3">
      <c r="A490" t="str">
        <f>'Raw Orders'!A490</f>
        <v>NX-00486</v>
      </c>
      <c r="B490" t="str">
        <f>'Raw Orders'!B490</f>
        <v>North America</v>
      </c>
      <c r="C490" t="str">
        <f>'Raw Orders'!C490</f>
        <v>US / Canada</v>
      </c>
      <c r="D490" s="11">
        <f>'Raw Orders'!E490</f>
        <v>10</v>
      </c>
      <c r="E490" s="12">
        <f>'Raw Orders'!F490</f>
        <v>830000</v>
      </c>
      <c r="F490" s="12">
        <f>'Raw Orders'!F490*0.75</f>
        <v>622500</v>
      </c>
      <c r="G490" s="10">
        <f>'Raw Orders'!H490</f>
        <v>45962</v>
      </c>
      <c r="H490" s="10">
        <f>'Raw Orders'!I490</f>
        <v>46054</v>
      </c>
      <c r="I490" s="11">
        <f>'Raw Orders'!K490</f>
        <v>2.88</v>
      </c>
      <c r="J490" s="11">
        <f>IF('Raw Orders'!J490,"",(YEAR('Raw Orders'!I490)-YEAR('Raw Orders'!H490))*12+MONTH('Raw Orders'!I490)-MONTH('Raw Orders'!H490))</f>
        <v>3</v>
      </c>
      <c r="K490" t="str">
        <f>IF('Raw Orders'!J490,"Cancelled",IF('Raw Orders'!K490&gt;=2,"Slipped","On plan"))</f>
        <v>Slipped</v>
      </c>
      <c r="L490" s="12">
        <f t="shared" si="7"/>
        <v>622500</v>
      </c>
    </row>
    <row r="491" spans="1:12" x14ac:dyDescent="0.3">
      <c r="A491" t="str">
        <f>'Raw Orders'!A491</f>
        <v>NX-00487</v>
      </c>
      <c r="B491" t="str">
        <f>'Raw Orders'!B491</f>
        <v>North America</v>
      </c>
      <c r="C491" t="str">
        <f>'Raw Orders'!C491</f>
        <v>US / Canada</v>
      </c>
      <c r="D491" s="11">
        <f>'Raw Orders'!E491</f>
        <v>34.1</v>
      </c>
      <c r="E491" s="12">
        <f>'Raw Orders'!F491</f>
        <v>2830300</v>
      </c>
      <c r="F491" s="12">
        <f>'Raw Orders'!F491*0.75</f>
        <v>2122725</v>
      </c>
      <c r="G491" s="10">
        <f>'Raw Orders'!H491</f>
        <v>46023</v>
      </c>
      <c r="H491" s="10">
        <f>'Raw Orders'!I491</f>
        <v>46054</v>
      </c>
      <c r="I491" s="11">
        <f>'Raw Orders'!K491</f>
        <v>0.57999999999999996</v>
      </c>
      <c r="J491" s="11">
        <f>IF('Raw Orders'!J491,"",(YEAR('Raw Orders'!I491)-YEAR('Raw Orders'!H491))*12+MONTH('Raw Orders'!I491)-MONTH('Raw Orders'!H491))</f>
        <v>1</v>
      </c>
      <c r="K491" t="str">
        <f>IF('Raw Orders'!J491,"Cancelled",IF('Raw Orders'!K491&gt;=2,"Slipped","On plan"))</f>
        <v>On plan</v>
      </c>
      <c r="L491" s="12">
        <f t="shared" si="7"/>
        <v>0</v>
      </c>
    </row>
    <row r="492" spans="1:12" x14ac:dyDescent="0.3">
      <c r="A492" t="str">
        <f>'Raw Orders'!A492</f>
        <v>NX-00488</v>
      </c>
      <c r="B492" t="str">
        <f>'Raw Orders'!B492</f>
        <v>North America</v>
      </c>
      <c r="C492" t="str">
        <f>'Raw Orders'!C492</f>
        <v>US / Canada</v>
      </c>
      <c r="D492" s="11">
        <f>'Raw Orders'!E492</f>
        <v>17.3</v>
      </c>
      <c r="E492" s="12">
        <f>'Raw Orders'!F492</f>
        <v>1435900</v>
      </c>
      <c r="F492" s="12">
        <f>'Raw Orders'!F492*0.75</f>
        <v>1076925</v>
      </c>
      <c r="G492" s="10">
        <f>'Raw Orders'!H492</f>
        <v>45992</v>
      </c>
      <c r="H492" s="10">
        <f>'Raw Orders'!I492</f>
        <v>45992</v>
      </c>
      <c r="I492" s="11">
        <f>'Raw Orders'!K492</f>
        <v>0</v>
      </c>
      <c r="J492" s="11">
        <f>IF('Raw Orders'!J492,"",(YEAR('Raw Orders'!I492)-YEAR('Raw Orders'!H492))*12+MONTH('Raw Orders'!I492)-MONTH('Raw Orders'!H492))</f>
        <v>0</v>
      </c>
      <c r="K492" t="str">
        <f>IF('Raw Orders'!J492,"Cancelled",IF('Raw Orders'!K492&gt;=2,"Slipped","On plan"))</f>
        <v>On plan</v>
      </c>
      <c r="L492" s="12">
        <f t="shared" si="7"/>
        <v>0</v>
      </c>
    </row>
    <row r="493" spans="1:12" x14ac:dyDescent="0.3">
      <c r="A493" t="str">
        <f>'Raw Orders'!A493</f>
        <v>NX-00489</v>
      </c>
      <c r="B493" t="str">
        <f>'Raw Orders'!B493</f>
        <v>North America</v>
      </c>
      <c r="C493" t="str">
        <f>'Raw Orders'!C493</f>
        <v>US / Canada</v>
      </c>
      <c r="D493" s="11">
        <f>'Raw Orders'!E493</f>
        <v>9.8000000000000007</v>
      </c>
      <c r="E493" s="12">
        <f>'Raw Orders'!F493</f>
        <v>813400.00000000012</v>
      </c>
      <c r="F493" s="12">
        <f>'Raw Orders'!F493*0.75</f>
        <v>610050.00000000012</v>
      </c>
      <c r="G493" s="10">
        <f>'Raw Orders'!H493</f>
        <v>46054</v>
      </c>
      <c r="H493" s="10">
        <f>'Raw Orders'!I493</f>
        <v>46143</v>
      </c>
      <c r="I493" s="11">
        <f>'Raw Orders'!K493</f>
        <v>3.45</v>
      </c>
      <c r="J493" s="11">
        <f>IF('Raw Orders'!J493,"",(YEAR('Raw Orders'!I493)-YEAR('Raw Orders'!H493))*12+MONTH('Raw Orders'!I493)-MONTH('Raw Orders'!H493))</f>
        <v>3</v>
      </c>
      <c r="K493" t="str">
        <f>IF('Raw Orders'!J493,"Cancelled",IF('Raw Orders'!K493&gt;=2,"Slipped","On plan"))</f>
        <v>Slipped</v>
      </c>
      <c r="L493" s="12">
        <f t="shared" si="7"/>
        <v>610050.00000000012</v>
      </c>
    </row>
    <row r="494" spans="1:12" x14ac:dyDescent="0.3">
      <c r="A494" t="str">
        <f>'Raw Orders'!A494</f>
        <v>NX-00490</v>
      </c>
      <c r="B494" t="str">
        <f>'Raw Orders'!B494</f>
        <v>North America</v>
      </c>
      <c r="C494" t="str">
        <f>'Raw Orders'!C494</f>
        <v>US / Canada</v>
      </c>
      <c r="D494" s="11">
        <f>'Raw Orders'!E494</f>
        <v>69.599999999999994</v>
      </c>
      <c r="E494" s="12">
        <f>'Raw Orders'!F494</f>
        <v>5776799.9999999991</v>
      </c>
      <c r="F494" s="12">
        <f>'Raw Orders'!F494*0.75</f>
        <v>4332599.9999999991</v>
      </c>
      <c r="G494" s="10">
        <f>'Raw Orders'!H494</f>
        <v>45992</v>
      </c>
      <c r="H494" s="10">
        <f>'Raw Orders'!I494</f>
        <v>45992</v>
      </c>
      <c r="I494" s="11">
        <f>'Raw Orders'!K494</f>
        <v>7.0000000000000007E-2</v>
      </c>
      <c r="J494" s="11">
        <f>IF('Raw Orders'!J494,"",(YEAR('Raw Orders'!I494)-YEAR('Raw Orders'!H494))*12+MONTH('Raw Orders'!I494)-MONTH('Raw Orders'!H494))</f>
        <v>0</v>
      </c>
      <c r="K494" t="str">
        <f>IF('Raw Orders'!J494,"Cancelled",IF('Raw Orders'!K494&gt;=2,"Slipped","On plan"))</f>
        <v>On plan</v>
      </c>
      <c r="L494" s="12">
        <f t="shared" si="7"/>
        <v>0</v>
      </c>
    </row>
    <row r="495" spans="1:12" x14ac:dyDescent="0.3">
      <c r="A495" t="str">
        <f>'Raw Orders'!A495</f>
        <v>NX-00491</v>
      </c>
      <c r="B495" t="str">
        <f>'Raw Orders'!B495</f>
        <v>North America</v>
      </c>
      <c r="C495" t="str">
        <f>'Raw Orders'!C495</f>
        <v>US / Canada</v>
      </c>
      <c r="D495" s="11">
        <f>'Raw Orders'!E495</f>
        <v>8.3000000000000007</v>
      </c>
      <c r="E495" s="12">
        <f>'Raw Orders'!F495</f>
        <v>688900.00000000012</v>
      </c>
      <c r="F495" s="12">
        <f>'Raw Orders'!F495*0.75</f>
        <v>516675.00000000012</v>
      </c>
      <c r="G495" s="10">
        <f>'Raw Orders'!H495</f>
        <v>45962</v>
      </c>
      <c r="H495" s="10">
        <f>'Raw Orders'!I495</f>
        <v>45992</v>
      </c>
      <c r="I495" s="11">
        <f>'Raw Orders'!K495</f>
        <v>0.64</v>
      </c>
      <c r="J495" s="11">
        <f>IF('Raw Orders'!J495,"",(YEAR('Raw Orders'!I495)-YEAR('Raw Orders'!H495))*12+MONTH('Raw Orders'!I495)-MONTH('Raw Orders'!H495))</f>
        <v>1</v>
      </c>
      <c r="K495" t="str">
        <f>IF('Raw Orders'!J495,"Cancelled",IF('Raw Orders'!K495&gt;=2,"Slipped","On plan"))</f>
        <v>On plan</v>
      </c>
      <c r="L495" s="12">
        <f t="shared" si="7"/>
        <v>0</v>
      </c>
    </row>
    <row r="496" spans="1:12" x14ac:dyDescent="0.3">
      <c r="A496" t="str">
        <f>'Raw Orders'!A496</f>
        <v>NX-00492</v>
      </c>
      <c r="B496" t="str">
        <f>'Raw Orders'!B496</f>
        <v>North America</v>
      </c>
      <c r="C496" t="str">
        <f>'Raw Orders'!C496</f>
        <v>US / Canada</v>
      </c>
      <c r="D496" s="11">
        <f>'Raw Orders'!E496</f>
        <v>4.2</v>
      </c>
      <c r="E496" s="12">
        <f>'Raw Orders'!F496</f>
        <v>348600</v>
      </c>
      <c r="F496" s="12">
        <f>'Raw Orders'!F496*0.75</f>
        <v>261450</v>
      </c>
      <c r="G496" s="10">
        <f>'Raw Orders'!H496</f>
        <v>45901</v>
      </c>
      <c r="H496" s="10">
        <f>'Raw Orders'!I496</f>
        <v>45901</v>
      </c>
      <c r="I496" s="11">
        <f>'Raw Orders'!K496</f>
        <v>0.48</v>
      </c>
      <c r="J496" s="11">
        <f>IF('Raw Orders'!J496,"",(YEAR('Raw Orders'!I496)-YEAR('Raw Orders'!H496))*12+MONTH('Raw Orders'!I496)-MONTH('Raw Orders'!H496))</f>
        <v>0</v>
      </c>
      <c r="K496" t="str">
        <f>IF('Raw Orders'!J496,"Cancelled",IF('Raw Orders'!K496&gt;=2,"Slipped","On plan"))</f>
        <v>On plan</v>
      </c>
      <c r="L496" s="12">
        <f t="shared" si="7"/>
        <v>0</v>
      </c>
    </row>
    <row r="497" spans="1:12" x14ac:dyDescent="0.3">
      <c r="A497" t="str">
        <f>'Raw Orders'!A497</f>
        <v>NX-00493</v>
      </c>
      <c r="B497" t="str">
        <f>'Raw Orders'!B497</f>
        <v>North America</v>
      </c>
      <c r="C497" t="str">
        <f>'Raw Orders'!C497</f>
        <v>US / Canada</v>
      </c>
      <c r="D497" s="11">
        <f>'Raw Orders'!E497</f>
        <v>31</v>
      </c>
      <c r="E497" s="12">
        <f>'Raw Orders'!F497</f>
        <v>2573000</v>
      </c>
      <c r="F497" s="12">
        <f>'Raw Orders'!F497*0.75</f>
        <v>1929750</v>
      </c>
      <c r="G497" s="10">
        <f>'Raw Orders'!H497</f>
        <v>45901</v>
      </c>
      <c r="H497" s="10">
        <f>'Raw Orders'!I497</f>
        <v>45901</v>
      </c>
      <c r="I497" s="11">
        <f>'Raw Orders'!K497</f>
        <v>0.13</v>
      </c>
      <c r="J497" s="11">
        <f>IF('Raw Orders'!J497,"",(YEAR('Raw Orders'!I497)-YEAR('Raw Orders'!H497))*12+MONTH('Raw Orders'!I497)-MONTH('Raw Orders'!H497))</f>
        <v>0</v>
      </c>
      <c r="K497" t="str">
        <f>IF('Raw Orders'!J497,"Cancelled",IF('Raw Orders'!K497&gt;=2,"Slipped","On plan"))</f>
        <v>On plan</v>
      </c>
      <c r="L497" s="12">
        <f t="shared" si="7"/>
        <v>0</v>
      </c>
    </row>
    <row r="498" spans="1:12" x14ac:dyDescent="0.3">
      <c r="A498" t="str">
        <f>'Raw Orders'!A498</f>
        <v>NX-00494</v>
      </c>
      <c r="B498" t="str">
        <f>'Raw Orders'!B498</f>
        <v>North America</v>
      </c>
      <c r="C498" t="str">
        <f>'Raw Orders'!C498</f>
        <v>US / Canada</v>
      </c>
      <c r="D498" s="11">
        <f>'Raw Orders'!E498</f>
        <v>15.2</v>
      </c>
      <c r="E498" s="12">
        <f>'Raw Orders'!F498</f>
        <v>1261600</v>
      </c>
      <c r="F498" s="12">
        <f>'Raw Orders'!F498*0.75</f>
        <v>946200</v>
      </c>
      <c r="G498" s="10">
        <f>'Raw Orders'!H498</f>
        <v>45962</v>
      </c>
      <c r="H498" s="10">
        <f>'Raw Orders'!I498</f>
        <v>45962</v>
      </c>
      <c r="I498" s="11">
        <f>'Raw Orders'!K498</f>
        <v>0</v>
      </c>
      <c r="J498" s="11">
        <f>IF('Raw Orders'!J498,"",(YEAR('Raw Orders'!I498)-YEAR('Raw Orders'!H498))*12+MONTH('Raw Orders'!I498)-MONTH('Raw Orders'!H498))</f>
        <v>0</v>
      </c>
      <c r="K498" t="str">
        <f>IF('Raw Orders'!J498,"Cancelled",IF('Raw Orders'!K498&gt;=2,"Slipped","On plan"))</f>
        <v>On plan</v>
      </c>
      <c r="L498" s="12">
        <f t="shared" si="7"/>
        <v>0</v>
      </c>
    </row>
    <row r="499" spans="1:12" x14ac:dyDescent="0.3">
      <c r="A499" t="str">
        <f>'Raw Orders'!A499</f>
        <v>NX-00495</v>
      </c>
      <c r="B499" t="str">
        <f>'Raw Orders'!B499</f>
        <v>North America</v>
      </c>
      <c r="C499" t="str">
        <f>'Raw Orders'!C499</f>
        <v>US / Canada</v>
      </c>
      <c r="D499" s="11">
        <f>'Raw Orders'!E499</f>
        <v>32.4</v>
      </c>
      <c r="E499" s="12">
        <f>'Raw Orders'!F499</f>
        <v>2689200</v>
      </c>
      <c r="F499" s="12">
        <f>'Raw Orders'!F499*0.75</f>
        <v>2016900</v>
      </c>
      <c r="G499" s="10">
        <f>'Raw Orders'!H499</f>
        <v>45992</v>
      </c>
      <c r="H499" s="10">
        <f>'Raw Orders'!I499</f>
        <v>46082</v>
      </c>
      <c r="I499" s="11">
        <f>'Raw Orders'!K499</f>
        <v>3.33</v>
      </c>
      <c r="J499" s="11">
        <f>IF('Raw Orders'!J499,"",(YEAR('Raw Orders'!I499)-YEAR('Raw Orders'!H499))*12+MONTH('Raw Orders'!I499)-MONTH('Raw Orders'!H499))</f>
        <v>3</v>
      </c>
      <c r="K499" t="str">
        <f>IF('Raw Orders'!J499,"Cancelled",IF('Raw Orders'!K499&gt;=2,"Slipped","On plan"))</f>
        <v>Slipped</v>
      </c>
      <c r="L499" s="12">
        <f t="shared" si="7"/>
        <v>2016900</v>
      </c>
    </row>
    <row r="500" spans="1:12" x14ac:dyDescent="0.3">
      <c r="A500" t="str">
        <f>'Raw Orders'!A500</f>
        <v>NX-00496</v>
      </c>
      <c r="B500" t="str">
        <f>'Raw Orders'!B500</f>
        <v>North America</v>
      </c>
      <c r="C500" t="str">
        <f>'Raw Orders'!C500</f>
        <v>US / Canada</v>
      </c>
      <c r="D500" s="11">
        <f>'Raw Orders'!E500</f>
        <v>15.6</v>
      </c>
      <c r="E500" s="12">
        <f>'Raw Orders'!F500</f>
        <v>1294800</v>
      </c>
      <c r="F500" s="12">
        <f>'Raw Orders'!F500*0.75</f>
        <v>971100</v>
      </c>
      <c r="G500" s="10">
        <f>'Raw Orders'!H500</f>
        <v>45901</v>
      </c>
      <c r="H500" s="10">
        <f>'Raw Orders'!I500</f>
        <v>45901</v>
      </c>
      <c r="I500" s="11">
        <f>'Raw Orders'!K500</f>
        <v>0.15</v>
      </c>
      <c r="J500" s="11">
        <f>IF('Raw Orders'!J500,"",(YEAR('Raw Orders'!I500)-YEAR('Raw Orders'!H500))*12+MONTH('Raw Orders'!I500)-MONTH('Raw Orders'!H500))</f>
        <v>0</v>
      </c>
      <c r="K500" t="str">
        <f>IF('Raw Orders'!J500,"Cancelled",IF('Raw Orders'!K500&gt;=2,"Slipped","On plan"))</f>
        <v>On plan</v>
      </c>
      <c r="L500" s="12">
        <f t="shared" si="7"/>
        <v>0</v>
      </c>
    </row>
    <row r="501" spans="1:12" x14ac:dyDescent="0.3">
      <c r="A501" t="str">
        <f>'Raw Orders'!A501</f>
        <v>NX-00497</v>
      </c>
      <c r="B501" t="str">
        <f>'Raw Orders'!B501</f>
        <v>North America</v>
      </c>
      <c r="C501" t="str">
        <f>'Raw Orders'!C501</f>
        <v>US / Canada</v>
      </c>
      <c r="D501" s="11">
        <f>'Raw Orders'!E501</f>
        <v>14.6</v>
      </c>
      <c r="E501" s="12">
        <f>'Raw Orders'!F501</f>
        <v>1211800</v>
      </c>
      <c r="F501" s="12">
        <f>'Raw Orders'!F501*0.75</f>
        <v>908850</v>
      </c>
      <c r="G501" s="10">
        <f>'Raw Orders'!H501</f>
        <v>45870</v>
      </c>
      <c r="H501" s="10">
        <f>'Raw Orders'!I501</f>
        <v>45870</v>
      </c>
      <c r="I501" s="11">
        <f>'Raw Orders'!K501</f>
        <v>0.45</v>
      </c>
      <c r="J501" s="11">
        <f>IF('Raw Orders'!J501,"",(YEAR('Raw Orders'!I501)-YEAR('Raw Orders'!H501))*12+MONTH('Raw Orders'!I501)-MONTH('Raw Orders'!H501))</f>
        <v>0</v>
      </c>
      <c r="K501" t="str">
        <f>IF('Raw Orders'!J501,"Cancelled",IF('Raw Orders'!K501&gt;=2,"Slipped","On plan"))</f>
        <v>On plan</v>
      </c>
      <c r="L501" s="12">
        <f t="shared" si="7"/>
        <v>0</v>
      </c>
    </row>
    <row r="502" spans="1:12" x14ac:dyDescent="0.3">
      <c r="A502" t="str">
        <f>'Raw Orders'!A502</f>
        <v>NX-00498</v>
      </c>
      <c r="B502" t="str">
        <f>'Raw Orders'!B502</f>
        <v>North America</v>
      </c>
      <c r="C502" t="str">
        <f>'Raw Orders'!C502</f>
        <v>US / Canada</v>
      </c>
      <c r="D502" s="11">
        <f>'Raw Orders'!E502</f>
        <v>45.6</v>
      </c>
      <c r="E502" s="12">
        <f>'Raw Orders'!F502</f>
        <v>3784800</v>
      </c>
      <c r="F502" s="12">
        <f>'Raw Orders'!F502*0.75</f>
        <v>2838600</v>
      </c>
      <c r="G502" s="10">
        <f>'Raw Orders'!H502</f>
        <v>45962</v>
      </c>
      <c r="H502" s="10">
        <f>'Raw Orders'!I502</f>
        <v>45962</v>
      </c>
      <c r="I502" s="11">
        <f>'Raw Orders'!K502</f>
        <v>0.02</v>
      </c>
      <c r="J502" s="11">
        <f>IF('Raw Orders'!J502,"",(YEAR('Raw Orders'!I502)-YEAR('Raw Orders'!H502))*12+MONTH('Raw Orders'!I502)-MONTH('Raw Orders'!H502))</f>
        <v>0</v>
      </c>
      <c r="K502" t="str">
        <f>IF('Raw Orders'!J502,"Cancelled",IF('Raw Orders'!K502&gt;=2,"Slipped","On plan"))</f>
        <v>On plan</v>
      </c>
      <c r="L502" s="12">
        <f t="shared" si="7"/>
        <v>0</v>
      </c>
    </row>
    <row r="503" spans="1:12" x14ac:dyDescent="0.3">
      <c r="A503" t="str">
        <f>'Raw Orders'!A503</f>
        <v>NX-00499</v>
      </c>
      <c r="B503" t="str">
        <f>'Raw Orders'!B503</f>
        <v>North America</v>
      </c>
      <c r="C503" t="str">
        <f>'Raw Orders'!C503</f>
        <v>US / Canada</v>
      </c>
      <c r="D503" s="11">
        <f>'Raw Orders'!E503</f>
        <v>22.8</v>
      </c>
      <c r="E503" s="12">
        <f>'Raw Orders'!F503</f>
        <v>1892400</v>
      </c>
      <c r="F503" s="12">
        <f>'Raw Orders'!F503*0.75</f>
        <v>1419300</v>
      </c>
      <c r="G503" s="10">
        <f>'Raw Orders'!H503</f>
        <v>45931</v>
      </c>
      <c r="H503" s="10">
        <f>'Raw Orders'!I503</f>
        <v>45962</v>
      </c>
      <c r="I503" s="11">
        <f>'Raw Orders'!K503</f>
        <v>1</v>
      </c>
      <c r="J503" s="11">
        <f>IF('Raw Orders'!J503,"",(YEAR('Raw Orders'!I503)-YEAR('Raw Orders'!H503))*12+MONTH('Raw Orders'!I503)-MONTH('Raw Orders'!H503))</f>
        <v>1</v>
      </c>
      <c r="K503" t="str">
        <f>IF('Raw Orders'!J503,"Cancelled",IF('Raw Orders'!K503&gt;=2,"Slipped","On plan"))</f>
        <v>On plan</v>
      </c>
      <c r="L503" s="12">
        <f t="shared" si="7"/>
        <v>0</v>
      </c>
    </row>
    <row r="504" spans="1:12" x14ac:dyDescent="0.3">
      <c r="A504" t="str">
        <f>'Raw Orders'!A504</f>
        <v>NX-00500</v>
      </c>
      <c r="B504" t="str">
        <f>'Raw Orders'!B504</f>
        <v>North America</v>
      </c>
      <c r="C504" t="str">
        <f>'Raw Orders'!C504</f>
        <v>US / Canada</v>
      </c>
      <c r="D504" s="11">
        <f>'Raw Orders'!E504</f>
        <v>25.7</v>
      </c>
      <c r="E504" s="12">
        <f>'Raw Orders'!F504</f>
        <v>2133100</v>
      </c>
      <c r="F504" s="12">
        <f>'Raw Orders'!F504*0.75</f>
        <v>1599825</v>
      </c>
      <c r="G504" s="10">
        <f>'Raw Orders'!H504</f>
        <v>45870</v>
      </c>
      <c r="H504" s="10">
        <f>'Raw Orders'!I504</f>
        <v>45870</v>
      </c>
      <c r="I504" s="11">
        <f>'Raw Orders'!K504</f>
        <v>0.48</v>
      </c>
      <c r="J504" s="11">
        <f>IF('Raw Orders'!J504,"",(YEAR('Raw Orders'!I504)-YEAR('Raw Orders'!H504))*12+MONTH('Raw Orders'!I504)-MONTH('Raw Orders'!H504))</f>
        <v>0</v>
      </c>
      <c r="K504" t="str">
        <f>IF('Raw Orders'!J504,"Cancelled",IF('Raw Orders'!K504&gt;=2,"Slipped","On plan"))</f>
        <v>On plan</v>
      </c>
      <c r="L504" s="12">
        <f t="shared" si="7"/>
        <v>0</v>
      </c>
    </row>
    <row r="505" spans="1:12" x14ac:dyDescent="0.3">
      <c r="A505" t="str">
        <f>'Raw Orders'!A505</f>
        <v>NX-00501</v>
      </c>
      <c r="B505" t="str">
        <f>'Raw Orders'!B505</f>
        <v>North America</v>
      </c>
      <c r="C505" t="str">
        <f>'Raw Orders'!C505</f>
        <v>US / Canada</v>
      </c>
      <c r="D505" s="11">
        <f>'Raw Orders'!E505</f>
        <v>7.5</v>
      </c>
      <c r="E505" s="12">
        <f>'Raw Orders'!F505</f>
        <v>622500</v>
      </c>
      <c r="F505" s="12">
        <f>'Raw Orders'!F505*0.75</f>
        <v>466875</v>
      </c>
      <c r="G505" s="10">
        <f>'Raw Orders'!H505</f>
        <v>46054</v>
      </c>
      <c r="H505" s="10">
        <f>'Raw Orders'!I505</f>
        <v>46054</v>
      </c>
      <c r="I505" s="11">
        <f>'Raw Orders'!K505</f>
        <v>0.4</v>
      </c>
      <c r="J505" s="11">
        <f>IF('Raw Orders'!J505,"",(YEAR('Raw Orders'!I505)-YEAR('Raw Orders'!H505))*12+MONTH('Raw Orders'!I505)-MONTH('Raw Orders'!H505))</f>
        <v>0</v>
      </c>
      <c r="K505" t="str">
        <f>IF('Raw Orders'!J505,"Cancelled",IF('Raw Orders'!K505&gt;=2,"Slipped","On plan"))</f>
        <v>On plan</v>
      </c>
      <c r="L505" s="12">
        <f t="shared" si="7"/>
        <v>0</v>
      </c>
    </row>
    <row r="506" spans="1:12" x14ac:dyDescent="0.3">
      <c r="A506" t="str">
        <f>'Raw Orders'!A506</f>
        <v>NX-00502</v>
      </c>
      <c r="B506" t="str">
        <f>'Raw Orders'!B506</f>
        <v>North America</v>
      </c>
      <c r="C506" t="str">
        <f>'Raw Orders'!C506</f>
        <v>US / Canada</v>
      </c>
      <c r="D506" s="11">
        <f>'Raw Orders'!E506</f>
        <v>21.3</v>
      </c>
      <c r="E506" s="12">
        <f>'Raw Orders'!F506</f>
        <v>1767900</v>
      </c>
      <c r="F506" s="12">
        <f>'Raw Orders'!F506*0.75</f>
        <v>1325925</v>
      </c>
      <c r="G506" s="10">
        <f>'Raw Orders'!H506</f>
        <v>46023</v>
      </c>
      <c r="H506" s="10">
        <f>'Raw Orders'!I506</f>
        <v>46023</v>
      </c>
      <c r="I506" s="11">
        <f>'Raw Orders'!K506</f>
        <v>0.01</v>
      </c>
      <c r="J506" s="11">
        <f>IF('Raw Orders'!J506,"",(YEAR('Raw Orders'!I506)-YEAR('Raw Orders'!H506))*12+MONTH('Raw Orders'!I506)-MONTH('Raw Orders'!H506))</f>
        <v>0</v>
      </c>
      <c r="K506" t="str">
        <f>IF('Raw Orders'!J506,"Cancelled",IF('Raw Orders'!K506&gt;=2,"Slipped","On plan"))</f>
        <v>On plan</v>
      </c>
      <c r="L506" s="12">
        <f t="shared" si="7"/>
        <v>0</v>
      </c>
    </row>
    <row r="507" spans="1:12" x14ac:dyDescent="0.3">
      <c r="A507" t="str">
        <f>'Raw Orders'!A507</f>
        <v>NX-00503</v>
      </c>
      <c r="B507" t="str">
        <f>'Raw Orders'!B507</f>
        <v>North America</v>
      </c>
      <c r="C507" t="str">
        <f>'Raw Orders'!C507</f>
        <v>US / Canada</v>
      </c>
      <c r="D507" s="11">
        <f>'Raw Orders'!E507</f>
        <v>3.4</v>
      </c>
      <c r="E507" s="12">
        <f>'Raw Orders'!F507</f>
        <v>282200</v>
      </c>
      <c r="F507" s="12">
        <f>'Raw Orders'!F507*0.75</f>
        <v>211650</v>
      </c>
      <c r="G507" s="10">
        <f>'Raw Orders'!H507</f>
        <v>45901</v>
      </c>
      <c r="H507" s="10">
        <f>'Raw Orders'!I507</f>
        <v>45931</v>
      </c>
      <c r="I507" s="11">
        <f>'Raw Orders'!K507</f>
        <v>0.55000000000000004</v>
      </c>
      <c r="J507" s="11">
        <f>IF('Raw Orders'!J507,"",(YEAR('Raw Orders'!I507)-YEAR('Raw Orders'!H507))*12+MONTH('Raw Orders'!I507)-MONTH('Raw Orders'!H507))</f>
        <v>1</v>
      </c>
      <c r="K507" t="str">
        <f>IF('Raw Orders'!J507,"Cancelled",IF('Raw Orders'!K507&gt;=2,"Slipped","On plan"))</f>
        <v>On plan</v>
      </c>
      <c r="L507" s="12">
        <f t="shared" si="7"/>
        <v>0</v>
      </c>
    </row>
    <row r="508" spans="1:12" x14ac:dyDescent="0.3">
      <c r="A508" t="str">
        <f>'Raw Orders'!A508</f>
        <v>NX-00504</v>
      </c>
      <c r="B508" t="str">
        <f>'Raw Orders'!B508</f>
        <v>EMEA</v>
      </c>
      <c r="C508" t="str">
        <f>'Raw Orders'!C508</f>
        <v>Europe</v>
      </c>
      <c r="D508" s="11">
        <f>'Raw Orders'!E508</f>
        <v>8.1999999999999993</v>
      </c>
      <c r="E508" s="12">
        <f>'Raw Orders'!F508</f>
        <v>721599.99999999988</v>
      </c>
      <c r="F508" s="12">
        <f>'Raw Orders'!F508*0.75</f>
        <v>541199.99999999988</v>
      </c>
      <c r="G508" s="10">
        <f>'Raw Orders'!H508</f>
        <v>45901</v>
      </c>
      <c r="H508" s="10">
        <f>'Raw Orders'!I508</f>
        <v>45962</v>
      </c>
      <c r="I508" s="11">
        <f>'Raw Orders'!K508</f>
        <v>2.13</v>
      </c>
      <c r="J508" s="11">
        <f>IF('Raw Orders'!J508,"",(YEAR('Raw Orders'!I508)-YEAR('Raw Orders'!H508))*12+MONTH('Raw Orders'!I508)-MONTH('Raw Orders'!H508))</f>
        <v>2</v>
      </c>
      <c r="K508" t="str">
        <f>IF('Raw Orders'!J508,"Cancelled",IF('Raw Orders'!K508&gt;=2,"Slipped","On plan"))</f>
        <v>Slipped</v>
      </c>
      <c r="L508" s="12">
        <f t="shared" si="7"/>
        <v>541199.99999999988</v>
      </c>
    </row>
    <row r="509" spans="1:12" x14ac:dyDescent="0.3">
      <c r="A509" t="str">
        <f>'Raw Orders'!A509</f>
        <v>NX-00505</v>
      </c>
      <c r="B509" t="str">
        <f>'Raw Orders'!B509</f>
        <v>EMEA</v>
      </c>
      <c r="C509" t="str">
        <f>'Raw Orders'!C509</f>
        <v>Europe</v>
      </c>
      <c r="D509" s="11">
        <f>'Raw Orders'!E509</f>
        <v>9.6999999999999993</v>
      </c>
      <c r="E509" s="12">
        <f>'Raw Orders'!F509</f>
        <v>853599.99999999988</v>
      </c>
      <c r="F509" s="12">
        <f>'Raw Orders'!F509*0.75</f>
        <v>640199.99999999988</v>
      </c>
      <c r="G509" s="10">
        <f>'Raw Orders'!H509</f>
        <v>46054</v>
      </c>
      <c r="H509" s="10">
        <f>'Raw Orders'!I509</f>
        <v>46054</v>
      </c>
      <c r="I509" s="11">
        <f>'Raw Orders'!K509</f>
        <v>0.01</v>
      </c>
      <c r="J509" s="11">
        <f>IF('Raw Orders'!J509,"",(YEAR('Raw Orders'!I509)-YEAR('Raw Orders'!H509))*12+MONTH('Raw Orders'!I509)-MONTH('Raw Orders'!H509))</f>
        <v>0</v>
      </c>
      <c r="K509" t="str">
        <f>IF('Raw Orders'!J509,"Cancelled",IF('Raw Orders'!K509&gt;=2,"Slipped","On plan"))</f>
        <v>On plan</v>
      </c>
      <c r="L509" s="12">
        <f t="shared" si="7"/>
        <v>0</v>
      </c>
    </row>
    <row r="510" spans="1:12" x14ac:dyDescent="0.3">
      <c r="A510" t="str">
        <f>'Raw Orders'!A510</f>
        <v>NX-00506</v>
      </c>
      <c r="B510" t="str">
        <f>'Raw Orders'!B510</f>
        <v>EMEA</v>
      </c>
      <c r="C510" t="str">
        <f>'Raw Orders'!C510</f>
        <v>Europe</v>
      </c>
      <c r="D510" s="11">
        <f>'Raw Orders'!E510</f>
        <v>12.6</v>
      </c>
      <c r="E510" s="12">
        <f>'Raw Orders'!F510</f>
        <v>1108800</v>
      </c>
      <c r="F510" s="12">
        <f>'Raw Orders'!F510*0.75</f>
        <v>831600</v>
      </c>
      <c r="G510" s="10">
        <f>'Raw Orders'!H510</f>
        <v>46054</v>
      </c>
      <c r="H510" s="10">
        <f>'Raw Orders'!I510</f>
        <v>46054</v>
      </c>
      <c r="I510" s="11">
        <f>'Raw Orders'!K510</f>
        <v>0.16</v>
      </c>
      <c r="J510" s="11">
        <f>IF('Raw Orders'!J510,"",(YEAR('Raw Orders'!I510)-YEAR('Raw Orders'!H510))*12+MONTH('Raw Orders'!I510)-MONTH('Raw Orders'!H510))</f>
        <v>0</v>
      </c>
      <c r="K510" t="str">
        <f>IF('Raw Orders'!J510,"Cancelled",IF('Raw Orders'!K510&gt;=2,"Slipped","On plan"))</f>
        <v>On plan</v>
      </c>
      <c r="L510" s="12">
        <f t="shared" si="7"/>
        <v>0</v>
      </c>
    </row>
    <row r="511" spans="1:12" x14ac:dyDescent="0.3">
      <c r="A511" t="str">
        <f>'Raw Orders'!A511</f>
        <v>NX-00507</v>
      </c>
      <c r="B511" t="str">
        <f>'Raw Orders'!B511</f>
        <v>EMEA</v>
      </c>
      <c r="C511" t="str">
        <f>'Raw Orders'!C511</f>
        <v>Europe</v>
      </c>
      <c r="D511" s="11">
        <f>'Raw Orders'!E511</f>
        <v>8.3000000000000007</v>
      </c>
      <c r="E511" s="12">
        <f>'Raw Orders'!F511</f>
        <v>730400.00000000012</v>
      </c>
      <c r="F511" s="12">
        <f>'Raw Orders'!F511*0.75</f>
        <v>547800.00000000012</v>
      </c>
      <c r="G511" s="10">
        <f>'Raw Orders'!H511</f>
        <v>45931</v>
      </c>
      <c r="H511" s="10">
        <f>'Raw Orders'!I511</f>
        <v>45931</v>
      </c>
      <c r="I511" s="11">
        <f>'Raw Orders'!K511</f>
        <v>0.15</v>
      </c>
      <c r="J511" s="11">
        <f>IF('Raw Orders'!J511,"",(YEAR('Raw Orders'!I511)-YEAR('Raw Orders'!H511))*12+MONTH('Raw Orders'!I511)-MONTH('Raw Orders'!H511))</f>
        <v>0</v>
      </c>
      <c r="K511" t="str">
        <f>IF('Raw Orders'!J511,"Cancelled",IF('Raw Orders'!K511&gt;=2,"Slipped","On plan"))</f>
        <v>On plan</v>
      </c>
      <c r="L511" s="12">
        <f t="shared" si="7"/>
        <v>0</v>
      </c>
    </row>
    <row r="512" spans="1:12" x14ac:dyDescent="0.3">
      <c r="A512" t="str">
        <f>'Raw Orders'!A512</f>
        <v>NX-00508</v>
      </c>
      <c r="B512" t="str">
        <f>'Raw Orders'!B512</f>
        <v>EMEA</v>
      </c>
      <c r="C512" t="str">
        <f>'Raw Orders'!C512</f>
        <v>MENA</v>
      </c>
      <c r="D512" s="11">
        <f>'Raw Orders'!E512</f>
        <v>45.8</v>
      </c>
      <c r="E512" s="12">
        <f>'Raw Orders'!F512</f>
        <v>3709800</v>
      </c>
      <c r="F512" s="12">
        <f>'Raw Orders'!F512*0.75</f>
        <v>2782350</v>
      </c>
      <c r="G512" s="10">
        <f>'Raw Orders'!H512</f>
        <v>45901</v>
      </c>
      <c r="H512" s="10">
        <f>'Raw Orders'!I512</f>
        <v>45901</v>
      </c>
      <c r="I512" s="11">
        <f>'Raw Orders'!K512</f>
        <v>0.25</v>
      </c>
      <c r="J512" s="11">
        <f>IF('Raw Orders'!J512,"",(YEAR('Raw Orders'!I512)-YEAR('Raw Orders'!H512))*12+MONTH('Raw Orders'!I512)-MONTH('Raw Orders'!H512))</f>
        <v>0</v>
      </c>
      <c r="K512" t="str">
        <f>IF('Raw Orders'!J512,"Cancelled",IF('Raw Orders'!K512&gt;=2,"Slipped","On plan"))</f>
        <v>On plan</v>
      </c>
      <c r="L512" s="12">
        <f t="shared" si="7"/>
        <v>0</v>
      </c>
    </row>
    <row r="513" spans="1:12" x14ac:dyDescent="0.3">
      <c r="A513" t="str">
        <f>'Raw Orders'!A513</f>
        <v>NX-00509</v>
      </c>
      <c r="B513" t="str">
        <f>'Raw Orders'!B513</f>
        <v>EMEA</v>
      </c>
      <c r="C513" t="str">
        <f>'Raw Orders'!C513</f>
        <v>MENA</v>
      </c>
      <c r="D513" s="11">
        <f>'Raw Orders'!E513</f>
        <v>9.6</v>
      </c>
      <c r="E513" s="12">
        <f>'Raw Orders'!F513</f>
        <v>777600</v>
      </c>
      <c r="F513" s="12">
        <f>'Raw Orders'!F513*0.75</f>
        <v>583200</v>
      </c>
      <c r="G513" s="10">
        <f>'Raw Orders'!H513</f>
        <v>45870</v>
      </c>
      <c r="H513" s="10">
        <f>'Raw Orders'!I513</f>
        <v>45901</v>
      </c>
      <c r="I513" s="11">
        <f>'Raw Orders'!K513</f>
        <v>0.6</v>
      </c>
      <c r="J513" s="11">
        <f>IF('Raw Orders'!J513,"",(YEAR('Raw Orders'!I513)-YEAR('Raw Orders'!H513))*12+MONTH('Raw Orders'!I513)-MONTH('Raw Orders'!H513))</f>
        <v>1</v>
      </c>
      <c r="K513" t="str">
        <f>IF('Raw Orders'!J513,"Cancelled",IF('Raw Orders'!K513&gt;=2,"Slipped","On plan"))</f>
        <v>On plan</v>
      </c>
      <c r="L513" s="12">
        <f t="shared" si="7"/>
        <v>0</v>
      </c>
    </row>
    <row r="514" spans="1:12" x14ac:dyDescent="0.3">
      <c r="A514" t="str">
        <f>'Raw Orders'!A514</f>
        <v>NX-00510</v>
      </c>
      <c r="B514" t="str">
        <f>'Raw Orders'!B514</f>
        <v>APAC</v>
      </c>
      <c r="C514" t="str">
        <f>'Raw Orders'!C514</f>
        <v>India</v>
      </c>
      <c r="D514" s="11">
        <f>'Raw Orders'!E514</f>
        <v>17.2</v>
      </c>
      <c r="E514" s="12">
        <f>'Raw Orders'!F514</f>
        <v>1221200</v>
      </c>
      <c r="F514" s="12">
        <f>'Raw Orders'!F514*0.75</f>
        <v>915900</v>
      </c>
      <c r="G514" s="10">
        <f>'Raw Orders'!H514</f>
        <v>45901</v>
      </c>
      <c r="H514" s="10">
        <f>'Raw Orders'!I514</f>
        <v>45992</v>
      </c>
      <c r="I514" s="11">
        <f>'Raw Orders'!K514</f>
        <v>2.82</v>
      </c>
      <c r="J514" s="11">
        <f>IF('Raw Orders'!J514,"",(YEAR('Raw Orders'!I514)-YEAR('Raw Orders'!H514))*12+MONTH('Raw Orders'!I514)-MONTH('Raw Orders'!H514))</f>
        <v>3</v>
      </c>
      <c r="K514" t="str">
        <f>IF('Raw Orders'!J514,"Cancelled",IF('Raw Orders'!K514&gt;=2,"Slipped","On plan"))</f>
        <v>Slipped</v>
      </c>
      <c r="L514" s="12">
        <f t="shared" si="7"/>
        <v>915900</v>
      </c>
    </row>
    <row r="515" spans="1:12" x14ac:dyDescent="0.3">
      <c r="A515" t="str">
        <f>'Raw Orders'!A515</f>
        <v>NX-00511</v>
      </c>
      <c r="B515" t="str">
        <f>'Raw Orders'!B515</f>
        <v>APAC</v>
      </c>
      <c r="C515" t="str">
        <f>'Raw Orders'!C515</f>
        <v>India</v>
      </c>
      <c r="D515" s="11">
        <f>'Raw Orders'!E515</f>
        <v>6.8</v>
      </c>
      <c r="E515" s="12">
        <f>'Raw Orders'!F515</f>
        <v>482800</v>
      </c>
      <c r="F515" s="12">
        <f>'Raw Orders'!F515*0.75</f>
        <v>362100</v>
      </c>
      <c r="G515" s="10">
        <f>'Raw Orders'!H515</f>
        <v>46023</v>
      </c>
      <c r="H515" s="10">
        <f>'Raw Orders'!I515</f>
        <v>46204</v>
      </c>
      <c r="I515" s="11">
        <f>'Raw Orders'!K515</f>
        <v>6.14</v>
      </c>
      <c r="J515" s="11">
        <f>IF('Raw Orders'!J515,"",(YEAR('Raw Orders'!I515)-YEAR('Raw Orders'!H515))*12+MONTH('Raw Orders'!I515)-MONTH('Raw Orders'!H515))</f>
        <v>6</v>
      </c>
      <c r="K515" t="str">
        <f>IF('Raw Orders'!J515,"Cancelled",IF('Raw Orders'!K515&gt;=2,"Slipped","On plan"))</f>
        <v>Slipped</v>
      </c>
      <c r="L515" s="12">
        <f t="shared" si="7"/>
        <v>362100</v>
      </c>
    </row>
    <row r="516" spans="1:12" x14ac:dyDescent="0.3">
      <c r="A516" t="str">
        <f>'Raw Orders'!A516</f>
        <v>NX-00512</v>
      </c>
      <c r="B516" t="str">
        <f>'Raw Orders'!B516</f>
        <v>APAC</v>
      </c>
      <c r="C516" t="str">
        <f>'Raw Orders'!C516</f>
        <v>Australia/SEA</v>
      </c>
      <c r="D516" s="11">
        <f>'Raw Orders'!E516</f>
        <v>13</v>
      </c>
      <c r="E516" s="12">
        <f>'Raw Orders'!F516</f>
        <v>1092000</v>
      </c>
      <c r="F516" s="12">
        <f>'Raw Orders'!F516*0.75</f>
        <v>819000</v>
      </c>
      <c r="G516" s="10">
        <f>'Raw Orders'!H516</f>
        <v>46054</v>
      </c>
      <c r="H516" s="10">
        <f>'Raw Orders'!I516</f>
        <v>46113</v>
      </c>
      <c r="I516" s="11">
        <f>'Raw Orders'!K516</f>
        <v>2.3199999999999998</v>
      </c>
      <c r="J516" s="11">
        <f>IF('Raw Orders'!J516,"",(YEAR('Raw Orders'!I516)-YEAR('Raw Orders'!H516))*12+MONTH('Raw Orders'!I516)-MONTH('Raw Orders'!H516))</f>
        <v>2</v>
      </c>
      <c r="K516" t="str">
        <f>IF('Raw Orders'!J516,"Cancelled",IF('Raw Orders'!K516&gt;=2,"Slipped","On plan"))</f>
        <v>Slipped</v>
      </c>
      <c r="L516" s="12">
        <f t="shared" si="7"/>
        <v>819000</v>
      </c>
    </row>
    <row r="517" spans="1:12" x14ac:dyDescent="0.3">
      <c r="A517" t="str">
        <f>'Raw Orders'!A517</f>
        <v>NX-00513</v>
      </c>
      <c r="B517" t="str">
        <f>'Raw Orders'!B517</f>
        <v>APAC</v>
      </c>
      <c r="C517" t="str">
        <f>'Raw Orders'!C517</f>
        <v>Australia/SEA</v>
      </c>
      <c r="D517" s="11">
        <f>'Raw Orders'!E517</f>
        <v>7.3</v>
      </c>
      <c r="E517" s="12">
        <f>'Raw Orders'!F517</f>
        <v>613200</v>
      </c>
      <c r="F517" s="12">
        <f>'Raw Orders'!F517*0.75</f>
        <v>459900</v>
      </c>
      <c r="G517" s="10">
        <f>'Raw Orders'!H517</f>
        <v>46023</v>
      </c>
      <c r="H517" s="10">
        <f>'Raw Orders'!I517</f>
        <v>46023</v>
      </c>
      <c r="I517" s="11">
        <f>'Raw Orders'!K517</f>
        <v>0.01</v>
      </c>
      <c r="J517" s="11">
        <f>IF('Raw Orders'!J517,"",(YEAR('Raw Orders'!I517)-YEAR('Raw Orders'!H517))*12+MONTH('Raw Orders'!I517)-MONTH('Raw Orders'!H517))</f>
        <v>0</v>
      </c>
      <c r="K517" t="str">
        <f>IF('Raw Orders'!J517,"Cancelled",IF('Raw Orders'!K517&gt;=2,"Slipped","On plan"))</f>
        <v>On plan</v>
      </c>
      <c r="L517" s="12">
        <f t="shared" ref="L517:L580" si="8">IF(K517="On plan",0,F517)</f>
        <v>0</v>
      </c>
    </row>
    <row r="518" spans="1:12" x14ac:dyDescent="0.3">
      <c r="A518" t="str">
        <f>'Raw Orders'!A518</f>
        <v>NX-00514</v>
      </c>
      <c r="B518" t="str">
        <f>'Raw Orders'!B518</f>
        <v>APAC</v>
      </c>
      <c r="C518" t="str">
        <f>'Raw Orders'!C518</f>
        <v>Australia/SEA</v>
      </c>
      <c r="D518" s="11">
        <f>'Raw Orders'!E518</f>
        <v>15.1</v>
      </c>
      <c r="E518" s="12">
        <f>'Raw Orders'!F518</f>
        <v>1268400</v>
      </c>
      <c r="F518" s="12">
        <f>'Raw Orders'!F518*0.75</f>
        <v>951300</v>
      </c>
      <c r="G518" s="10">
        <f>'Raw Orders'!H518</f>
        <v>45992</v>
      </c>
      <c r="H518" s="10">
        <f>'Raw Orders'!I518</f>
        <v>45992</v>
      </c>
      <c r="I518" s="11">
        <f>'Raw Orders'!K518</f>
        <v>0.3</v>
      </c>
      <c r="J518" s="11">
        <f>IF('Raw Orders'!J518,"",(YEAR('Raw Orders'!I518)-YEAR('Raw Orders'!H518))*12+MONTH('Raw Orders'!I518)-MONTH('Raw Orders'!H518))</f>
        <v>0</v>
      </c>
      <c r="K518" t="str">
        <f>IF('Raw Orders'!J518,"Cancelled",IF('Raw Orders'!K518&gt;=2,"Slipped","On plan"))</f>
        <v>On plan</v>
      </c>
      <c r="L518" s="12">
        <f t="shared" si="8"/>
        <v>0</v>
      </c>
    </row>
    <row r="519" spans="1:12" x14ac:dyDescent="0.3">
      <c r="A519" t="str">
        <f>'Raw Orders'!A519</f>
        <v>NX-00515</v>
      </c>
      <c r="B519" t="str">
        <f>'Raw Orders'!B519</f>
        <v>LATAM</v>
      </c>
      <c r="C519" t="str">
        <f>'Raw Orders'!C519</f>
        <v>LATAM</v>
      </c>
      <c r="D519" s="11">
        <f>'Raw Orders'!E519</f>
        <v>8.1999999999999993</v>
      </c>
      <c r="E519" s="12">
        <f>'Raw Orders'!F519</f>
        <v>647800</v>
      </c>
      <c r="F519" s="12">
        <f>'Raw Orders'!F519*0.75</f>
        <v>485850</v>
      </c>
      <c r="G519" s="10">
        <f>'Raw Orders'!H519</f>
        <v>45992</v>
      </c>
      <c r="H519" s="10">
        <f>'Raw Orders'!I519</f>
        <v>46023</v>
      </c>
      <c r="I519" s="11">
        <f>'Raw Orders'!K519</f>
        <v>0.53</v>
      </c>
      <c r="J519" s="11">
        <f>IF('Raw Orders'!J519,"",(YEAR('Raw Orders'!I519)-YEAR('Raw Orders'!H519))*12+MONTH('Raw Orders'!I519)-MONTH('Raw Orders'!H519))</f>
        <v>1</v>
      </c>
      <c r="K519" t="str">
        <f>IF('Raw Orders'!J519,"Cancelled",IF('Raw Orders'!K519&gt;=2,"Slipped","On plan"))</f>
        <v>On plan</v>
      </c>
      <c r="L519" s="12">
        <f t="shared" si="8"/>
        <v>0</v>
      </c>
    </row>
    <row r="520" spans="1:12" x14ac:dyDescent="0.3">
      <c r="A520" t="str">
        <f>'Raw Orders'!A520</f>
        <v>NX-00516</v>
      </c>
      <c r="B520" t="str">
        <f>'Raw Orders'!B520</f>
        <v>LATAM</v>
      </c>
      <c r="C520" t="str">
        <f>'Raw Orders'!C520</f>
        <v>LATAM</v>
      </c>
      <c r="D520" s="11">
        <f>'Raw Orders'!E520</f>
        <v>18.7</v>
      </c>
      <c r="E520" s="12">
        <f>'Raw Orders'!F520</f>
        <v>1477300</v>
      </c>
      <c r="F520" s="12">
        <f>'Raw Orders'!F520*0.75</f>
        <v>1107975</v>
      </c>
      <c r="G520" s="10">
        <f>'Raw Orders'!H520</f>
        <v>45870</v>
      </c>
      <c r="H520" s="10">
        <f>'Raw Orders'!I520</f>
        <v>45870</v>
      </c>
      <c r="I520" s="11">
        <f>'Raw Orders'!K520</f>
        <v>7.0000000000000007E-2</v>
      </c>
      <c r="J520" s="11">
        <f>IF('Raw Orders'!J520,"",(YEAR('Raw Orders'!I520)-YEAR('Raw Orders'!H520))*12+MONTH('Raw Orders'!I520)-MONTH('Raw Orders'!H520))</f>
        <v>0</v>
      </c>
      <c r="K520" t="str">
        <f>IF('Raw Orders'!J520,"Cancelled",IF('Raw Orders'!K520&gt;=2,"Slipped","On plan"))</f>
        <v>On plan</v>
      </c>
      <c r="L520" s="12">
        <f t="shared" si="8"/>
        <v>0</v>
      </c>
    </row>
    <row r="521" spans="1:12" x14ac:dyDescent="0.3">
      <c r="A521" t="str">
        <f>'Raw Orders'!A521</f>
        <v>NX-00517</v>
      </c>
      <c r="B521" t="str">
        <f>'Raw Orders'!B521</f>
        <v>LATAM</v>
      </c>
      <c r="C521" t="str">
        <f>'Raw Orders'!C521</f>
        <v>LATAM</v>
      </c>
      <c r="D521" s="11">
        <f>'Raw Orders'!E521</f>
        <v>7.6</v>
      </c>
      <c r="E521" s="12">
        <f>'Raw Orders'!F521</f>
        <v>600400</v>
      </c>
      <c r="F521" s="12">
        <f>'Raw Orders'!F521*0.75</f>
        <v>450300</v>
      </c>
      <c r="G521" s="10">
        <f>'Raw Orders'!H521</f>
        <v>46054</v>
      </c>
      <c r="H521" s="10">
        <f>'Raw Orders'!I521</f>
        <v>46143</v>
      </c>
      <c r="I521" s="11">
        <f>'Raw Orders'!K521</f>
        <v>3.38</v>
      </c>
      <c r="J521" s="11">
        <f>IF('Raw Orders'!J521,"",(YEAR('Raw Orders'!I521)-YEAR('Raw Orders'!H521))*12+MONTH('Raw Orders'!I521)-MONTH('Raw Orders'!H521))</f>
        <v>3</v>
      </c>
      <c r="K521" t="str">
        <f>IF('Raw Orders'!J521,"Cancelled",IF('Raw Orders'!K521&gt;=2,"Slipped","On plan"))</f>
        <v>Slipped</v>
      </c>
      <c r="L521" s="12">
        <f t="shared" si="8"/>
        <v>450300</v>
      </c>
    </row>
    <row r="522" spans="1:12" x14ac:dyDescent="0.3">
      <c r="A522" t="str">
        <f>'Raw Orders'!A522</f>
        <v>NX-00518</v>
      </c>
      <c r="B522" t="str">
        <f>'Raw Orders'!B522</f>
        <v>North America</v>
      </c>
      <c r="C522" t="str">
        <f>'Raw Orders'!C522</f>
        <v>US / Canada</v>
      </c>
      <c r="D522" s="11">
        <f>'Raw Orders'!E522</f>
        <v>13.6</v>
      </c>
      <c r="E522" s="12">
        <f>'Raw Orders'!F522</f>
        <v>1128800</v>
      </c>
      <c r="F522" s="12">
        <f>'Raw Orders'!F522*0.75</f>
        <v>846600</v>
      </c>
      <c r="G522" s="10">
        <f>'Raw Orders'!H522</f>
        <v>46054</v>
      </c>
      <c r="H522" s="10">
        <f>'Raw Orders'!I522</f>
        <v>46054</v>
      </c>
      <c r="I522" s="11">
        <f>'Raw Orders'!K522</f>
        <v>0.01</v>
      </c>
      <c r="J522" s="11">
        <f>IF('Raw Orders'!J522,"",(YEAR('Raw Orders'!I522)-YEAR('Raw Orders'!H522))*12+MONTH('Raw Orders'!I522)-MONTH('Raw Orders'!H522))</f>
        <v>0</v>
      </c>
      <c r="K522" t="str">
        <f>IF('Raw Orders'!J522,"Cancelled",IF('Raw Orders'!K522&gt;=2,"Slipped","On plan"))</f>
        <v>On plan</v>
      </c>
      <c r="L522" s="12">
        <f t="shared" si="8"/>
        <v>0</v>
      </c>
    </row>
    <row r="523" spans="1:12" x14ac:dyDescent="0.3">
      <c r="A523" t="str">
        <f>'Raw Orders'!A523</f>
        <v>NX-00519</v>
      </c>
      <c r="B523" t="str">
        <f>'Raw Orders'!B523</f>
        <v>North America</v>
      </c>
      <c r="C523" t="str">
        <f>'Raw Orders'!C523</f>
        <v>US / Canada</v>
      </c>
      <c r="D523" s="11">
        <f>'Raw Orders'!E523</f>
        <v>19</v>
      </c>
      <c r="E523" s="12">
        <f>'Raw Orders'!F523</f>
        <v>1577000</v>
      </c>
      <c r="F523" s="12">
        <f>'Raw Orders'!F523*0.75</f>
        <v>1182750</v>
      </c>
      <c r="G523" s="10">
        <f>'Raw Orders'!H523</f>
        <v>46023</v>
      </c>
      <c r="H523" s="10">
        <f>'Raw Orders'!I523</f>
        <v>46113</v>
      </c>
      <c r="I523" s="11">
        <f>'Raw Orders'!K523</f>
        <v>3.13</v>
      </c>
      <c r="J523" s="11">
        <f>IF('Raw Orders'!J523,"",(YEAR('Raw Orders'!I523)-YEAR('Raw Orders'!H523))*12+MONTH('Raw Orders'!I523)-MONTH('Raw Orders'!H523))</f>
        <v>3</v>
      </c>
      <c r="K523" t="str">
        <f>IF('Raw Orders'!J523,"Cancelled",IF('Raw Orders'!K523&gt;=2,"Slipped","On plan"))</f>
        <v>Slipped</v>
      </c>
      <c r="L523" s="12">
        <f t="shared" si="8"/>
        <v>1182750</v>
      </c>
    </row>
    <row r="524" spans="1:12" x14ac:dyDescent="0.3">
      <c r="A524" t="str">
        <f>'Raw Orders'!A524</f>
        <v>NX-00520</v>
      </c>
      <c r="B524" t="str">
        <f>'Raw Orders'!B524</f>
        <v>North America</v>
      </c>
      <c r="C524" t="str">
        <f>'Raw Orders'!C524</f>
        <v>US / Canada</v>
      </c>
      <c r="D524" s="11">
        <f>'Raw Orders'!E524</f>
        <v>49.3</v>
      </c>
      <c r="E524" s="12">
        <f>'Raw Orders'!F524</f>
        <v>4091900</v>
      </c>
      <c r="F524" s="12">
        <f>'Raw Orders'!F524*0.75</f>
        <v>3068925</v>
      </c>
      <c r="G524" s="10">
        <f>'Raw Orders'!H524</f>
        <v>46023</v>
      </c>
      <c r="H524" s="10">
        <f>'Raw Orders'!I524</f>
        <v>46023</v>
      </c>
      <c r="I524" s="11">
        <f>'Raw Orders'!K524</f>
        <v>0.32</v>
      </c>
      <c r="J524" s="11">
        <f>IF('Raw Orders'!J524,"",(YEAR('Raw Orders'!I524)-YEAR('Raw Orders'!H524))*12+MONTH('Raw Orders'!I524)-MONTH('Raw Orders'!H524))</f>
        <v>0</v>
      </c>
      <c r="K524" t="str">
        <f>IF('Raw Orders'!J524,"Cancelled",IF('Raw Orders'!K524&gt;=2,"Slipped","On plan"))</f>
        <v>On plan</v>
      </c>
      <c r="L524" s="12">
        <f t="shared" si="8"/>
        <v>0</v>
      </c>
    </row>
    <row r="525" spans="1:12" x14ac:dyDescent="0.3">
      <c r="A525" t="str">
        <f>'Raw Orders'!A525</f>
        <v>NX-00521</v>
      </c>
      <c r="B525" t="str">
        <f>'Raw Orders'!B525</f>
        <v>North America</v>
      </c>
      <c r="C525" t="str">
        <f>'Raw Orders'!C525</f>
        <v>US / Canada</v>
      </c>
      <c r="D525" s="11">
        <f>'Raw Orders'!E525</f>
        <v>37</v>
      </c>
      <c r="E525" s="12">
        <f>'Raw Orders'!F525</f>
        <v>3071000</v>
      </c>
      <c r="F525" s="12">
        <f>'Raw Orders'!F525*0.75</f>
        <v>2303250</v>
      </c>
      <c r="G525" s="10">
        <f>'Raw Orders'!H525</f>
        <v>46054</v>
      </c>
      <c r="H525" s="10">
        <f>'Raw Orders'!I525</f>
        <v>46054</v>
      </c>
      <c r="I525" s="11">
        <f>'Raw Orders'!K525</f>
        <v>0.01</v>
      </c>
      <c r="J525" s="11">
        <f>IF('Raw Orders'!J525,"",(YEAR('Raw Orders'!I525)-YEAR('Raw Orders'!H525))*12+MONTH('Raw Orders'!I525)-MONTH('Raw Orders'!H525))</f>
        <v>0</v>
      </c>
      <c r="K525" t="str">
        <f>IF('Raw Orders'!J525,"Cancelled",IF('Raw Orders'!K525&gt;=2,"Slipped","On plan"))</f>
        <v>On plan</v>
      </c>
      <c r="L525" s="12">
        <f t="shared" si="8"/>
        <v>0</v>
      </c>
    </row>
    <row r="526" spans="1:12" x14ac:dyDescent="0.3">
      <c r="A526" t="str">
        <f>'Raw Orders'!A526</f>
        <v>NX-00522</v>
      </c>
      <c r="B526" t="str">
        <f>'Raw Orders'!B526</f>
        <v>North America</v>
      </c>
      <c r="C526" t="str">
        <f>'Raw Orders'!C526</f>
        <v>US / Canada</v>
      </c>
      <c r="D526" s="11">
        <f>'Raw Orders'!E526</f>
        <v>31.5</v>
      </c>
      <c r="E526" s="12">
        <f>'Raw Orders'!F526</f>
        <v>2614500</v>
      </c>
      <c r="F526" s="12">
        <f>'Raw Orders'!F526*0.75</f>
        <v>1960875</v>
      </c>
      <c r="G526" s="10">
        <f>'Raw Orders'!H526</f>
        <v>45962</v>
      </c>
      <c r="H526" s="10">
        <f>'Raw Orders'!I526</f>
        <v>45992</v>
      </c>
      <c r="I526" s="11">
        <f>'Raw Orders'!K526</f>
        <v>0.63</v>
      </c>
      <c r="J526" s="11">
        <f>IF('Raw Orders'!J526,"",(YEAR('Raw Orders'!I526)-YEAR('Raw Orders'!H526))*12+MONTH('Raw Orders'!I526)-MONTH('Raw Orders'!H526))</f>
        <v>1</v>
      </c>
      <c r="K526" t="str">
        <f>IF('Raw Orders'!J526,"Cancelled",IF('Raw Orders'!K526&gt;=2,"Slipped","On plan"))</f>
        <v>On plan</v>
      </c>
      <c r="L526" s="12">
        <f t="shared" si="8"/>
        <v>0</v>
      </c>
    </row>
    <row r="527" spans="1:12" x14ac:dyDescent="0.3">
      <c r="A527" t="str">
        <f>'Raw Orders'!A527</f>
        <v>NX-00523</v>
      </c>
      <c r="B527" t="str">
        <f>'Raw Orders'!B527</f>
        <v>North America</v>
      </c>
      <c r="C527" t="str">
        <f>'Raw Orders'!C527</f>
        <v>US / Canada</v>
      </c>
      <c r="D527" s="11">
        <f>'Raw Orders'!E527</f>
        <v>6.7</v>
      </c>
      <c r="E527" s="12">
        <f>'Raw Orders'!F527</f>
        <v>556100</v>
      </c>
      <c r="F527" s="12">
        <f>'Raw Orders'!F527*0.75</f>
        <v>417075</v>
      </c>
      <c r="G527" s="10">
        <f>'Raw Orders'!H527</f>
        <v>46082</v>
      </c>
      <c r="H527" s="10">
        <f>'Raw Orders'!I527</f>
        <v>46082</v>
      </c>
      <c r="I527" s="11">
        <f>'Raw Orders'!K527</f>
        <v>0.17</v>
      </c>
      <c r="J527" s="11">
        <f>IF('Raw Orders'!J527,"",(YEAR('Raw Orders'!I527)-YEAR('Raw Orders'!H527))*12+MONTH('Raw Orders'!I527)-MONTH('Raw Orders'!H527))</f>
        <v>0</v>
      </c>
      <c r="K527" t="str">
        <f>IF('Raw Orders'!J527,"Cancelled",IF('Raw Orders'!K527&gt;=2,"Slipped","On plan"))</f>
        <v>On plan</v>
      </c>
      <c r="L527" s="12">
        <f t="shared" si="8"/>
        <v>0</v>
      </c>
    </row>
    <row r="528" spans="1:12" x14ac:dyDescent="0.3">
      <c r="A528" t="str">
        <f>'Raw Orders'!A528</f>
        <v>NX-00524</v>
      </c>
      <c r="B528" t="str">
        <f>'Raw Orders'!B528</f>
        <v>North America</v>
      </c>
      <c r="C528" t="str">
        <f>'Raw Orders'!C528</f>
        <v>US / Canada</v>
      </c>
      <c r="D528" s="11">
        <f>'Raw Orders'!E528</f>
        <v>6.8</v>
      </c>
      <c r="E528" s="12">
        <f>'Raw Orders'!F528</f>
        <v>564400</v>
      </c>
      <c r="F528" s="12">
        <f>'Raw Orders'!F528*0.75</f>
        <v>423300</v>
      </c>
      <c r="G528" s="10">
        <f>'Raw Orders'!H528</f>
        <v>46023</v>
      </c>
      <c r="H528" s="10">
        <f>'Raw Orders'!I528</f>
        <v>46023</v>
      </c>
      <c r="I528" s="11">
        <f>'Raw Orders'!K528</f>
        <v>0.03</v>
      </c>
      <c r="J528" s="11">
        <f>IF('Raw Orders'!J528,"",(YEAR('Raw Orders'!I528)-YEAR('Raw Orders'!H528))*12+MONTH('Raw Orders'!I528)-MONTH('Raw Orders'!H528))</f>
        <v>0</v>
      </c>
      <c r="K528" t="str">
        <f>IF('Raw Orders'!J528,"Cancelled",IF('Raw Orders'!K528&gt;=2,"Slipped","On plan"))</f>
        <v>On plan</v>
      </c>
      <c r="L528" s="12">
        <f t="shared" si="8"/>
        <v>0</v>
      </c>
    </row>
    <row r="529" spans="1:12" x14ac:dyDescent="0.3">
      <c r="A529" t="str">
        <f>'Raw Orders'!A529</f>
        <v>NX-00525</v>
      </c>
      <c r="B529" t="str">
        <f>'Raw Orders'!B529</f>
        <v>North America</v>
      </c>
      <c r="C529" t="str">
        <f>'Raw Orders'!C529</f>
        <v>US / Canada</v>
      </c>
      <c r="D529" s="11">
        <f>'Raw Orders'!E529</f>
        <v>22.9</v>
      </c>
      <c r="E529" s="12">
        <f>'Raw Orders'!F529</f>
        <v>1900700</v>
      </c>
      <c r="F529" s="12">
        <f>'Raw Orders'!F529*0.75</f>
        <v>1425525</v>
      </c>
      <c r="G529" s="10">
        <f>'Raw Orders'!H529</f>
        <v>45992</v>
      </c>
      <c r="H529" s="10">
        <f>'Raw Orders'!I529</f>
        <v>45992</v>
      </c>
      <c r="I529" s="11">
        <f>'Raw Orders'!K529</f>
        <v>0.01</v>
      </c>
      <c r="J529" s="11">
        <f>IF('Raw Orders'!J529,"",(YEAR('Raw Orders'!I529)-YEAR('Raw Orders'!H529))*12+MONTH('Raw Orders'!I529)-MONTH('Raw Orders'!H529))</f>
        <v>0</v>
      </c>
      <c r="K529" t="str">
        <f>IF('Raw Orders'!J529,"Cancelled",IF('Raw Orders'!K529&gt;=2,"Slipped","On plan"))</f>
        <v>On plan</v>
      </c>
      <c r="L529" s="12">
        <f t="shared" si="8"/>
        <v>0</v>
      </c>
    </row>
    <row r="530" spans="1:12" x14ac:dyDescent="0.3">
      <c r="A530" t="str">
        <f>'Raw Orders'!A530</f>
        <v>NX-00526</v>
      </c>
      <c r="B530" t="str">
        <f>'Raw Orders'!B530</f>
        <v>North America</v>
      </c>
      <c r="C530" t="str">
        <f>'Raw Orders'!C530</f>
        <v>US / Canada</v>
      </c>
      <c r="D530" s="11">
        <f>'Raw Orders'!E530</f>
        <v>25.9</v>
      </c>
      <c r="E530" s="12">
        <f>'Raw Orders'!F530</f>
        <v>2149700</v>
      </c>
      <c r="F530" s="12">
        <f>'Raw Orders'!F530*0.75</f>
        <v>1612275</v>
      </c>
      <c r="G530" s="10">
        <f>'Raw Orders'!H530</f>
        <v>46023</v>
      </c>
      <c r="H530" s="10">
        <f>'Raw Orders'!I530</f>
        <v>46023</v>
      </c>
      <c r="I530" s="11">
        <f>'Raw Orders'!K530</f>
        <v>0.39</v>
      </c>
      <c r="J530" s="11">
        <f>IF('Raw Orders'!J530,"",(YEAR('Raw Orders'!I530)-YEAR('Raw Orders'!H530))*12+MONTH('Raw Orders'!I530)-MONTH('Raw Orders'!H530))</f>
        <v>0</v>
      </c>
      <c r="K530" t="str">
        <f>IF('Raw Orders'!J530,"Cancelled",IF('Raw Orders'!K530&gt;=2,"Slipped","On plan"))</f>
        <v>On plan</v>
      </c>
      <c r="L530" s="12">
        <f t="shared" si="8"/>
        <v>0</v>
      </c>
    </row>
    <row r="531" spans="1:12" x14ac:dyDescent="0.3">
      <c r="A531" t="str">
        <f>'Raw Orders'!A531</f>
        <v>NX-00527</v>
      </c>
      <c r="B531" t="str">
        <f>'Raw Orders'!B531</f>
        <v>North America</v>
      </c>
      <c r="C531" t="str">
        <f>'Raw Orders'!C531</f>
        <v>US / Canada</v>
      </c>
      <c r="D531" s="11">
        <f>'Raw Orders'!E531</f>
        <v>11.7</v>
      </c>
      <c r="E531" s="12">
        <f>'Raw Orders'!F531</f>
        <v>971100</v>
      </c>
      <c r="F531" s="12">
        <f>'Raw Orders'!F531*0.75</f>
        <v>728325</v>
      </c>
      <c r="G531" s="10">
        <f>'Raw Orders'!H531</f>
        <v>45901</v>
      </c>
      <c r="H531" s="10">
        <f>'Raw Orders'!I531</f>
        <v>45901</v>
      </c>
      <c r="I531" s="11">
        <f>'Raw Orders'!K531</f>
        <v>0.32</v>
      </c>
      <c r="J531" s="11">
        <f>IF('Raw Orders'!J531,"",(YEAR('Raw Orders'!I531)-YEAR('Raw Orders'!H531))*12+MONTH('Raw Orders'!I531)-MONTH('Raw Orders'!H531))</f>
        <v>0</v>
      </c>
      <c r="K531" t="str">
        <f>IF('Raw Orders'!J531,"Cancelled",IF('Raw Orders'!K531&gt;=2,"Slipped","On plan"))</f>
        <v>On plan</v>
      </c>
      <c r="L531" s="12">
        <f t="shared" si="8"/>
        <v>0</v>
      </c>
    </row>
    <row r="532" spans="1:12" x14ac:dyDescent="0.3">
      <c r="A532" t="str">
        <f>'Raw Orders'!A532</f>
        <v>NX-00528</v>
      </c>
      <c r="B532" t="str">
        <f>'Raw Orders'!B532</f>
        <v>North America</v>
      </c>
      <c r="C532" t="str">
        <f>'Raw Orders'!C532</f>
        <v>US / Canada</v>
      </c>
      <c r="D532" s="11">
        <f>'Raw Orders'!E532</f>
        <v>4.5999999999999996</v>
      </c>
      <c r="E532" s="12">
        <f>'Raw Orders'!F532</f>
        <v>381800</v>
      </c>
      <c r="F532" s="12">
        <f>'Raw Orders'!F532*0.75</f>
        <v>286350</v>
      </c>
      <c r="G532" s="10">
        <f>'Raw Orders'!H532</f>
        <v>45962</v>
      </c>
      <c r="H532" s="10">
        <f>'Raw Orders'!I532</f>
        <v>45962</v>
      </c>
      <c r="I532" s="11">
        <f>'Raw Orders'!K532</f>
        <v>0</v>
      </c>
      <c r="J532" s="11">
        <f>IF('Raw Orders'!J532,"",(YEAR('Raw Orders'!I532)-YEAR('Raw Orders'!H532))*12+MONTH('Raw Orders'!I532)-MONTH('Raw Orders'!H532))</f>
        <v>0</v>
      </c>
      <c r="K532" t="str">
        <f>IF('Raw Orders'!J532,"Cancelled",IF('Raw Orders'!K532&gt;=2,"Slipped","On plan"))</f>
        <v>On plan</v>
      </c>
      <c r="L532" s="12">
        <f t="shared" si="8"/>
        <v>0</v>
      </c>
    </row>
    <row r="533" spans="1:12" x14ac:dyDescent="0.3">
      <c r="A533" t="str">
        <f>'Raw Orders'!A533</f>
        <v>NX-00529</v>
      </c>
      <c r="B533" t="str">
        <f>'Raw Orders'!B533</f>
        <v>North America</v>
      </c>
      <c r="C533" t="str">
        <f>'Raw Orders'!C533</f>
        <v>US / Canada</v>
      </c>
      <c r="D533" s="11">
        <f>'Raw Orders'!E533</f>
        <v>43</v>
      </c>
      <c r="E533" s="12">
        <f>'Raw Orders'!F533</f>
        <v>3569000</v>
      </c>
      <c r="F533" s="12">
        <f>'Raw Orders'!F533*0.75</f>
        <v>2676750</v>
      </c>
      <c r="G533" s="10">
        <f>'Raw Orders'!H533</f>
        <v>46023</v>
      </c>
      <c r="H533" s="10">
        <f>'Raw Orders'!I533</f>
        <v>46023</v>
      </c>
      <c r="I533" s="11">
        <f>'Raw Orders'!K533</f>
        <v>0.01</v>
      </c>
      <c r="J533" s="11">
        <f>IF('Raw Orders'!J533,"",(YEAR('Raw Orders'!I533)-YEAR('Raw Orders'!H533))*12+MONTH('Raw Orders'!I533)-MONTH('Raw Orders'!H533))</f>
        <v>0</v>
      </c>
      <c r="K533" t="str">
        <f>IF('Raw Orders'!J533,"Cancelled",IF('Raw Orders'!K533&gt;=2,"Slipped","On plan"))</f>
        <v>On plan</v>
      </c>
      <c r="L533" s="12">
        <f t="shared" si="8"/>
        <v>0</v>
      </c>
    </row>
    <row r="534" spans="1:12" x14ac:dyDescent="0.3">
      <c r="A534" t="str">
        <f>'Raw Orders'!A534</f>
        <v>NX-00530</v>
      </c>
      <c r="B534" t="str">
        <f>'Raw Orders'!B534</f>
        <v>North America</v>
      </c>
      <c r="C534" t="str">
        <f>'Raw Orders'!C534</f>
        <v>US / Canada</v>
      </c>
      <c r="D534" s="11">
        <f>'Raw Orders'!E534</f>
        <v>52.6</v>
      </c>
      <c r="E534" s="12">
        <f>'Raw Orders'!F534</f>
        <v>4365800</v>
      </c>
      <c r="F534" s="12">
        <f>'Raw Orders'!F534*0.75</f>
        <v>3274350</v>
      </c>
      <c r="G534" s="10">
        <f>'Raw Orders'!H534</f>
        <v>46054</v>
      </c>
      <c r="H534" s="10">
        <f>'Raw Orders'!I534</f>
        <v>46054</v>
      </c>
      <c r="I534" s="11">
        <f>'Raw Orders'!K534</f>
        <v>0.19</v>
      </c>
      <c r="J534" s="11">
        <f>IF('Raw Orders'!J534,"",(YEAR('Raw Orders'!I534)-YEAR('Raw Orders'!H534))*12+MONTH('Raw Orders'!I534)-MONTH('Raw Orders'!H534))</f>
        <v>0</v>
      </c>
      <c r="K534" t="str">
        <f>IF('Raw Orders'!J534,"Cancelled",IF('Raw Orders'!K534&gt;=2,"Slipped","On plan"))</f>
        <v>On plan</v>
      </c>
      <c r="L534" s="12">
        <f t="shared" si="8"/>
        <v>0</v>
      </c>
    </row>
    <row r="535" spans="1:12" x14ac:dyDescent="0.3">
      <c r="A535" t="str">
        <f>'Raw Orders'!A535</f>
        <v>NX-00531</v>
      </c>
      <c r="B535" t="str">
        <f>'Raw Orders'!B535</f>
        <v>North America</v>
      </c>
      <c r="C535" t="str">
        <f>'Raw Orders'!C535</f>
        <v>US / Canada</v>
      </c>
      <c r="D535" s="11">
        <f>'Raw Orders'!E535</f>
        <v>40.799999999999997</v>
      </c>
      <c r="E535" s="12">
        <f>'Raw Orders'!F535</f>
        <v>3386400</v>
      </c>
      <c r="F535" s="12">
        <f>'Raw Orders'!F535*0.75</f>
        <v>2539800</v>
      </c>
      <c r="G535" s="10">
        <f>'Raw Orders'!H535</f>
        <v>45992</v>
      </c>
      <c r="H535" s="10">
        <f>'Raw Orders'!I535</f>
        <v>45992</v>
      </c>
      <c r="I535" s="11">
        <f>'Raw Orders'!K535</f>
        <v>0</v>
      </c>
      <c r="J535" s="11">
        <f>IF('Raw Orders'!J535,"",(YEAR('Raw Orders'!I535)-YEAR('Raw Orders'!H535))*12+MONTH('Raw Orders'!I535)-MONTH('Raw Orders'!H535))</f>
        <v>0</v>
      </c>
      <c r="K535" t="str">
        <f>IF('Raw Orders'!J535,"Cancelled",IF('Raw Orders'!K535&gt;=2,"Slipped","On plan"))</f>
        <v>On plan</v>
      </c>
      <c r="L535" s="12">
        <f t="shared" si="8"/>
        <v>0</v>
      </c>
    </row>
    <row r="536" spans="1:12" x14ac:dyDescent="0.3">
      <c r="A536" t="str">
        <f>'Raw Orders'!A536</f>
        <v>NX-00532</v>
      </c>
      <c r="B536" t="str">
        <f>'Raw Orders'!B536</f>
        <v>North America</v>
      </c>
      <c r="C536" t="str">
        <f>'Raw Orders'!C536</f>
        <v>US / Canada</v>
      </c>
      <c r="D536" s="11">
        <f>'Raw Orders'!E536</f>
        <v>17.899999999999999</v>
      </c>
      <c r="E536" s="12">
        <f>'Raw Orders'!F536</f>
        <v>1485700</v>
      </c>
      <c r="F536" s="12">
        <f>'Raw Orders'!F536*0.75</f>
        <v>1114275</v>
      </c>
      <c r="G536" s="10">
        <f>'Raw Orders'!H536</f>
        <v>45931</v>
      </c>
      <c r="H536" s="10">
        <f>'Raw Orders'!I536</f>
        <v>45931</v>
      </c>
      <c r="I536" s="11">
        <f>'Raw Orders'!K536</f>
        <v>0</v>
      </c>
      <c r="J536" s="11">
        <f>IF('Raw Orders'!J536,"",(YEAR('Raw Orders'!I536)-YEAR('Raw Orders'!H536))*12+MONTH('Raw Orders'!I536)-MONTH('Raw Orders'!H536))</f>
        <v>0</v>
      </c>
      <c r="K536" t="str">
        <f>IF('Raw Orders'!J536,"Cancelled",IF('Raw Orders'!K536&gt;=2,"Slipped","On plan"))</f>
        <v>On plan</v>
      </c>
      <c r="L536" s="12">
        <f t="shared" si="8"/>
        <v>0</v>
      </c>
    </row>
    <row r="537" spans="1:12" x14ac:dyDescent="0.3">
      <c r="A537" t="str">
        <f>'Raw Orders'!A537</f>
        <v>NX-00533</v>
      </c>
      <c r="B537" t="str">
        <f>'Raw Orders'!B537</f>
        <v>North America</v>
      </c>
      <c r="C537" t="str">
        <f>'Raw Orders'!C537</f>
        <v>US / Canada</v>
      </c>
      <c r="D537" s="11">
        <f>'Raw Orders'!E537</f>
        <v>20</v>
      </c>
      <c r="E537" s="12">
        <f>'Raw Orders'!F537</f>
        <v>1660000</v>
      </c>
      <c r="F537" s="12">
        <f>'Raw Orders'!F537*0.75</f>
        <v>1245000</v>
      </c>
      <c r="G537" s="10">
        <f>'Raw Orders'!H537</f>
        <v>46082</v>
      </c>
      <c r="H537" s="10">
        <f>'Raw Orders'!I537</f>
        <v>46082</v>
      </c>
      <c r="I537" s="11">
        <f>'Raw Orders'!K537</f>
        <v>0</v>
      </c>
      <c r="J537" s="11">
        <f>IF('Raw Orders'!J537,"",(YEAR('Raw Orders'!I537)-YEAR('Raw Orders'!H537))*12+MONTH('Raw Orders'!I537)-MONTH('Raw Orders'!H537))</f>
        <v>0</v>
      </c>
      <c r="K537" t="str">
        <f>IF('Raw Orders'!J537,"Cancelled",IF('Raw Orders'!K537&gt;=2,"Slipped","On plan"))</f>
        <v>On plan</v>
      </c>
      <c r="L537" s="12">
        <f t="shared" si="8"/>
        <v>0</v>
      </c>
    </row>
    <row r="538" spans="1:12" x14ac:dyDescent="0.3">
      <c r="A538" t="str">
        <f>'Raw Orders'!A538</f>
        <v>NX-00534</v>
      </c>
      <c r="B538" t="str">
        <f>'Raw Orders'!B538</f>
        <v>North America</v>
      </c>
      <c r="C538" t="str">
        <f>'Raw Orders'!C538</f>
        <v>US / Canada</v>
      </c>
      <c r="D538" s="11">
        <f>'Raw Orders'!E538</f>
        <v>26.1</v>
      </c>
      <c r="E538" s="12">
        <f>'Raw Orders'!F538</f>
        <v>2166300</v>
      </c>
      <c r="F538" s="12">
        <f>'Raw Orders'!F538*0.75</f>
        <v>1624725</v>
      </c>
      <c r="G538" s="10">
        <f>'Raw Orders'!H538</f>
        <v>46023</v>
      </c>
      <c r="H538" s="10">
        <f>'Raw Orders'!I538</f>
        <v>46023</v>
      </c>
      <c r="I538" s="11">
        <f>'Raw Orders'!K538</f>
        <v>0.23</v>
      </c>
      <c r="J538" s="11">
        <f>IF('Raw Orders'!J538,"",(YEAR('Raw Orders'!I538)-YEAR('Raw Orders'!H538))*12+MONTH('Raw Orders'!I538)-MONTH('Raw Orders'!H538))</f>
        <v>0</v>
      </c>
      <c r="K538" t="str">
        <f>IF('Raw Orders'!J538,"Cancelled",IF('Raw Orders'!K538&gt;=2,"Slipped","On plan"))</f>
        <v>On plan</v>
      </c>
      <c r="L538" s="12">
        <f t="shared" si="8"/>
        <v>0</v>
      </c>
    </row>
    <row r="539" spans="1:12" x14ac:dyDescent="0.3">
      <c r="A539" t="str">
        <f>'Raw Orders'!A539</f>
        <v>NX-00535</v>
      </c>
      <c r="B539" t="str">
        <f>'Raw Orders'!B539</f>
        <v>North America</v>
      </c>
      <c r="C539" t="str">
        <f>'Raw Orders'!C539</f>
        <v>US / Canada</v>
      </c>
      <c r="D539" s="11">
        <f>'Raw Orders'!E539</f>
        <v>6.7</v>
      </c>
      <c r="E539" s="12">
        <f>'Raw Orders'!F539</f>
        <v>556100</v>
      </c>
      <c r="F539" s="12">
        <f>'Raw Orders'!F539*0.75</f>
        <v>417075</v>
      </c>
      <c r="G539" s="10">
        <f>'Raw Orders'!H539</f>
        <v>45962</v>
      </c>
      <c r="H539" s="10">
        <f>'Raw Orders'!I539</f>
        <v>46054</v>
      </c>
      <c r="I539" s="11">
        <f>'Raw Orders'!K539</f>
        <v>3.32</v>
      </c>
      <c r="J539" s="11">
        <f>IF('Raw Orders'!J539,"",(YEAR('Raw Orders'!I539)-YEAR('Raw Orders'!H539))*12+MONTH('Raw Orders'!I539)-MONTH('Raw Orders'!H539))</f>
        <v>3</v>
      </c>
      <c r="K539" t="str">
        <f>IF('Raw Orders'!J539,"Cancelled",IF('Raw Orders'!K539&gt;=2,"Slipped","On plan"))</f>
        <v>Slipped</v>
      </c>
      <c r="L539" s="12">
        <f t="shared" si="8"/>
        <v>417075</v>
      </c>
    </row>
    <row r="540" spans="1:12" x14ac:dyDescent="0.3">
      <c r="A540" t="str">
        <f>'Raw Orders'!A540</f>
        <v>NX-00536</v>
      </c>
      <c r="B540" t="str">
        <f>'Raw Orders'!B540</f>
        <v>North America</v>
      </c>
      <c r="C540" t="str">
        <f>'Raw Orders'!C540</f>
        <v>US / Canada</v>
      </c>
      <c r="D540" s="11">
        <f>'Raw Orders'!E540</f>
        <v>2.7</v>
      </c>
      <c r="E540" s="12">
        <f>'Raw Orders'!F540</f>
        <v>224100</v>
      </c>
      <c r="F540" s="12">
        <f>'Raw Orders'!F540*0.75</f>
        <v>168075</v>
      </c>
      <c r="G540" s="10">
        <f>'Raw Orders'!H540</f>
        <v>46023</v>
      </c>
      <c r="H540" s="10">
        <f>'Raw Orders'!I540</f>
        <v>46023</v>
      </c>
      <c r="I540" s="11">
        <f>'Raw Orders'!K540</f>
        <v>0.02</v>
      </c>
      <c r="J540" s="11">
        <f>IF('Raw Orders'!J540,"",(YEAR('Raw Orders'!I540)-YEAR('Raw Orders'!H540))*12+MONTH('Raw Orders'!I540)-MONTH('Raw Orders'!H540))</f>
        <v>0</v>
      </c>
      <c r="K540" t="str">
        <f>IF('Raw Orders'!J540,"Cancelled",IF('Raw Orders'!K540&gt;=2,"Slipped","On plan"))</f>
        <v>On plan</v>
      </c>
      <c r="L540" s="12">
        <f t="shared" si="8"/>
        <v>0</v>
      </c>
    </row>
    <row r="541" spans="1:12" x14ac:dyDescent="0.3">
      <c r="A541" t="str">
        <f>'Raw Orders'!A541</f>
        <v>NX-00537</v>
      </c>
      <c r="B541" t="str">
        <f>'Raw Orders'!B541</f>
        <v>North America</v>
      </c>
      <c r="C541" t="str">
        <f>'Raw Orders'!C541</f>
        <v>US / Canada</v>
      </c>
      <c r="D541" s="11">
        <f>'Raw Orders'!E541</f>
        <v>7.7</v>
      </c>
      <c r="E541" s="12">
        <f>'Raw Orders'!F541</f>
        <v>639100</v>
      </c>
      <c r="F541" s="12">
        <f>'Raw Orders'!F541*0.75</f>
        <v>479325</v>
      </c>
      <c r="G541" s="10">
        <f>'Raw Orders'!H541</f>
        <v>46054</v>
      </c>
      <c r="H541" s="10">
        <f>'Raw Orders'!I541</f>
        <v>46054</v>
      </c>
      <c r="I541" s="11">
        <f>'Raw Orders'!K541</f>
        <v>0.11</v>
      </c>
      <c r="J541" s="11">
        <f>IF('Raw Orders'!J541,"",(YEAR('Raw Orders'!I541)-YEAR('Raw Orders'!H541))*12+MONTH('Raw Orders'!I541)-MONTH('Raw Orders'!H541))</f>
        <v>0</v>
      </c>
      <c r="K541" t="str">
        <f>IF('Raw Orders'!J541,"Cancelled",IF('Raw Orders'!K541&gt;=2,"Slipped","On plan"))</f>
        <v>On plan</v>
      </c>
      <c r="L541" s="12">
        <f t="shared" si="8"/>
        <v>0</v>
      </c>
    </row>
    <row r="542" spans="1:12" x14ac:dyDescent="0.3">
      <c r="A542" t="str">
        <f>'Raw Orders'!A542</f>
        <v>NX-00538</v>
      </c>
      <c r="B542" t="str">
        <f>'Raw Orders'!B542</f>
        <v>North America</v>
      </c>
      <c r="C542" t="str">
        <f>'Raw Orders'!C542</f>
        <v>US / Canada</v>
      </c>
      <c r="D542" s="11">
        <f>'Raw Orders'!E542</f>
        <v>12</v>
      </c>
      <c r="E542" s="12">
        <f>'Raw Orders'!F542</f>
        <v>996000</v>
      </c>
      <c r="F542" s="12">
        <f>'Raw Orders'!F542*0.75</f>
        <v>747000</v>
      </c>
      <c r="G542" s="10">
        <f>'Raw Orders'!H542</f>
        <v>45962</v>
      </c>
      <c r="H542" s="10">
        <f>'Raw Orders'!I542</f>
        <v>45962</v>
      </c>
      <c r="I542" s="11">
        <f>'Raw Orders'!K542</f>
        <v>0.01</v>
      </c>
      <c r="J542" s="11">
        <f>IF('Raw Orders'!J542,"",(YEAR('Raw Orders'!I542)-YEAR('Raw Orders'!H542))*12+MONTH('Raw Orders'!I542)-MONTH('Raw Orders'!H542))</f>
        <v>0</v>
      </c>
      <c r="K542" t="str">
        <f>IF('Raw Orders'!J542,"Cancelled",IF('Raw Orders'!K542&gt;=2,"Slipped","On plan"))</f>
        <v>On plan</v>
      </c>
      <c r="L542" s="12">
        <f t="shared" si="8"/>
        <v>0</v>
      </c>
    </row>
    <row r="543" spans="1:12" x14ac:dyDescent="0.3">
      <c r="A543" t="str">
        <f>'Raw Orders'!A543</f>
        <v>NX-00539</v>
      </c>
      <c r="B543" t="str">
        <f>'Raw Orders'!B543</f>
        <v>North America</v>
      </c>
      <c r="C543" t="str">
        <f>'Raw Orders'!C543</f>
        <v>US / Canada</v>
      </c>
      <c r="D543" s="11">
        <f>'Raw Orders'!E543</f>
        <v>3.9</v>
      </c>
      <c r="E543" s="12">
        <f>'Raw Orders'!F543</f>
        <v>323700</v>
      </c>
      <c r="F543" s="12">
        <f>'Raw Orders'!F543*0.75</f>
        <v>242775</v>
      </c>
      <c r="G543" s="10">
        <f>'Raw Orders'!H543</f>
        <v>45992</v>
      </c>
      <c r="H543" s="10">
        <f>'Raw Orders'!I543</f>
        <v>45992</v>
      </c>
      <c r="I543" s="11">
        <f>'Raw Orders'!K543</f>
        <v>0.12</v>
      </c>
      <c r="J543" s="11">
        <f>IF('Raw Orders'!J543,"",(YEAR('Raw Orders'!I543)-YEAR('Raw Orders'!H543))*12+MONTH('Raw Orders'!I543)-MONTH('Raw Orders'!H543))</f>
        <v>0</v>
      </c>
      <c r="K543" t="str">
        <f>IF('Raw Orders'!J543,"Cancelled",IF('Raw Orders'!K543&gt;=2,"Slipped","On plan"))</f>
        <v>On plan</v>
      </c>
      <c r="L543" s="12">
        <f t="shared" si="8"/>
        <v>0</v>
      </c>
    </row>
    <row r="544" spans="1:12" x14ac:dyDescent="0.3">
      <c r="A544" t="str">
        <f>'Raw Orders'!A544</f>
        <v>NX-00540</v>
      </c>
      <c r="B544" t="str">
        <f>'Raw Orders'!B544</f>
        <v>North America</v>
      </c>
      <c r="C544" t="str">
        <f>'Raw Orders'!C544</f>
        <v>US / Canada</v>
      </c>
      <c r="D544" s="11">
        <f>'Raw Orders'!E544</f>
        <v>80.8</v>
      </c>
      <c r="E544" s="12">
        <f>'Raw Orders'!F544</f>
        <v>6706400</v>
      </c>
      <c r="F544" s="12">
        <f>'Raw Orders'!F544*0.75</f>
        <v>5029800</v>
      </c>
      <c r="G544" s="10">
        <f>'Raw Orders'!H544</f>
        <v>46054</v>
      </c>
      <c r="H544" s="10">
        <f>'Raw Orders'!I544</f>
        <v>46054</v>
      </c>
      <c r="I544" s="11">
        <f>'Raw Orders'!K544</f>
        <v>0.16</v>
      </c>
      <c r="J544" s="11">
        <f>IF('Raw Orders'!J544,"",(YEAR('Raw Orders'!I544)-YEAR('Raw Orders'!H544))*12+MONTH('Raw Orders'!I544)-MONTH('Raw Orders'!H544))</f>
        <v>0</v>
      </c>
      <c r="K544" t="str">
        <f>IF('Raw Orders'!J544,"Cancelled",IF('Raw Orders'!K544&gt;=2,"Slipped","On plan"))</f>
        <v>On plan</v>
      </c>
      <c r="L544" s="12">
        <f t="shared" si="8"/>
        <v>0</v>
      </c>
    </row>
    <row r="545" spans="1:12" x14ac:dyDescent="0.3">
      <c r="A545" t="str">
        <f>'Raw Orders'!A545</f>
        <v>NX-00541</v>
      </c>
      <c r="B545" t="str">
        <f>'Raw Orders'!B545</f>
        <v>North America</v>
      </c>
      <c r="C545" t="str">
        <f>'Raw Orders'!C545</f>
        <v>US / Canada</v>
      </c>
      <c r="D545" s="11">
        <f>'Raw Orders'!E545</f>
        <v>4.0999999999999996</v>
      </c>
      <c r="E545" s="12">
        <f>'Raw Orders'!F545</f>
        <v>340299.99999999988</v>
      </c>
      <c r="F545" s="12">
        <f>'Raw Orders'!F545*0.75</f>
        <v>255224.99999999991</v>
      </c>
      <c r="G545" s="10">
        <f>'Raw Orders'!H545</f>
        <v>45901</v>
      </c>
      <c r="H545" s="10">
        <f>'Raw Orders'!I545</f>
        <v>45962</v>
      </c>
      <c r="I545" s="11">
        <f>'Raw Orders'!K545</f>
        <v>2.41</v>
      </c>
      <c r="J545" s="11">
        <f>IF('Raw Orders'!J545,"",(YEAR('Raw Orders'!I545)-YEAR('Raw Orders'!H545))*12+MONTH('Raw Orders'!I545)-MONTH('Raw Orders'!H545))</f>
        <v>2</v>
      </c>
      <c r="K545" t="str">
        <f>IF('Raw Orders'!J545,"Cancelled",IF('Raw Orders'!K545&gt;=2,"Slipped","On plan"))</f>
        <v>Slipped</v>
      </c>
      <c r="L545" s="12">
        <f t="shared" si="8"/>
        <v>255224.99999999991</v>
      </c>
    </row>
    <row r="546" spans="1:12" x14ac:dyDescent="0.3">
      <c r="A546" t="str">
        <f>'Raw Orders'!A546</f>
        <v>NX-00542</v>
      </c>
      <c r="B546" t="str">
        <f>'Raw Orders'!B546</f>
        <v>North America</v>
      </c>
      <c r="C546" t="str">
        <f>'Raw Orders'!C546</f>
        <v>US / Canada</v>
      </c>
      <c r="D546" s="11">
        <f>'Raw Orders'!E546</f>
        <v>1.5</v>
      </c>
      <c r="E546" s="12">
        <f>'Raw Orders'!F546</f>
        <v>124500</v>
      </c>
      <c r="F546" s="12">
        <f>'Raw Orders'!F546*0.75</f>
        <v>93375</v>
      </c>
      <c r="G546" s="10">
        <f>'Raw Orders'!H546</f>
        <v>45962</v>
      </c>
      <c r="H546" s="10">
        <f>'Raw Orders'!I546</f>
        <v>45962</v>
      </c>
      <c r="I546" s="11">
        <f>'Raw Orders'!K546</f>
        <v>0.5</v>
      </c>
      <c r="J546" s="11">
        <f>IF('Raw Orders'!J546,"",(YEAR('Raw Orders'!I546)-YEAR('Raw Orders'!H546))*12+MONTH('Raw Orders'!I546)-MONTH('Raw Orders'!H546))</f>
        <v>0</v>
      </c>
      <c r="K546" t="str">
        <f>IF('Raw Orders'!J546,"Cancelled",IF('Raw Orders'!K546&gt;=2,"Slipped","On plan"))</f>
        <v>On plan</v>
      </c>
      <c r="L546" s="12">
        <f t="shared" si="8"/>
        <v>0</v>
      </c>
    </row>
    <row r="547" spans="1:12" x14ac:dyDescent="0.3">
      <c r="A547" t="str">
        <f>'Raw Orders'!A547</f>
        <v>NX-00543</v>
      </c>
      <c r="B547" t="str">
        <f>'Raw Orders'!B547</f>
        <v>EMEA</v>
      </c>
      <c r="C547" t="str">
        <f>'Raw Orders'!C547</f>
        <v>Europe</v>
      </c>
      <c r="D547" s="11">
        <f>'Raw Orders'!E547</f>
        <v>8</v>
      </c>
      <c r="E547" s="12">
        <f>'Raw Orders'!F547</f>
        <v>704000</v>
      </c>
      <c r="F547" s="12">
        <f>'Raw Orders'!F547*0.75</f>
        <v>528000</v>
      </c>
      <c r="G547" s="10">
        <f>'Raw Orders'!H547</f>
        <v>45992</v>
      </c>
      <c r="H547" s="10">
        <f>'Raw Orders'!I547</f>
        <v>45992</v>
      </c>
      <c r="I547" s="11">
        <f>'Raw Orders'!K547</f>
        <v>0.12</v>
      </c>
      <c r="J547" s="11">
        <f>IF('Raw Orders'!J547,"",(YEAR('Raw Orders'!I547)-YEAR('Raw Orders'!H547))*12+MONTH('Raw Orders'!I547)-MONTH('Raw Orders'!H547))</f>
        <v>0</v>
      </c>
      <c r="K547" t="str">
        <f>IF('Raw Orders'!J547,"Cancelled",IF('Raw Orders'!K547&gt;=2,"Slipped","On plan"))</f>
        <v>On plan</v>
      </c>
      <c r="L547" s="12">
        <f t="shared" si="8"/>
        <v>0</v>
      </c>
    </row>
    <row r="548" spans="1:12" x14ac:dyDescent="0.3">
      <c r="A548" t="str">
        <f>'Raw Orders'!A548</f>
        <v>NX-00544</v>
      </c>
      <c r="B548" t="str">
        <f>'Raw Orders'!B548</f>
        <v>EMEA</v>
      </c>
      <c r="C548" t="str">
        <f>'Raw Orders'!C548</f>
        <v>Europe</v>
      </c>
      <c r="D548" s="11">
        <f>'Raw Orders'!E548</f>
        <v>31.8</v>
      </c>
      <c r="E548" s="12">
        <f>'Raw Orders'!F548</f>
        <v>2798400</v>
      </c>
      <c r="F548" s="12">
        <f>'Raw Orders'!F548*0.75</f>
        <v>2098800</v>
      </c>
      <c r="G548" s="10">
        <f>'Raw Orders'!H548</f>
        <v>45901</v>
      </c>
      <c r="H548" s="10">
        <f>'Raw Orders'!I548</f>
        <v>45901</v>
      </c>
      <c r="I548" s="11">
        <f>'Raw Orders'!K548</f>
        <v>0.22</v>
      </c>
      <c r="J548" s="11">
        <f>IF('Raw Orders'!J548,"",(YEAR('Raw Orders'!I548)-YEAR('Raw Orders'!H548))*12+MONTH('Raw Orders'!I548)-MONTH('Raw Orders'!H548))</f>
        <v>0</v>
      </c>
      <c r="K548" t="str">
        <f>IF('Raw Orders'!J548,"Cancelled",IF('Raw Orders'!K548&gt;=2,"Slipped","On plan"))</f>
        <v>On plan</v>
      </c>
      <c r="L548" s="12">
        <f t="shared" si="8"/>
        <v>0</v>
      </c>
    </row>
    <row r="549" spans="1:12" x14ac:dyDescent="0.3">
      <c r="A549" t="str">
        <f>'Raw Orders'!A549</f>
        <v>NX-00545</v>
      </c>
      <c r="B549" t="str">
        <f>'Raw Orders'!B549</f>
        <v>EMEA</v>
      </c>
      <c r="C549" t="str">
        <f>'Raw Orders'!C549</f>
        <v>Europe</v>
      </c>
      <c r="D549" s="11">
        <f>'Raw Orders'!E549</f>
        <v>22</v>
      </c>
      <c r="E549" s="12">
        <f>'Raw Orders'!F549</f>
        <v>1936000</v>
      </c>
      <c r="F549" s="12">
        <f>'Raw Orders'!F549*0.75</f>
        <v>1452000</v>
      </c>
      <c r="G549" s="10">
        <f>'Raw Orders'!H549</f>
        <v>46054</v>
      </c>
      <c r="H549" s="10">
        <f>'Raw Orders'!I549</f>
        <v>46113</v>
      </c>
      <c r="I549" s="11">
        <f>'Raw Orders'!K549</f>
        <v>2.14</v>
      </c>
      <c r="J549" s="11">
        <f>IF('Raw Orders'!J549,"",(YEAR('Raw Orders'!I549)-YEAR('Raw Orders'!H549))*12+MONTH('Raw Orders'!I549)-MONTH('Raw Orders'!H549))</f>
        <v>2</v>
      </c>
      <c r="K549" t="str">
        <f>IF('Raw Orders'!J549,"Cancelled",IF('Raw Orders'!K549&gt;=2,"Slipped","On plan"))</f>
        <v>Slipped</v>
      </c>
      <c r="L549" s="12">
        <f t="shared" si="8"/>
        <v>1452000</v>
      </c>
    </row>
    <row r="550" spans="1:12" x14ac:dyDescent="0.3">
      <c r="A550" t="str">
        <f>'Raw Orders'!A550</f>
        <v>NX-00546</v>
      </c>
      <c r="B550" t="str">
        <f>'Raw Orders'!B550</f>
        <v>EMEA</v>
      </c>
      <c r="C550" t="str">
        <f>'Raw Orders'!C550</f>
        <v>Europe</v>
      </c>
      <c r="D550" s="11">
        <f>'Raw Orders'!E550</f>
        <v>14</v>
      </c>
      <c r="E550" s="12">
        <f>'Raw Orders'!F550</f>
        <v>1232000</v>
      </c>
      <c r="F550" s="12">
        <f>'Raw Orders'!F550*0.75</f>
        <v>924000</v>
      </c>
      <c r="G550" s="10">
        <f>'Raw Orders'!H550</f>
        <v>46023</v>
      </c>
      <c r="H550" s="10">
        <f>'Raw Orders'!I550</f>
        <v>46082</v>
      </c>
      <c r="I550" s="11">
        <f>'Raw Orders'!K550</f>
        <v>2.2400000000000002</v>
      </c>
      <c r="J550" s="11">
        <f>IF('Raw Orders'!J550,"",(YEAR('Raw Orders'!I550)-YEAR('Raw Orders'!H550))*12+MONTH('Raw Orders'!I550)-MONTH('Raw Orders'!H550))</f>
        <v>2</v>
      </c>
      <c r="K550" t="str">
        <f>IF('Raw Orders'!J550,"Cancelled",IF('Raw Orders'!K550&gt;=2,"Slipped","On plan"))</f>
        <v>Slipped</v>
      </c>
      <c r="L550" s="12">
        <f t="shared" si="8"/>
        <v>924000</v>
      </c>
    </row>
    <row r="551" spans="1:12" x14ac:dyDescent="0.3">
      <c r="A551" t="str">
        <f>'Raw Orders'!A551</f>
        <v>NX-00547</v>
      </c>
      <c r="B551" t="str">
        <f>'Raw Orders'!B551</f>
        <v>EMEA</v>
      </c>
      <c r="C551" t="str">
        <f>'Raw Orders'!C551</f>
        <v>Europe</v>
      </c>
      <c r="D551" s="11">
        <f>'Raw Orders'!E551</f>
        <v>15.9</v>
      </c>
      <c r="E551" s="12">
        <f>'Raw Orders'!F551</f>
        <v>1399200</v>
      </c>
      <c r="F551" s="12">
        <f>'Raw Orders'!F551*0.75</f>
        <v>1049400</v>
      </c>
      <c r="G551" s="10">
        <f>'Raw Orders'!H551</f>
        <v>45901</v>
      </c>
      <c r="H551" s="10">
        <f>'Raw Orders'!I551</f>
        <v>45931</v>
      </c>
      <c r="I551" s="11">
        <f>'Raw Orders'!K551</f>
        <v>1.18</v>
      </c>
      <c r="J551" s="11">
        <f>IF('Raw Orders'!J551,"",(YEAR('Raw Orders'!I551)-YEAR('Raw Orders'!H551))*12+MONTH('Raw Orders'!I551)-MONTH('Raw Orders'!H551))</f>
        <v>1</v>
      </c>
      <c r="K551" t="str">
        <f>IF('Raw Orders'!J551,"Cancelled",IF('Raw Orders'!K551&gt;=2,"Slipped","On plan"))</f>
        <v>On plan</v>
      </c>
      <c r="L551" s="12">
        <f t="shared" si="8"/>
        <v>0</v>
      </c>
    </row>
    <row r="552" spans="1:12" x14ac:dyDescent="0.3">
      <c r="A552" t="str">
        <f>'Raw Orders'!A552</f>
        <v>NX-00548</v>
      </c>
      <c r="B552" t="str">
        <f>'Raw Orders'!B552</f>
        <v>EMEA</v>
      </c>
      <c r="C552" t="str">
        <f>'Raw Orders'!C552</f>
        <v>Europe</v>
      </c>
      <c r="D552" s="11">
        <f>'Raw Orders'!E552</f>
        <v>10.5</v>
      </c>
      <c r="E552" s="12">
        <f>'Raw Orders'!F552</f>
        <v>924000</v>
      </c>
      <c r="F552" s="12">
        <f>'Raw Orders'!F552*0.75</f>
        <v>693000</v>
      </c>
      <c r="G552" s="10">
        <f>'Raw Orders'!H552</f>
        <v>46082</v>
      </c>
      <c r="H552" s="10">
        <f>'Raw Orders'!I552</f>
        <v>46082</v>
      </c>
      <c r="I552" s="11">
        <f>'Raw Orders'!K552</f>
        <v>0</v>
      </c>
      <c r="J552" s="11">
        <f>IF('Raw Orders'!J552,"",(YEAR('Raw Orders'!I552)-YEAR('Raw Orders'!H552))*12+MONTH('Raw Orders'!I552)-MONTH('Raw Orders'!H552))</f>
        <v>0</v>
      </c>
      <c r="K552" t="str">
        <f>IF('Raw Orders'!J552,"Cancelled",IF('Raw Orders'!K552&gt;=2,"Slipped","On plan"))</f>
        <v>On plan</v>
      </c>
      <c r="L552" s="12">
        <f t="shared" si="8"/>
        <v>0</v>
      </c>
    </row>
    <row r="553" spans="1:12" x14ac:dyDescent="0.3">
      <c r="A553" t="str">
        <f>'Raw Orders'!A553</f>
        <v>NX-00549</v>
      </c>
      <c r="B553" t="str">
        <f>'Raw Orders'!B553</f>
        <v>EMEA</v>
      </c>
      <c r="C553" t="str">
        <f>'Raw Orders'!C553</f>
        <v>MENA</v>
      </c>
      <c r="D553" s="11">
        <f>'Raw Orders'!E553</f>
        <v>32.299999999999997</v>
      </c>
      <c r="E553" s="12">
        <f>'Raw Orders'!F553</f>
        <v>2616300</v>
      </c>
      <c r="F553" s="12">
        <f>'Raw Orders'!F553*0.75</f>
        <v>1962225</v>
      </c>
      <c r="G553" s="10">
        <f>'Raw Orders'!H553</f>
        <v>45931</v>
      </c>
      <c r="H553" s="10">
        <f>'Raw Orders'!I553</f>
        <v>45931</v>
      </c>
      <c r="I553" s="11">
        <f>'Raw Orders'!K553</f>
        <v>0</v>
      </c>
      <c r="J553" s="11">
        <f>IF('Raw Orders'!J553,"",(YEAR('Raw Orders'!I553)-YEAR('Raw Orders'!H553))*12+MONTH('Raw Orders'!I553)-MONTH('Raw Orders'!H553))</f>
        <v>0</v>
      </c>
      <c r="K553" t="str">
        <f>IF('Raw Orders'!J553,"Cancelled",IF('Raw Orders'!K553&gt;=2,"Slipped","On plan"))</f>
        <v>On plan</v>
      </c>
      <c r="L553" s="12">
        <f t="shared" si="8"/>
        <v>0</v>
      </c>
    </row>
    <row r="554" spans="1:12" x14ac:dyDescent="0.3">
      <c r="A554" t="str">
        <f>'Raw Orders'!A554</f>
        <v>NX-00550</v>
      </c>
      <c r="B554" t="str">
        <f>'Raw Orders'!B554</f>
        <v>EMEA</v>
      </c>
      <c r="C554" t="str">
        <f>'Raw Orders'!C554</f>
        <v>MENA</v>
      </c>
      <c r="D554" s="11">
        <f>'Raw Orders'!E554</f>
        <v>8.6</v>
      </c>
      <c r="E554" s="12">
        <f>'Raw Orders'!F554</f>
        <v>696600</v>
      </c>
      <c r="F554" s="12">
        <f>'Raw Orders'!F554*0.75</f>
        <v>522450</v>
      </c>
      <c r="G554" s="10">
        <f>'Raw Orders'!H554</f>
        <v>45901</v>
      </c>
      <c r="H554" s="10">
        <f>'Raw Orders'!I554</f>
        <v>45901</v>
      </c>
      <c r="I554" s="11">
        <f>'Raw Orders'!K554</f>
        <v>0.06</v>
      </c>
      <c r="J554" s="11">
        <f>IF('Raw Orders'!J554,"",(YEAR('Raw Orders'!I554)-YEAR('Raw Orders'!H554))*12+MONTH('Raw Orders'!I554)-MONTH('Raw Orders'!H554))</f>
        <v>0</v>
      </c>
      <c r="K554" t="str">
        <f>IF('Raw Orders'!J554,"Cancelled",IF('Raw Orders'!K554&gt;=2,"Slipped","On plan"))</f>
        <v>On plan</v>
      </c>
      <c r="L554" s="12">
        <f t="shared" si="8"/>
        <v>0</v>
      </c>
    </row>
    <row r="555" spans="1:12" x14ac:dyDescent="0.3">
      <c r="A555" t="str">
        <f>'Raw Orders'!A555</f>
        <v>NX-00551</v>
      </c>
      <c r="B555" t="str">
        <f>'Raw Orders'!B555</f>
        <v>EMEA</v>
      </c>
      <c r="C555" t="str">
        <f>'Raw Orders'!C555</f>
        <v>MENA</v>
      </c>
      <c r="D555" s="11">
        <f>'Raw Orders'!E555</f>
        <v>13</v>
      </c>
      <c r="E555" s="12">
        <f>'Raw Orders'!F555</f>
        <v>1053000</v>
      </c>
      <c r="F555" s="12">
        <f>'Raw Orders'!F555*0.75</f>
        <v>789750</v>
      </c>
      <c r="G555" s="10">
        <f>'Raw Orders'!H555</f>
        <v>46023</v>
      </c>
      <c r="H555" s="10">
        <f>'Raw Orders'!I555</f>
        <v>46023</v>
      </c>
      <c r="I555" s="11">
        <f>'Raw Orders'!K555</f>
        <v>0.23</v>
      </c>
      <c r="J555" s="11">
        <f>IF('Raw Orders'!J555,"",(YEAR('Raw Orders'!I555)-YEAR('Raw Orders'!H555))*12+MONTH('Raw Orders'!I555)-MONTH('Raw Orders'!H555))</f>
        <v>0</v>
      </c>
      <c r="K555" t="str">
        <f>IF('Raw Orders'!J555,"Cancelled",IF('Raw Orders'!K555&gt;=2,"Slipped","On plan"))</f>
        <v>On plan</v>
      </c>
      <c r="L555" s="12">
        <f t="shared" si="8"/>
        <v>0</v>
      </c>
    </row>
    <row r="556" spans="1:12" x14ac:dyDescent="0.3">
      <c r="A556" t="str">
        <f>'Raw Orders'!A556</f>
        <v>NX-00552</v>
      </c>
      <c r="B556" t="str">
        <f>'Raw Orders'!B556</f>
        <v>APAC</v>
      </c>
      <c r="C556" t="str">
        <f>'Raw Orders'!C556</f>
        <v>India</v>
      </c>
      <c r="D556" s="11">
        <f>'Raw Orders'!E556</f>
        <v>22.6</v>
      </c>
      <c r="E556" s="12">
        <f>'Raw Orders'!F556</f>
        <v>1604600</v>
      </c>
      <c r="F556" s="12">
        <f>'Raw Orders'!F556*0.75</f>
        <v>1203450</v>
      </c>
      <c r="G556" s="10">
        <f>'Raw Orders'!H556</f>
        <v>45901</v>
      </c>
      <c r="H556" s="10">
        <f>'Raw Orders'!I556</f>
        <v>45992</v>
      </c>
      <c r="I556" s="11">
        <f>'Raw Orders'!K556</f>
        <v>3.28</v>
      </c>
      <c r="J556" s="11">
        <f>IF('Raw Orders'!J556,"",(YEAR('Raw Orders'!I556)-YEAR('Raw Orders'!H556))*12+MONTH('Raw Orders'!I556)-MONTH('Raw Orders'!H556))</f>
        <v>3</v>
      </c>
      <c r="K556" t="str">
        <f>IF('Raw Orders'!J556,"Cancelled",IF('Raw Orders'!K556&gt;=2,"Slipped","On plan"))</f>
        <v>Slipped</v>
      </c>
      <c r="L556" s="12">
        <f t="shared" si="8"/>
        <v>1203450</v>
      </c>
    </row>
    <row r="557" spans="1:12" x14ac:dyDescent="0.3">
      <c r="A557" t="str">
        <f>'Raw Orders'!A557</f>
        <v>NX-00553</v>
      </c>
      <c r="B557" t="str">
        <f>'Raw Orders'!B557</f>
        <v>APAC</v>
      </c>
      <c r="C557" t="str">
        <f>'Raw Orders'!C557</f>
        <v>India</v>
      </c>
      <c r="D557" s="11">
        <f>'Raw Orders'!E557</f>
        <v>13.4</v>
      </c>
      <c r="E557" s="12">
        <f>'Raw Orders'!F557</f>
        <v>951400</v>
      </c>
      <c r="F557" s="12">
        <f>'Raw Orders'!F557*0.75</f>
        <v>713550</v>
      </c>
      <c r="G557" s="10">
        <f>'Raw Orders'!H557</f>
        <v>46054</v>
      </c>
      <c r="H557" s="10">
        <f>'Raw Orders'!I557</f>
        <v>46174</v>
      </c>
      <c r="I557" s="11">
        <f>'Raw Orders'!K557</f>
        <v>3.75</v>
      </c>
      <c r="J557" s="11">
        <f>IF('Raw Orders'!J557,"",(YEAR('Raw Orders'!I557)-YEAR('Raw Orders'!H557))*12+MONTH('Raw Orders'!I557)-MONTH('Raw Orders'!H557))</f>
        <v>4</v>
      </c>
      <c r="K557" t="str">
        <f>IF('Raw Orders'!J557,"Cancelled",IF('Raw Orders'!K557&gt;=2,"Slipped","On plan"))</f>
        <v>Slipped</v>
      </c>
      <c r="L557" s="12">
        <f t="shared" si="8"/>
        <v>713550</v>
      </c>
    </row>
    <row r="558" spans="1:12" x14ac:dyDescent="0.3">
      <c r="A558" t="str">
        <f>'Raw Orders'!A558</f>
        <v>NX-00554</v>
      </c>
      <c r="B558" t="str">
        <f>'Raw Orders'!B558</f>
        <v>APAC</v>
      </c>
      <c r="C558" t="str">
        <f>'Raw Orders'!C558</f>
        <v>India</v>
      </c>
      <c r="D558" s="11">
        <f>'Raw Orders'!E558</f>
        <v>29.5</v>
      </c>
      <c r="E558" s="12">
        <f>'Raw Orders'!F558</f>
        <v>2094500</v>
      </c>
      <c r="F558" s="12">
        <f>'Raw Orders'!F558*0.75</f>
        <v>1570875</v>
      </c>
      <c r="G558" s="10">
        <f>'Raw Orders'!H558</f>
        <v>45931</v>
      </c>
      <c r="H558" s="10">
        <f>'Raw Orders'!I558</f>
        <v>46054</v>
      </c>
      <c r="I558" s="11">
        <f>'Raw Orders'!K558</f>
        <v>4.28</v>
      </c>
      <c r="J558" s="11">
        <f>IF('Raw Orders'!J558,"",(YEAR('Raw Orders'!I558)-YEAR('Raw Orders'!H558))*12+MONTH('Raw Orders'!I558)-MONTH('Raw Orders'!H558))</f>
        <v>4</v>
      </c>
      <c r="K558" t="str">
        <f>IF('Raw Orders'!J558,"Cancelled",IF('Raw Orders'!K558&gt;=2,"Slipped","On plan"))</f>
        <v>Slipped</v>
      </c>
      <c r="L558" s="12">
        <f t="shared" si="8"/>
        <v>1570875</v>
      </c>
    </row>
    <row r="559" spans="1:12" x14ac:dyDescent="0.3">
      <c r="A559" t="str">
        <f>'Raw Orders'!A559</f>
        <v>NX-00555</v>
      </c>
      <c r="B559" t="str">
        <f>'Raw Orders'!B559</f>
        <v>APAC</v>
      </c>
      <c r="C559" t="str">
        <f>'Raw Orders'!C559</f>
        <v>Australia/SEA</v>
      </c>
      <c r="D559" s="11">
        <f>'Raw Orders'!E559</f>
        <v>10.5</v>
      </c>
      <c r="E559" s="12">
        <f>'Raw Orders'!F559</f>
        <v>882000</v>
      </c>
      <c r="F559" s="12">
        <f>'Raw Orders'!F559*0.75</f>
        <v>661500</v>
      </c>
      <c r="G559" s="10">
        <f>'Raw Orders'!H559</f>
        <v>45901</v>
      </c>
      <c r="H559" s="10">
        <f>'Raw Orders'!I559</f>
        <v>46023</v>
      </c>
      <c r="I559" s="11">
        <f>'Raw Orders'!K559</f>
        <v>4.24</v>
      </c>
      <c r="J559" s="11">
        <f>IF('Raw Orders'!J559,"",(YEAR('Raw Orders'!I559)-YEAR('Raw Orders'!H559))*12+MONTH('Raw Orders'!I559)-MONTH('Raw Orders'!H559))</f>
        <v>4</v>
      </c>
      <c r="K559" t="str">
        <f>IF('Raw Orders'!J559,"Cancelled",IF('Raw Orders'!K559&gt;=2,"Slipped","On plan"))</f>
        <v>Slipped</v>
      </c>
      <c r="L559" s="12">
        <f t="shared" si="8"/>
        <v>661500</v>
      </c>
    </row>
    <row r="560" spans="1:12" x14ac:dyDescent="0.3">
      <c r="A560" t="str">
        <f>'Raw Orders'!A560</f>
        <v>NX-00556</v>
      </c>
      <c r="B560" t="str">
        <f>'Raw Orders'!B560</f>
        <v>LATAM</v>
      </c>
      <c r="C560" t="str">
        <f>'Raw Orders'!C560</f>
        <v>LATAM</v>
      </c>
      <c r="D560" s="11">
        <f>'Raw Orders'!E560</f>
        <v>7.2</v>
      </c>
      <c r="E560" s="12">
        <f>'Raw Orders'!F560</f>
        <v>568800</v>
      </c>
      <c r="F560" s="12">
        <f>'Raw Orders'!F560*0.75</f>
        <v>426600</v>
      </c>
      <c r="G560" s="10">
        <f>'Raw Orders'!H560</f>
        <v>45962</v>
      </c>
      <c r="H560" s="10">
        <f>'Raw Orders'!I560</f>
        <v>46023</v>
      </c>
      <c r="I560" s="11">
        <f>'Raw Orders'!K560</f>
        <v>2.15</v>
      </c>
      <c r="J560" s="11">
        <f>IF('Raw Orders'!J560,"",(YEAR('Raw Orders'!I560)-YEAR('Raw Orders'!H560))*12+MONTH('Raw Orders'!I560)-MONTH('Raw Orders'!H560))</f>
        <v>2</v>
      </c>
      <c r="K560" t="str">
        <f>IF('Raw Orders'!J560,"Cancelled",IF('Raw Orders'!K560&gt;=2,"Slipped","On plan"))</f>
        <v>Slipped</v>
      </c>
      <c r="L560" s="12">
        <f t="shared" si="8"/>
        <v>426600</v>
      </c>
    </row>
    <row r="561" spans="1:12" x14ac:dyDescent="0.3">
      <c r="A561" t="str">
        <f>'Raw Orders'!A561</f>
        <v>NX-00557</v>
      </c>
      <c r="B561" t="str">
        <f>'Raw Orders'!B561</f>
        <v>LATAM</v>
      </c>
      <c r="C561" t="str">
        <f>'Raw Orders'!C561</f>
        <v>LATAM</v>
      </c>
      <c r="D561" s="11">
        <f>'Raw Orders'!E561</f>
        <v>19.8</v>
      </c>
      <c r="E561" s="12">
        <f>'Raw Orders'!F561</f>
        <v>1564200</v>
      </c>
      <c r="F561" s="12">
        <f>'Raw Orders'!F561*0.75</f>
        <v>1173150</v>
      </c>
      <c r="G561" s="10">
        <f>'Raw Orders'!H561</f>
        <v>45992</v>
      </c>
      <c r="H561" s="10">
        <f>'Raw Orders'!I561</f>
        <v>45992</v>
      </c>
      <c r="I561" s="11">
        <f>'Raw Orders'!K561</f>
        <v>0.16</v>
      </c>
      <c r="J561" s="11">
        <f>IF('Raw Orders'!J561,"",(YEAR('Raw Orders'!I561)-YEAR('Raw Orders'!H561))*12+MONTH('Raw Orders'!I561)-MONTH('Raw Orders'!H561))</f>
        <v>0</v>
      </c>
      <c r="K561" t="str">
        <f>IF('Raw Orders'!J561,"Cancelled",IF('Raw Orders'!K561&gt;=2,"Slipped","On plan"))</f>
        <v>On plan</v>
      </c>
      <c r="L561" s="12">
        <f t="shared" si="8"/>
        <v>0</v>
      </c>
    </row>
    <row r="562" spans="1:12" x14ac:dyDescent="0.3">
      <c r="A562" t="str">
        <f>'Raw Orders'!A562</f>
        <v>NX-00558</v>
      </c>
      <c r="B562" t="str">
        <f>'Raw Orders'!B562</f>
        <v>LATAM</v>
      </c>
      <c r="C562" t="str">
        <f>'Raw Orders'!C562</f>
        <v>LATAM</v>
      </c>
      <c r="D562" s="11">
        <f>'Raw Orders'!E562</f>
        <v>7.8</v>
      </c>
      <c r="E562" s="12">
        <f>'Raw Orders'!F562</f>
        <v>616200</v>
      </c>
      <c r="F562" s="12">
        <f>'Raw Orders'!F562*0.75</f>
        <v>462150</v>
      </c>
      <c r="G562" s="10">
        <f>'Raw Orders'!H562</f>
        <v>45992</v>
      </c>
      <c r="H562" s="10">
        <f>'Raw Orders'!I562</f>
        <v>45992</v>
      </c>
      <c r="I562" s="11">
        <f>'Raw Orders'!K562</f>
        <v>0.02</v>
      </c>
      <c r="J562" s="11">
        <f>IF('Raw Orders'!J562,"",(YEAR('Raw Orders'!I562)-YEAR('Raw Orders'!H562))*12+MONTH('Raw Orders'!I562)-MONTH('Raw Orders'!H562))</f>
        <v>0</v>
      </c>
      <c r="K562" t="str">
        <f>IF('Raw Orders'!J562,"Cancelled",IF('Raw Orders'!K562&gt;=2,"Slipped","On plan"))</f>
        <v>On plan</v>
      </c>
      <c r="L562" s="12">
        <f t="shared" si="8"/>
        <v>0</v>
      </c>
    </row>
    <row r="563" spans="1:12" x14ac:dyDescent="0.3">
      <c r="A563" t="str">
        <f>'Raw Orders'!A563</f>
        <v>NX-00559</v>
      </c>
      <c r="B563" t="str">
        <f>'Raw Orders'!B563</f>
        <v>North America</v>
      </c>
      <c r="C563" t="str">
        <f>'Raw Orders'!C563</f>
        <v>US / Canada</v>
      </c>
      <c r="D563" s="11">
        <f>'Raw Orders'!E563</f>
        <v>52.7</v>
      </c>
      <c r="E563" s="12">
        <f>'Raw Orders'!F563</f>
        <v>4374100</v>
      </c>
      <c r="F563" s="12">
        <f>'Raw Orders'!F563*0.75</f>
        <v>3280575</v>
      </c>
      <c r="G563" s="10">
        <f>'Raw Orders'!H563</f>
        <v>45931</v>
      </c>
      <c r="H563" s="10">
        <f>'Raw Orders'!I563</f>
        <v>45931</v>
      </c>
      <c r="I563" s="11">
        <f>'Raw Orders'!K563</f>
        <v>0.06</v>
      </c>
      <c r="J563" s="11">
        <f>IF('Raw Orders'!J563,"",(YEAR('Raw Orders'!I563)-YEAR('Raw Orders'!H563))*12+MONTH('Raw Orders'!I563)-MONTH('Raw Orders'!H563))</f>
        <v>0</v>
      </c>
      <c r="K563" t="str">
        <f>IF('Raw Orders'!J563,"Cancelled",IF('Raw Orders'!K563&gt;=2,"Slipped","On plan"))</f>
        <v>On plan</v>
      </c>
      <c r="L563" s="12">
        <f t="shared" si="8"/>
        <v>0</v>
      </c>
    </row>
    <row r="564" spans="1:12" x14ac:dyDescent="0.3">
      <c r="A564" t="str">
        <f>'Raw Orders'!A564</f>
        <v>NX-00560</v>
      </c>
      <c r="B564" t="str">
        <f>'Raw Orders'!B564</f>
        <v>North America</v>
      </c>
      <c r="C564" t="str">
        <f>'Raw Orders'!C564</f>
        <v>US / Canada</v>
      </c>
      <c r="D564" s="11">
        <f>'Raw Orders'!E564</f>
        <v>6</v>
      </c>
      <c r="E564" s="12">
        <f>'Raw Orders'!F564</f>
        <v>498000</v>
      </c>
      <c r="F564" s="12">
        <f>'Raw Orders'!F564*0.75</f>
        <v>373500</v>
      </c>
      <c r="G564" s="10">
        <f>'Raw Orders'!H564</f>
        <v>45992</v>
      </c>
      <c r="H564" s="10">
        <f>'Raw Orders'!I564</f>
        <v>45992</v>
      </c>
      <c r="I564" s="11">
        <f>'Raw Orders'!K564</f>
        <v>0.21</v>
      </c>
      <c r="J564" s="11">
        <f>IF('Raw Orders'!J564,"",(YEAR('Raw Orders'!I564)-YEAR('Raw Orders'!H564))*12+MONTH('Raw Orders'!I564)-MONTH('Raw Orders'!H564))</f>
        <v>0</v>
      </c>
      <c r="K564" t="str">
        <f>IF('Raw Orders'!J564,"Cancelled",IF('Raw Orders'!K564&gt;=2,"Slipped","On plan"))</f>
        <v>On plan</v>
      </c>
      <c r="L564" s="12">
        <f t="shared" si="8"/>
        <v>0</v>
      </c>
    </row>
    <row r="565" spans="1:12" x14ac:dyDescent="0.3">
      <c r="A565" t="str">
        <f>'Raw Orders'!A565</f>
        <v>NX-00561</v>
      </c>
      <c r="B565" t="str">
        <f>'Raw Orders'!B565</f>
        <v>North America</v>
      </c>
      <c r="C565" t="str">
        <f>'Raw Orders'!C565</f>
        <v>US / Canada</v>
      </c>
      <c r="D565" s="11">
        <f>'Raw Orders'!E565</f>
        <v>3.6</v>
      </c>
      <c r="E565" s="12">
        <f>'Raw Orders'!F565</f>
        <v>298800</v>
      </c>
      <c r="F565" s="12">
        <f>'Raw Orders'!F565*0.75</f>
        <v>224100</v>
      </c>
      <c r="G565" s="10">
        <f>'Raw Orders'!H565</f>
        <v>46023</v>
      </c>
      <c r="H565" s="10">
        <f>'Raw Orders'!I565</f>
        <v>46023</v>
      </c>
      <c r="I565" s="11">
        <f>'Raw Orders'!K565</f>
        <v>0</v>
      </c>
      <c r="J565" s="11">
        <f>IF('Raw Orders'!J565,"",(YEAR('Raw Orders'!I565)-YEAR('Raw Orders'!H565))*12+MONTH('Raw Orders'!I565)-MONTH('Raw Orders'!H565))</f>
        <v>0</v>
      </c>
      <c r="K565" t="str">
        <f>IF('Raw Orders'!J565,"Cancelled",IF('Raw Orders'!K565&gt;=2,"Slipped","On plan"))</f>
        <v>On plan</v>
      </c>
      <c r="L565" s="12">
        <f t="shared" si="8"/>
        <v>0</v>
      </c>
    </row>
    <row r="566" spans="1:12" x14ac:dyDescent="0.3">
      <c r="A566" t="str">
        <f>'Raw Orders'!A566</f>
        <v>NX-00562</v>
      </c>
      <c r="B566" t="str">
        <f>'Raw Orders'!B566</f>
        <v>North America</v>
      </c>
      <c r="C566" t="str">
        <f>'Raw Orders'!C566</f>
        <v>US / Canada</v>
      </c>
      <c r="D566" s="11">
        <f>'Raw Orders'!E566</f>
        <v>13.2</v>
      </c>
      <c r="E566" s="12">
        <f>'Raw Orders'!F566</f>
        <v>1095600</v>
      </c>
      <c r="F566" s="12">
        <f>'Raw Orders'!F566*0.75</f>
        <v>821700</v>
      </c>
      <c r="G566" s="10">
        <f>'Raw Orders'!H566</f>
        <v>46054</v>
      </c>
      <c r="H566" s="10">
        <f>'Raw Orders'!I566</f>
        <v>46113</v>
      </c>
      <c r="I566" s="11">
        <f>'Raw Orders'!K566</f>
        <v>1.74</v>
      </c>
      <c r="J566" s="11">
        <f>IF('Raw Orders'!J566,"",(YEAR('Raw Orders'!I566)-YEAR('Raw Orders'!H566))*12+MONTH('Raw Orders'!I566)-MONTH('Raw Orders'!H566))</f>
        <v>2</v>
      </c>
      <c r="K566" t="str">
        <f>IF('Raw Orders'!J566,"Cancelled",IF('Raw Orders'!K566&gt;=2,"Slipped","On plan"))</f>
        <v>On plan</v>
      </c>
      <c r="L566" s="12">
        <f t="shared" si="8"/>
        <v>0</v>
      </c>
    </row>
    <row r="567" spans="1:12" x14ac:dyDescent="0.3">
      <c r="A567" t="str">
        <f>'Raw Orders'!A567</f>
        <v>NX-00563</v>
      </c>
      <c r="B567" t="str">
        <f>'Raw Orders'!B567</f>
        <v>North America</v>
      </c>
      <c r="C567" t="str">
        <f>'Raw Orders'!C567</f>
        <v>US / Canada</v>
      </c>
      <c r="D567" s="11">
        <f>'Raw Orders'!E567</f>
        <v>11.6</v>
      </c>
      <c r="E567" s="12">
        <f>'Raw Orders'!F567</f>
        <v>962800</v>
      </c>
      <c r="F567" s="12">
        <f>'Raw Orders'!F567*0.75</f>
        <v>722100</v>
      </c>
      <c r="G567" s="10">
        <f>'Raw Orders'!H567</f>
        <v>46054</v>
      </c>
      <c r="H567" s="10">
        <f>'Raw Orders'!I567</f>
        <v>46143</v>
      </c>
      <c r="I567" s="11">
        <f>'Raw Orders'!K567</f>
        <v>3.36</v>
      </c>
      <c r="J567" s="11">
        <f>IF('Raw Orders'!J567,"",(YEAR('Raw Orders'!I567)-YEAR('Raw Orders'!H567))*12+MONTH('Raw Orders'!I567)-MONTH('Raw Orders'!H567))</f>
        <v>3</v>
      </c>
      <c r="K567" t="str">
        <f>IF('Raw Orders'!J567,"Cancelled",IF('Raw Orders'!K567&gt;=2,"Slipped","On plan"))</f>
        <v>Slipped</v>
      </c>
      <c r="L567" s="12">
        <f t="shared" si="8"/>
        <v>722100</v>
      </c>
    </row>
    <row r="568" spans="1:12" x14ac:dyDescent="0.3">
      <c r="A568" t="str">
        <f>'Raw Orders'!A568</f>
        <v>NX-00564</v>
      </c>
      <c r="B568" t="str">
        <f>'Raw Orders'!B568</f>
        <v>North America</v>
      </c>
      <c r="C568" t="str">
        <f>'Raw Orders'!C568</f>
        <v>US / Canada</v>
      </c>
      <c r="D568" s="11">
        <f>'Raw Orders'!E568</f>
        <v>14.3</v>
      </c>
      <c r="E568" s="12">
        <f>'Raw Orders'!F568</f>
        <v>1186900</v>
      </c>
      <c r="F568" s="12">
        <f>'Raw Orders'!F568*0.75</f>
        <v>890175</v>
      </c>
      <c r="G568" s="10">
        <f>'Raw Orders'!H568</f>
        <v>46113</v>
      </c>
      <c r="H568" s="10">
        <f>'Raw Orders'!I568</f>
        <v>46113</v>
      </c>
      <c r="I568" s="11">
        <f>'Raw Orders'!K568</f>
        <v>0.02</v>
      </c>
      <c r="J568" s="11">
        <f>IF('Raw Orders'!J568,"",(YEAR('Raw Orders'!I568)-YEAR('Raw Orders'!H568))*12+MONTH('Raw Orders'!I568)-MONTH('Raw Orders'!H568))</f>
        <v>0</v>
      </c>
      <c r="K568" t="str">
        <f>IF('Raw Orders'!J568,"Cancelled",IF('Raw Orders'!K568&gt;=2,"Slipped","On plan"))</f>
        <v>On plan</v>
      </c>
      <c r="L568" s="12">
        <f t="shared" si="8"/>
        <v>0</v>
      </c>
    </row>
    <row r="569" spans="1:12" x14ac:dyDescent="0.3">
      <c r="A569" t="str">
        <f>'Raw Orders'!A569</f>
        <v>NX-00565</v>
      </c>
      <c r="B569" t="str">
        <f>'Raw Orders'!B569</f>
        <v>North America</v>
      </c>
      <c r="C569" t="str">
        <f>'Raw Orders'!C569</f>
        <v>US / Canada</v>
      </c>
      <c r="D569" s="11">
        <f>'Raw Orders'!E569</f>
        <v>11.5</v>
      </c>
      <c r="E569" s="12">
        <f>'Raw Orders'!F569</f>
        <v>954500</v>
      </c>
      <c r="F569" s="12">
        <f>'Raw Orders'!F569*0.75</f>
        <v>715875</v>
      </c>
      <c r="G569" s="10">
        <f>'Raw Orders'!H569</f>
        <v>46023</v>
      </c>
      <c r="H569" s="10">
        <f>'Raw Orders'!I569</f>
        <v>46023</v>
      </c>
      <c r="I569" s="11">
        <f>'Raw Orders'!K569</f>
        <v>0.04</v>
      </c>
      <c r="J569" s="11">
        <f>IF('Raw Orders'!J569,"",(YEAR('Raw Orders'!I569)-YEAR('Raw Orders'!H569))*12+MONTH('Raw Orders'!I569)-MONTH('Raw Orders'!H569))</f>
        <v>0</v>
      </c>
      <c r="K569" t="str">
        <f>IF('Raw Orders'!J569,"Cancelled",IF('Raw Orders'!K569&gt;=2,"Slipped","On plan"))</f>
        <v>On plan</v>
      </c>
      <c r="L569" s="12">
        <f t="shared" si="8"/>
        <v>0</v>
      </c>
    </row>
    <row r="570" spans="1:12" x14ac:dyDescent="0.3">
      <c r="A570" t="str">
        <f>'Raw Orders'!A570</f>
        <v>NX-00566</v>
      </c>
      <c r="B570" t="str">
        <f>'Raw Orders'!B570</f>
        <v>North America</v>
      </c>
      <c r="C570" t="str">
        <f>'Raw Orders'!C570</f>
        <v>US / Canada</v>
      </c>
      <c r="D570" s="11">
        <f>'Raw Orders'!E570</f>
        <v>3.1</v>
      </c>
      <c r="E570" s="12">
        <f>'Raw Orders'!F570</f>
        <v>257300</v>
      </c>
      <c r="F570" s="12">
        <f>'Raw Orders'!F570*0.75</f>
        <v>192975</v>
      </c>
      <c r="G570" s="10">
        <f>'Raw Orders'!H570</f>
        <v>46023</v>
      </c>
      <c r="H570" s="10">
        <f>'Raw Orders'!I570</f>
        <v>46054</v>
      </c>
      <c r="I570" s="11">
        <f>'Raw Orders'!K570</f>
        <v>0.52</v>
      </c>
      <c r="J570" s="11">
        <f>IF('Raw Orders'!J570,"",(YEAR('Raw Orders'!I570)-YEAR('Raw Orders'!H570))*12+MONTH('Raw Orders'!I570)-MONTH('Raw Orders'!H570))</f>
        <v>1</v>
      </c>
      <c r="K570" t="str">
        <f>IF('Raw Orders'!J570,"Cancelled",IF('Raw Orders'!K570&gt;=2,"Slipped","On plan"))</f>
        <v>On plan</v>
      </c>
      <c r="L570" s="12">
        <f t="shared" si="8"/>
        <v>0</v>
      </c>
    </row>
    <row r="571" spans="1:12" x14ac:dyDescent="0.3">
      <c r="A571" t="str">
        <f>'Raw Orders'!A571</f>
        <v>NX-00567</v>
      </c>
      <c r="B571" t="str">
        <f>'Raw Orders'!B571</f>
        <v>North America</v>
      </c>
      <c r="C571" t="str">
        <f>'Raw Orders'!C571</f>
        <v>US / Canada</v>
      </c>
      <c r="D571" s="11">
        <f>'Raw Orders'!E571</f>
        <v>3.8</v>
      </c>
      <c r="E571" s="12">
        <f>'Raw Orders'!F571</f>
        <v>315400</v>
      </c>
      <c r="F571" s="12">
        <f>'Raw Orders'!F571*0.75</f>
        <v>236550</v>
      </c>
      <c r="G571" s="10">
        <f>'Raw Orders'!H571</f>
        <v>45962</v>
      </c>
      <c r="H571" s="10">
        <f>'Raw Orders'!I571</f>
        <v>45962</v>
      </c>
      <c r="I571" s="11">
        <f>'Raw Orders'!K571</f>
        <v>0.1</v>
      </c>
      <c r="J571" s="11">
        <f>IF('Raw Orders'!J571,"",(YEAR('Raw Orders'!I571)-YEAR('Raw Orders'!H571))*12+MONTH('Raw Orders'!I571)-MONTH('Raw Orders'!H571))</f>
        <v>0</v>
      </c>
      <c r="K571" t="str">
        <f>IF('Raw Orders'!J571,"Cancelled",IF('Raw Orders'!K571&gt;=2,"Slipped","On plan"))</f>
        <v>On plan</v>
      </c>
      <c r="L571" s="12">
        <f t="shared" si="8"/>
        <v>0</v>
      </c>
    </row>
    <row r="572" spans="1:12" x14ac:dyDescent="0.3">
      <c r="A572" t="str">
        <f>'Raw Orders'!A572</f>
        <v>NX-00568</v>
      </c>
      <c r="B572" t="str">
        <f>'Raw Orders'!B572</f>
        <v>North America</v>
      </c>
      <c r="C572" t="str">
        <f>'Raw Orders'!C572</f>
        <v>US / Canada</v>
      </c>
      <c r="D572" s="11">
        <f>'Raw Orders'!E572</f>
        <v>11</v>
      </c>
      <c r="E572" s="12">
        <f>'Raw Orders'!F572</f>
        <v>913000</v>
      </c>
      <c r="F572" s="12">
        <f>'Raw Orders'!F572*0.75</f>
        <v>684750</v>
      </c>
      <c r="G572" s="10">
        <f>'Raw Orders'!H572</f>
        <v>46054</v>
      </c>
      <c r="H572" s="10">
        <f>'Raw Orders'!I572</f>
        <v>46204</v>
      </c>
      <c r="I572" s="11">
        <f>'Raw Orders'!K572</f>
        <v>4.92</v>
      </c>
      <c r="J572" s="11">
        <f>IF('Raw Orders'!J572,"",(YEAR('Raw Orders'!I572)-YEAR('Raw Orders'!H572))*12+MONTH('Raw Orders'!I572)-MONTH('Raw Orders'!H572))</f>
        <v>5</v>
      </c>
      <c r="K572" t="str">
        <f>IF('Raw Orders'!J572,"Cancelled",IF('Raw Orders'!K572&gt;=2,"Slipped","On plan"))</f>
        <v>Slipped</v>
      </c>
      <c r="L572" s="12">
        <f t="shared" si="8"/>
        <v>684750</v>
      </c>
    </row>
    <row r="573" spans="1:12" x14ac:dyDescent="0.3">
      <c r="A573" t="str">
        <f>'Raw Orders'!A573</f>
        <v>NX-00569</v>
      </c>
      <c r="B573" t="str">
        <f>'Raw Orders'!B573</f>
        <v>North America</v>
      </c>
      <c r="C573" t="str">
        <f>'Raw Orders'!C573</f>
        <v>US / Canada</v>
      </c>
      <c r="D573" s="11">
        <f>'Raw Orders'!E573</f>
        <v>23.6</v>
      </c>
      <c r="E573" s="12">
        <f>'Raw Orders'!F573</f>
        <v>1958800</v>
      </c>
      <c r="F573" s="12">
        <f>'Raw Orders'!F573*0.75</f>
        <v>1469100</v>
      </c>
      <c r="G573" s="10">
        <f>'Raw Orders'!H573</f>
        <v>46023</v>
      </c>
      <c r="H573" s="10">
        <f>'Raw Orders'!I573</f>
        <v>46023</v>
      </c>
      <c r="I573" s="11">
        <f>'Raw Orders'!K573</f>
        <v>0</v>
      </c>
      <c r="J573" s="11">
        <f>IF('Raw Orders'!J573,"",(YEAR('Raw Orders'!I573)-YEAR('Raw Orders'!H573))*12+MONTH('Raw Orders'!I573)-MONTH('Raw Orders'!H573))</f>
        <v>0</v>
      </c>
      <c r="K573" t="str">
        <f>IF('Raw Orders'!J573,"Cancelled",IF('Raw Orders'!K573&gt;=2,"Slipped","On plan"))</f>
        <v>On plan</v>
      </c>
      <c r="L573" s="12">
        <f t="shared" si="8"/>
        <v>0</v>
      </c>
    </row>
    <row r="574" spans="1:12" x14ac:dyDescent="0.3">
      <c r="A574" t="str">
        <f>'Raw Orders'!A574</f>
        <v>NX-00570</v>
      </c>
      <c r="B574" t="str">
        <f>'Raw Orders'!B574</f>
        <v>North America</v>
      </c>
      <c r="C574" t="str">
        <f>'Raw Orders'!C574</f>
        <v>US / Canada</v>
      </c>
      <c r="D574" s="11">
        <f>'Raw Orders'!E574</f>
        <v>2.5</v>
      </c>
      <c r="E574" s="12">
        <f>'Raw Orders'!F574</f>
        <v>207500</v>
      </c>
      <c r="F574" s="12">
        <f>'Raw Orders'!F574*0.75</f>
        <v>155625</v>
      </c>
      <c r="G574" s="10">
        <f>'Raw Orders'!H574</f>
        <v>46023</v>
      </c>
      <c r="H574" s="10">
        <f>'Raw Orders'!I574</f>
        <v>46054</v>
      </c>
      <c r="I574" s="11">
        <f>'Raw Orders'!K574</f>
        <v>1.36</v>
      </c>
      <c r="J574" s="11">
        <f>IF('Raw Orders'!J574,"",(YEAR('Raw Orders'!I574)-YEAR('Raw Orders'!H574))*12+MONTH('Raw Orders'!I574)-MONTH('Raw Orders'!H574))</f>
        <v>1</v>
      </c>
      <c r="K574" t="str">
        <f>IF('Raw Orders'!J574,"Cancelled",IF('Raw Orders'!K574&gt;=2,"Slipped","On plan"))</f>
        <v>On plan</v>
      </c>
      <c r="L574" s="12">
        <f t="shared" si="8"/>
        <v>0</v>
      </c>
    </row>
    <row r="575" spans="1:12" x14ac:dyDescent="0.3">
      <c r="A575" t="str">
        <f>'Raw Orders'!A575</f>
        <v>NX-00571</v>
      </c>
      <c r="B575" t="str">
        <f>'Raw Orders'!B575</f>
        <v>North America</v>
      </c>
      <c r="C575" t="str">
        <f>'Raw Orders'!C575</f>
        <v>US / Canada</v>
      </c>
      <c r="D575" s="11">
        <f>'Raw Orders'!E575</f>
        <v>40.299999999999997</v>
      </c>
      <c r="E575" s="12">
        <f>'Raw Orders'!F575</f>
        <v>3344900</v>
      </c>
      <c r="F575" s="12">
        <f>'Raw Orders'!F575*0.75</f>
        <v>2508675</v>
      </c>
      <c r="G575" s="10">
        <f>'Raw Orders'!H575</f>
        <v>46054</v>
      </c>
      <c r="H575" s="10">
        <f>'Raw Orders'!I575</f>
        <v>46113</v>
      </c>
      <c r="I575" s="11">
        <f>'Raw Orders'!K575</f>
        <v>2.21</v>
      </c>
      <c r="J575" s="11">
        <f>IF('Raw Orders'!J575,"",(YEAR('Raw Orders'!I575)-YEAR('Raw Orders'!H575))*12+MONTH('Raw Orders'!I575)-MONTH('Raw Orders'!H575))</f>
        <v>2</v>
      </c>
      <c r="K575" t="str">
        <f>IF('Raw Orders'!J575,"Cancelled",IF('Raw Orders'!K575&gt;=2,"Slipped","On plan"))</f>
        <v>Slipped</v>
      </c>
      <c r="L575" s="12">
        <f t="shared" si="8"/>
        <v>2508675</v>
      </c>
    </row>
    <row r="576" spans="1:12" x14ac:dyDescent="0.3">
      <c r="A576" t="str">
        <f>'Raw Orders'!A576</f>
        <v>NX-00572</v>
      </c>
      <c r="B576" t="str">
        <f>'Raw Orders'!B576</f>
        <v>North America</v>
      </c>
      <c r="C576" t="str">
        <f>'Raw Orders'!C576</f>
        <v>US / Canada</v>
      </c>
      <c r="D576" s="11">
        <f>'Raw Orders'!E576</f>
        <v>20.2</v>
      </c>
      <c r="E576" s="12">
        <f>'Raw Orders'!F576</f>
        <v>1676600</v>
      </c>
      <c r="F576" s="12">
        <f>'Raw Orders'!F576*0.75</f>
        <v>1257450</v>
      </c>
      <c r="G576" s="10">
        <f>'Raw Orders'!H576</f>
        <v>46113</v>
      </c>
      <c r="H576" s="10">
        <f>'Raw Orders'!I576</f>
        <v>46143</v>
      </c>
      <c r="I576" s="11">
        <f>'Raw Orders'!K576</f>
        <v>0.72</v>
      </c>
      <c r="J576" s="11">
        <f>IF('Raw Orders'!J576,"",(YEAR('Raw Orders'!I576)-YEAR('Raw Orders'!H576))*12+MONTH('Raw Orders'!I576)-MONTH('Raw Orders'!H576))</f>
        <v>1</v>
      </c>
      <c r="K576" t="str">
        <f>IF('Raw Orders'!J576,"Cancelled",IF('Raw Orders'!K576&gt;=2,"Slipped","On plan"))</f>
        <v>On plan</v>
      </c>
      <c r="L576" s="12">
        <f t="shared" si="8"/>
        <v>0</v>
      </c>
    </row>
    <row r="577" spans="1:12" x14ac:dyDescent="0.3">
      <c r="A577" t="str">
        <f>'Raw Orders'!A577</f>
        <v>NX-00573</v>
      </c>
      <c r="B577" t="str">
        <f>'Raw Orders'!B577</f>
        <v>North America</v>
      </c>
      <c r="C577" t="str">
        <f>'Raw Orders'!C577</f>
        <v>US / Canada</v>
      </c>
      <c r="D577" s="11">
        <f>'Raw Orders'!E577</f>
        <v>11.4</v>
      </c>
      <c r="E577" s="12">
        <f>'Raw Orders'!F577</f>
        <v>946200</v>
      </c>
      <c r="F577" s="12">
        <f>'Raw Orders'!F577*0.75</f>
        <v>709650</v>
      </c>
      <c r="G577" s="10">
        <f>'Raw Orders'!H577</f>
        <v>46054</v>
      </c>
      <c r="H577" s="10">
        <f>'Raw Orders'!I577</f>
        <v>46054</v>
      </c>
      <c r="I577" s="11">
        <f>'Raw Orders'!K577</f>
        <v>0</v>
      </c>
      <c r="J577" s="11">
        <f>IF('Raw Orders'!J577,"",(YEAR('Raw Orders'!I577)-YEAR('Raw Orders'!H577))*12+MONTH('Raw Orders'!I577)-MONTH('Raw Orders'!H577))</f>
        <v>0</v>
      </c>
      <c r="K577" t="str">
        <f>IF('Raw Orders'!J577,"Cancelled",IF('Raw Orders'!K577&gt;=2,"Slipped","On plan"))</f>
        <v>On plan</v>
      </c>
      <c r="L577" s="12">
        <f t="shared" si="8"/>
        <v>0</v>
      </c>
    </row>
    <row r="578" spans="1:12" x14ac:dyDescent="0.3">
      <c r="A578" t="str">
        <f>'Raw Orders'!A578</f>
        <v>NX-00574</v>
      </c>
      <c r="B578" t="str">
        <f>'Raw Orders'!B578</f>
        <v>North America</v>
      </c>
      <c r="C578" t="str">
        <f>'Raw Orders'!C578</f>
        <v>US / Canada</v>
      </c>
      <c r="D578" s="11">
        <f>'Raw Orders'!E578</f>
        <v>27.4</v>
      </c>
      <c r="E578" s="12">
        <f>'Raw Orders'!F578</f>
        <v>2274200</v>
      </c>
      <c r="F578" s="12">
        <f>'Raw Orders'!F578*0.75</f>
        <v>1705650</v>
      </c>
      <c r="G578" s="10">
        <f>'Raw Orders'!H578</f>
        <v>46023</v>
      </c>
      <c r="H578" s="10">
        <f>'Raw Orders'!I578</f>
        <v>46023</v>
      </c>
      <c r="I578" s="11">
        <f>'Raw Orders'!K578</f>
        <v>0.1</v>
      </c>
      <c r="J578" s="11">
        <f>IF('Raw Orders'!J578,"",(YEAR('Raw Orders'!I578)-YEAR('Raw Orders'!H578))*12+MONTH('Raw Orders'!I578)-MONTH('Raw Orders'!H578))</f>
        <v>0</v>
      </c>
      <c r="K578" t="str">
        <f>IF('Raw Orders'!J578,"Cancelled",IF('Raw Orders'!K578&gt;=2,"Slipped","On plan"))</f>
        <v>On plan</v>
      </c>
      <c r="L578" s="12">
        <f t="shared" si="8"/>
        <v>0</v>
      </c>
    </row>
    <row r="579" spans="1:12" x14ac:dyDescent="0.3">
      <c r="A579" t="str">
        <f>'Raw Orders'!A579</f>
        <v>NX-00575</v>
      </c>
      <c r="B579" t="str">
        <f>'Raw Orders'!B579</f>
        <v>North America</v>
      </c>
      <c r="C579" t="str">
        <f>'Raw Orders'!C579</f>
        <v>US / Canada</v>
      </c>
      <c r="D579" s="11">
        <f>'Raw Orders'!E579</f>
        <v>32.799999999999997</v>
      </c>
      <c r="E579" s="12">
        <f>'Raw Orders'!F579</f>
        <v>2722400</v>
      </c>
      <c r="F579" s="12">
        <f>'Raw Orders'!F579*0.75</f>
        <v>2041800</v>
      </c>
      <c r="G579" s="10">
        <f>'Raw Orders'!H579</f>
        <v>46054</v>
      </c>
      <c r="H579" s="10">
        <f>'Raw Orders'!I579</f>
        <v>0</v>
      </c>
      <c r="I579" s="11">
        <f>'Raw Orders'!K579</f>
        <v>0.16</v>
      </c>
      <c r="J579" s="11" t="str">
        <f>IF('Raw Orders'!J579,"",(YEAR('Raw Orders'!I579)-YEAR('Raw Orders'!H579))*12+MONTH('Raw Orders'!I579)-MONTH('Raw Orders'!H579))</f>
        <v/>
      </c>
      <c r="K579" t="str">
        <f>IF('Raw Orders'!J579,"Cancelled",IF('Raw Orders'!K579&gt;=2,"Slipped","On plan"))</f>
        <v>Cancelled</v>
      </c>
      <c r="L579" s="12">
        <f t="shared" si="8"/>
        <v>2041800</v>
      </c>
    </row>
    <row r="580" spans="1:12" x14ac:dyDescent="0.3">
      <c r="A580" t="str">
        <f>'Raw Orders'!A580</f>
        <v>NX-00576</v>
      </c>
      <c r="B580" t="str">
        <f>'Raw Orders'!B580</f>
        <v>North America</v>
      </c>
      <c r="C580" t="str">
        <f>'Raw Orders'!C580</f>
        <v>US / Canada</v>
      </c>
      <c r="D580" s="11">
        <f>'Raw Orders'!E580</f>
        <v>20.399999999999999</v>
      </c>
      <c r="E580" s="12">
        <f>'Raw Orders'!F580</f>
        <v>1693200</v>
      </c>
      <c r="F580" s="12">
        <f>'Raw Orders'!F580*0.75</f>
        <v>1269900</v>
      </c>
      <c r="G580" s="10">
        <f>'Raw Orders'!H580</f>
        <v>46082</v>
      </c>
      <c r="H580" s="10">
        <f>'Raw Orders'!I580</f>
        <v>46082</v>
      </c>
      <c r="I580" s="11">
        <f>'Raw Orders'!K580</f>
        <v>0</v>
      </c>
      <c r="J580" s="11">
        <f>IF('Raw Orders'!J580,"",(YEAR('Raw Orders'!I580)-YEAR('Raw Orders'!H580))*12+MONTH('Raw Orders'!I580)-MONTH('Raw Orders'!H580))</f>
        <v>0</v>
      </c>
      <c r="K580" t="str">
        <f>IF('Raw Orders'!J580,"Cancelled",IF('Raw Orders'!K580&gt;=2,"Slipped","On plan"))</f>
        <v>On plan</v>
      </c>
      <c r="L580" s="12">
        <f t="shared" si="8"/>
        <v>0</v>
      </c>
    </row>
    <row r="581" spans="1:12" x14ac:dyDescent="0.3">
      <c r="A581" t="str">
        <f>'Raw Orders'!A581</f>
        <v>NX-00577</v>
      </c>
      <c r="B581" t="str">
        <f>'Raw Orders'!B581</f>
        <v>EMEA</v>
      </c>
      <c r="C581" t="str">
        <f>'Raw Orders'!C581</f>
        <v>Europe</v>
      </c>
      <c r="D581" s="11">
        <f>'Raw Orders'!E581</f>
        <v>8.6</v>
      </c>
      <c r="E581" s="12">
        <f>'Raw Orders'!F581</f>
        <v>756800</v>
      </c>
      <c r="F581" s="12">
        <f>'Raw Orders'!F581*0.75</f>
        <v>567600</v>
      </c>
      <c r="G581" s="10">
        <f>'Raw Orders'!H581</f>
        <v>45992</v>
      </c>
      <c r="H581" s="10">
        <f>'Raw Orders'!I581</f>
        <v>45992</v>
      </c>
      <c r="I581" s="11">
        <f>'Raw Orders'!K581</f>
        <v>0.28000000000000003</v>
      </c>
      <c r="J581" s="11">
        <f>IF('Raw Orders'!J581,"",(YEAR('Raw Orders'!I581)-YEAR('Raw Orders'!H581))*12+MONTH('Raw Orders'!I581)-MONTH('Raw Orders'!H581))</f>
        <v>0</v>
      </c>
      <c r="K581" t="str">
        <f>IF('Raw Orders'!J581,"Cancelled",IF('Raw Orders'!K581&gt;=2,"Slipped","On plan"))</f>
        <v>On plan</v>
      </c>
      <c r="L581" s="12">
        <f t="shared" ref="L581:L644" si="9">IF(K581="On plan",0,F581)</f>
        <v>0</v>
      </c>
    </row>
    <row r="582" spans="1:12" x14ac:dyDescent="0.3">
      <c r="A582" t="str">
        <f>'Raw Orders'!A582</f>
        <v>NX-00578</v>
      </c>
      <c r="B582" t="str">
        <f>'Raw Orders'!B582</f>
        <v>EMEA</v>
      </c>
      <c r="C582" t="str">
        <f>'Raw Orders'!C582</f>
        <v>Europe</v>
      </c>
      <c r="D582" s="11">
        <f>'Raw Orders'!E582</f>
        <v>11.8</v>
      </c>
      <c r="E582" s="12">
        <f>'Raw Orders'!F582</f>
        <v>1038400</v>
      </c>
      <c r="F582" s="12">
        <f>'Raw Orders'!F582*0.75</f>
        <v>778800</v>
      </c>
      <c r="G582" s="10">
        <f>'Raw Orders'!H582</f>
        <v>46023</v>
      </c>
      <c r="H582" s="10">
        <f>'Raw Orders'!I582</f>
        <v>46082</v>
      </c>
      <c r="I582" s="11">
        <f>'Raw Orders'!K582</f>
        <v>1.79</v>
      </c>
      <c r="J582" s="11">
        <f>IF('Raw Orders'!J582,"",(YEAR('Raw Orders'!I582)-YEAR('Raw Orders'!H582))*12+MONTH('Raw Orders'!I582)-MONTH('Raw Orders'!H582))</f>
        <v>2</v>
      </c>
      <c r="K582" t="str">
        <f>IF('Raw Orders'!J582,"Cancelled",IF('Raw Orders'!K582&gt;=2,"Slipped","On plan"))</f>
        <v>On plan</v>
      </c>
      <c r="L582" s="12">
        <f t="shared" si="9"/>
        <v>0</v>
      </c>
    </row>
    <row r="583" spans="1:12" x14ac:dyDescent="0.3">
      <c r="A583" t="str">
        <f>'Raw Orders'!A583</f>
        <v>NX-00579</v>
      </c>
      <c r="B583" t="str">
        <f>'Raw Orders'!B583</f>
        <v>EMEA</v>
      </c>
      <c r="C583" t="str">
        <f>'Raw Orders'!C583</f>
        <v>Europe</v>
      </c>
      <c r="D583" s="11">
        <f>'Raw Orders'!E583</f>
        <v>13.9</v>
      </c>
      <c r="E583" s="12">
        <f>'Raw Orders'!F583</f>
        <v>1223200</v>
      </c>
      <c r="F583" s="12">
        <f>'Raw Orders'!F583*0.75</f>
        <v>917400</v>
      </c>
      <c r="G583" s="10">
        <f>'Raw Orders'!H583</f>
        <v>46113</v>
      </c>
      <c r="H583" s="10">
        <f>'Raw Orders'!I583</f>
        <v>46113</v>
      </c>
      <c r="I583" s="11">
        <f>'Raw Orders'!K583</f>
        <v>0.41</v>
      </c>
      <c r="J583" s="11">
        <f>IF('Raw Orders'!J583,"",(YEAR('Raw Orders'!I583)-YEAR('Raw Orders'!H583))*12+MONTH('Raw Orders'!I583)-MONTH('Raw Orders'!H583))</f>
        <v>0</v>
      </c>
      <c r="K583" t="str">
        <f>IF('Raw Orders'!J583,"Cancelled",IF('Raw Orders'!K583&gt;=2,"Slipped","On plan"))</f>
        <v>On plan</v>
      </c>
      <c r="L583" s="12">
        <f t="shared" si="9"/>
        <v>0</v>
      </c>
    </row>
    <row r="584" spans="1:12" x14ac:dyDescent="0.3">
      <c r="A584" t="str">
        <f>'Raw Orders'!A584</f>
        <v>NX-00580</v>
      </c>
      <c r="B584" t="str">
        <f>'Raw Orders'!B584</f>
        <v>EMEA</v>
      </c>
      <c r="C584" t="str">
        <f>'Raw Orders'!C584</f>
        <v>MENA</v>
      </c>
      <c r="D584" s="11">
        <f>'Raw Orders'!E584</f>
        <v>29.8</v>
      </c>
      <c r="E584" s="12">
        <f>'Raw Orders'!F584</f>
        <v>2413800</v>
      </c>
      <c r="F584" s="12">
        <f>'Raw Orders'!F584*0.75</f>
        <v>1810350</v>
      </c>
      <c r="G584" s="10">
        <f>'Raw Orders'!H584</f>
        <v>45962</v>
      </c>
      <c r="H584" s="10">
        <f>'Raw Orders'!I584</f>
        <v>45992</v>
      </c>
      <c r="I584" s="11">
        <f>'Raw Orders'!K584</f>
        <v>1.39</v>
      </c>
      <c r="J584" s="11">
        <f>IF('Raw Orders'!J584,"",(YEAR('Raw Orders'!I584)-YEAR('Raw Orders'!H584))*12+MONTH('Raw Orders'!I584)-MONTH('Raw Orders'!H584))</f>
        <v>1</v>
      </c>
      <c r="K584" t="str">
        <f>IF('Raw Orders'!J584,"Cancelled",IF('Raw Orders'!K584&gt;=2,"Slipped","On plan"))</f>
        <v>On plan</v>
      </c>
      <c r="L584" s="12">
        <f t="shared" si="9"/>
        <v>0</v>
      </c>
    </row>
    <row r="585" spans="1:12" x14ac:dyDescent="0.3">
      <c r="A585" t="str">
        <f>'Raw Orders'!A585</f>
        <v>NX-00581</v>
      </c>
      <c r="B585" t="str">
        <f>'Raw Orders'!B585</f>
        <v>EMEA</v>
      </c>
      <c r="C585" t="str">
        <f>'Raw Orders'!C585</f>
        <v>MENA</v>
      </c>
      <c r="D585" s="11">
        <f>'Raw Orders'!E585</f>
        <v>7.1</v>
      </c>
      <c r="E585" s="12">
        <f>'Raw Orders'!F585</f>
        <v>575100</v>
      </c>
      <c r="F585" s="12">
        <f>'Raw Orders'!F585*0.75</f>
        <v>431325</v>
      </c>
      <c r="G585" s="10">
        <f>'Raw Orders'!H585</f>
        <v>45992</v>
      </c>
      <c r="H585" s="10">
        <f>'Raw Orders'!I585</f>
        <v>45992</v>
      </c>
      <c r="I585" s="11">
        <f>'Raw Orders'!K585</f>
        <v>0.26</v>
      </c>
      <c r="J585" s="11">
        <f>IF('Raw Orders'!J585,"",(YEAR('Raw Orders'!I585)-YEAR('Raw Orders'!H585))*12+MONTH('Raw Orders'!I585)-MONTH('Raw Orders'!H585))</f>
        <v>0</v>
      </c>
      <c r="K585" t="str">
        <f>IF('Raw Orders'!J585,"Cancelled",IF('Raw Orders'!K585&gt;=2,"Slipped","On plan"))</f>
        <v>On plan</v>
      </c>
      <c r="L585" s="12">
        <f t="shared" si="9"/>
        <v>0</v>
      </c>
    </row>
    <row r="586" spans="1:12" x14ac:dyDescent="0.3">
      <c r="A586" t="str">
        <f>'Raw Orders'!A586</f>
        <v>NX-00582</v>
      </c>
      <c r="B586" t="str">
        <f>'Raw Orders'!B586</f>
        <v>EMEA</v>
      </c>
      <c r="C586" t="str">
        <f>'Raw Orders'!C586</f>
        <v>MENA</v>
      </c>
      <c r="D586" s="11">
        <f>'Raw Orders'!E586</f>
        <v>14.3</v>
      </c>
      <c r="E586" s="12">
        <f>'Raw Orders'!F586</f>
        <v>1158300</v>
      </c>
      <c r="F586" s="12">
        <f>'Raw Orders'!F586*0.75</f>
        <v>868725</v>
      </c>
      <c r="G586" s="10">
        <f>'Raw Orders'!H586</f>
        <v>45992</v>
      </c>
      <c r="H586" s="10">
        <f>'Raw Orders'!I586</f>
        <v>46023</v>
      </c>
      <c r="I586" s="11">
        <f>'Raw Orders'!K586</f>
        <v>0.79</v>
      </c>
      <c r="J586" s="11">
        <f>IF('Raw Orders'!J586,"",(YEAR('Raw Orders'!I586)-YEAR('Raw Orders'!H586))*12+MONTH('Raw Orders'!I586)-MONTH('Raw Orders'!H586))</f>
        <v>1</v>
      </c>
      <c r="K586" t="str">
        <f>IF('Raw Orders'!J586,"Cancelled",IF('Raw Orders'!K586&gt;=2,"Slipped","On plan"))</f>
        <v>On plan</v>
      </c>
      <c r="L586" s="12">
        <f t="shared" si="9"/>
        <v>0</v>
      </c>
    </row>
    <row r="587" spans="1:12" x14ac:dyDescent="0.3">
      <c r="A587" t="str">
        <f>'Raw Orders'!A587</f>
        <v>NX-00583</v>
      </c>
      <c r="B587" t="str">
        <f>'Raw Orders'!B587</f>
        <v>EMEA</v>
      </c>
      <c r="C587" t="str">
        <f>'Raw Orders'!C587</f>
        <v>MENA</v>
      </c>
      <c r="D587" s="11">
        <f>'Raw Orders'!E587</f>
        <v>9.1999999999999993</v>
      </c>
      <c r="E587" s="12">
        <f>'Raw Orders'!F587</f>
        <v>745200</v>
      </c>
      <c r="F587" s="12">
        <f>'Raw Orders'!F587*0.75</f>
        <v>558900</v>
      </c>
      <c r="G587" s="10">
        <f>'Raw Orders'!H587</f>
        <v>46054</v>
      </c>
      <c r="H587" s="10">
        <f>'Raw Orders'!I587</f>
        <v>46143</v>
      </c>
      <c r="I587" s="11">
        <f>'Raw Orders'!K587</f>
        <v>2.89</v>
      </c>
      <c r="J587" s="11">
        <f>IF('Raw Orders'!J587,"",(YEAR('Raw Orders'!I587)-YEAR('Raw Orders'!H587))*12+MONTH('Raw Orders'!I587)-MONTH('Raw Orders'!H587))</f>
        <v>3</v>
      </c>
      <c r="K587" t="str">
        <f>IF('Raw Orders'!J587,"Cancelled",IF('Raw Orders'!K587&gt;=2,"Slipped","On plan"))</f>
        <v>Slipped</v>
      </c>
      <c r="L587" s="12">
        <f t="shared" si="9"/>
        <v>558900</v>
      </c>
    </row>
    <row r="588" spans="1:12" x14ac:dyDescent="0.3">
      <c r="A588" t="str">
        <f>'Raw Orders'!A588</f>
        <v>NX-00584</v>
      </c>
      <c r="B588" t="str">
        <f>'Raw Orders'!B588</f>
        <v>EMEA</v>
      </c>
      <c r="C588" t="str">
        <f>'Raw Orders'!C588</f>
        <v>MENA</v>
      </c>
      <c r="D588" s="11">
        <f>'Raw Orders'!E588</f>
        <v>34.799999999999997</v>
      </c>
      <c r="E588" s="12">
        <f>'Raw Orders'!F588</f>
        <v>2818800</v>
      </c>
      <c r="F588" s="12">
        <f>'Raw Orders'!F588*0.75</f>
        <v>2114100</v>
      </c>
      <c r="G588" s="10">
        <f>'Raw Orders'!H588</f>
        <v>45992</v>
      </c>
      <c r="H588" s="10">
        <f>'Raw Orders'!I588</f>
        <v>45992</v>
      </c>
      <c r="I588" s="11">
        <f>'Raw Orders'!K588</f>
        <v>0.28000000000000003</v>
      </c>
      <c r="J588" s="11">
        <f>IF('Raw Orders'!J588,"",(YEAR('Raw Orders'!I588)-YEAR('Raw Orders'!H588))*12+MONTH('Raw Orders'!I588)-MONTH('Raw Orders'!H588))</f>
        <v>0</v>
      </c>
      <c r="K588" t="str">
        <f>IF('Raw Orders'!J588,"Cancelled",IF('Raw Orders'!K588&gt;=2,"Slipped","On plan"))</f>
        <v>On plan</v>
      </c>
      <c r="L588" s="12">
        <f t="shared" si="9"/>
        <v>0</v>
      </c>
    </row>
    <row r="589" spans="1:12" x14ac:dyDescent="0.3">
      <c r="A589" t="str">
        <f>'Raw Orders'!A589</f>
        <v>NX-00585</v>
      </c>
      <c r="B589" t="str">
        <f>'Raw Orders'!B589</f>
        <v>APAC</v>
      </c>
      <c r="C589" t="str">
        <f>'Raw Orders'!C589</f>
        <v>India</v>
      </c>
      <c r="D589" s="11">
        <f>'Raw Orders'!E589</f>
        <v>8.6</v>
      </c>
      <c r="E589" s="12">
        <f>'Raw Orders'!F589</f>
        <v>610600</v>
      </c>
      <c r="F589" s="12">
        <f>'Raw Orders'!F589*0.75</f>
        <v>457950</v>
      </c>
      <c r="G589" s="10">
        <f>'Raw Orders'!H589</f>
        <v>46082</v>
      </c>
      <c r="H589" s="10">
        <f>'Raw Orders'!I589</f>
        <v>46143</v>
      </c>
      <c r="I589" s="11">
        <f>'Raw Orders'!K589</f>
        <v>1.62</v>
      </c>
      <c r="J589" s="11">
        <f>IF('Raw Orders'!J589,"",(YEAR('Raw Orders'!I589)-YEAR('Raw Orders'!H589))*12+MONTH('Raw Orders'!I589)-MONTH('Raw Orders'!H589))</f>
        <v>2</v>
      </c>
      <c r="K589" t="str">
        <f>IF('Raw Orders'!J589,"Cancelled",IF('Raw Orders'!K589&gt;=2,"Slipped","On plan"))</f>
        <v>On plan</v>
      </c>
      <c r="L589" s="12">
        <f t="shared" si="9"/>
        <v>0</v>
      </c>
    </row>
    <row r="590" spans="1:12" x14ac:dyDescent="0.3">
      <c r="A590" t="str">
        <f>'Raw Orders'!A590</f>
        <v>NX-00586</v>
      </c>
      <c r="B590" t="str">
        <f>'Raw Orders'!B590</f>
        <v>APAC</v>
      </c>
      <c r="C590" t="str">
        <f>'Raw Orders'!C590</f>
        <v>India</v>
      </c>
      <c r="D590" s="11">
        <f>'Raw Orders'!E590</f>
        <v>35.9</v>
      </c>
      <c r="E590" s="12">
        <f>'Raw Orders'!F590</f>
        <v>2548900</v>
      </c>
      <c r="F590" s="12">
        <f>'Raw Orders'!F590*0.75</f>
        <v>1911675</v>
      </c>
      <c r="G590" s="10">
        <f>'Raw Orders'!H590</f>
        <v>45992</v>
      </c>
      <c r="H590" s="10">
        <f>'Raw Orders'!I590</f>
        <v>46143</v>
      </c>
      <c r="I590" s="11">
        <f>'Raw Orders'!K590</f>
        <v>5.44</v>
      </c>
      <c r="J590" s="11">
        <f>IF('Raw Orders'!J590,"",(YEAR('Raw Orders'!I590)-YEAR('Raw Orders'!H590))*12+MONTH('Raw Orders'!I590)-MONTH('Raw Orders'!H590))</f>
        <v>5</v>
      </c>
      <c r="K590" t="str">
        <f>IF('Raw Orders'!J590,"Cancelled",IF('Raw Orders'!K590&gt;=2,"Slipped","On plan"))</f>
        <v>Slipped</v>
      </c>
      <c r="L590" s="12">
        <f t="shared" si="9"/>
        <v>1911675</v>
      </c>
    </row>
    <row r="591" spans="1:12" x14ac:dyDescent="0.3">
      <c r="A591" t="str">
        <f>'Raw Orders'!A591</f>
        <v>NX-00587</v>
      </c>
      <c r="B591" t="str">
        <f>'Raw Orders'!B591</f>
        <v>APAC</v>
      </c>
      <c r="C591" t="str">
        <f>'Raw Orders'!C591</f>
        <v>India</v>
      </c>
      <c r="D591" s="11">
        <f>'Raw Orders'!E591</f>
        <v>20.5</v>
      </c>
      <c r="E591" s="12">
        <f>'Raw Orders'!F591</f>
        <v>1455500</v>
      </c>
      <c r="F591" s="12">
        <f>'Raw Orders'!F591*0.75</f>
        <v>1091625</v>
      </c>
      <c r="G591" s="10">
        <f>'Raw Orders'!H591</f>
        <v>46023</v>
      </c>
      <c r="H591" s="10">
        <f>'Raw Orders'!I591</f>
        <v>46143</v>
      </c>
      <c r="I591" s="11">
        <f>'Raw Orders'!K591</f>
        <v>3.88</v>
      </c>
      <c r="J591" s="11">
        <f>IF('Raw Orders'!J591,"",(YEAR('Raw Orders'!I591)-YEAR('Raw Orders'!H591))*12+MONTH('Raw Orders'!I591)-MONTH('Raw Orders'!H591))</f>
        <v>4</v>
      </c>
      <c r="K591" t="str">
        <f>IF('Raw Orders'!J591,"Cancelled",IF('Raw Orders'!K591&gt;=2,"Slipped","On plan"))</f>
        <v>Slipped</v>
      </c>
      <c r="L591" s="12">
        <f t="shared" si="9"/>
        <v>1091625</v>
      </c>
    </row>
    <row r="592" spans="1:12" x14ac:dyDescent="0.3">
      <c r="A592" t="str">
        <f>'Raw Orders'!A592</f>
        <v>NX-00588</v>
      </c>
      <c r="B592" t="str">
        <f>'Raw Orders'!B592</f>
        <v>APAC</v>
      </c>
      <c r="C592" t="str">
        <f>'Raw Orders'!C592</f>
        <v>Australia/SEA</v>
      </c>
      <c r="D592" s="11">
        <f>'Raw Orders'!E592</f>
        <v>11.3</v>
      </c>
      <c r="E592" s="12">
        <f>'Raw Orders'!F592</f>
        <v>949200</v>
      </c>
      <c r="F592" s="12">
        <f>'Raw Orders'!F592*0.75</f>
        <v>711900</v>
      </c>
      <c r="G592" s="10">
        <f>'Raw Orders'!H592</f>
        <v>46023</v>
      </c>
      <c r="H592" s="10">
        <f>'Raw Orders'!I592</f>
        <v>46023</v>
      </c>
      <c r="I592" s="11">
        <f>'Raw Orders'!K592</f>
        <v>0.28000000000000003</v>
      </c>
      <c r="J592" s="11">
        <f>IF('Raw Orders'!J592,"",(YEAR('Raw Orders'!I592)-YEAR('Raw Orders'!H592))*12+MONTH('Raw Orders'!I592)-MONTH('Raw Orders'!H592))</f>
        <v>0</v>
      </c>
      <c r="K592" t="str">
        <f>IF('Raw Orders'!J592,"Cancelled",IF('Raw Orders'!K592&gt;=2,"Slipped","On plan"))</f>
        <v>On plan</v>
      </c>
      <c r="L592" s="12">
        <f t="shared" si="9"/>
        <v>0</v>
      </c>
    </row>
    <row r="593" spans="1:12" x14ac:dyDescent="0.3">
      <c r="A593" t="str">
        <f>'Raw Orders'!A593</f>
        <v>NX-00589</v>
      </c>
      <c r="B593" t="str">
        <f>'Raw Orders'!B593</f>
        <v>LATAM</v>
      </c>
      <c r="C593" t="str">
        <f>'Raw Orders'!C593</f>
        <v>LATAM</v>
      </c>
      <c r="D593" s="11">
        <f>'Raw Orders'!E593</f>
        <v>23.8</v>
      </c>
      <c r="E593" s="12">
        <f>'Raw Orders'!F593</f>
        <v>1880200</v>
      </c>
      <c r="F593" s="12">
        <f>'Raw Orders'!F593*0.75</f>
        <v>1410150</v>
      </c>
      <c r="G593" s="10">
        <f>'Raw Orders'!H593</f>
        <v>46023</v>
      </c>
      <c r="H593" s="10">
        <f>'Raw Orders'!I593</f>
        <v>46054</v>
      </c>
      <c r="I593" s="11">
        <f>'Raw Orders'!K593</f>
        <v>1.36</v>
      </c>
      <c r="J593" s="11">
        <f>IF('Raw Orders'!J593,"",(YEAR('Raw Orders'!I593)-YEAR('Raw Orders'!H593))*12+MONTH('Raw Orders'!I593)-MONTH('Raw Orders'!H593))</f>
        <v>1</v>
      </c>
      <c r="K593" t="str">
        <f>IF('Raw Orders'!J593,"Cancelled",IF('Raw Orders'!K593&gt;=2,"Slipped","On plan"))</f>
        <v>On plan</v>
      </c>
      <c r="L593" s="12">
        <f t="shared" si="9"/>
        <v>0</v>
      </c>
    </row>
    <row r="594" spans="1:12" x14ac:dyDescent="0.3">
      <c r="A594" t="str">
        <f>'Raw Orders'!A594</f>
        <v>NX-00590</v>
      </c>
      <c r="B594" t="str">
        <f>'Raw Orders'!B594</f>
        <v>LATAM</v>
      </c>
      <c r="C594" t="str">
        <f>'Raw Orders'!C594</f>
        <v>LATAM</v>
      </c>
      <c r="D594" s="11">
        <f>'Raw Orders'!E594</f>
        <v>4.4000000000000004</v>
      </c>
      <c r="E594" s="12">
        <f>'Raw Orders'!F594</f>
        <v>347600</v>
      </c>
      <c r="F594" s="12">
        <f>'Raw Orders'!F594*0.75</f>
        <v>260700</v>
      </c>
      <c r="G594" s="10">
        <f>'Raw Orders'!H594</f>
        <v>46082</v>
      </c>
      <c r="H594" s="10">
        <f>'Raw Orders'!I594</f>
        <v>46082</v>
      </c>
      <c r="I594" s="11">
        <f>'Raw Orders'!K594</f>
        <v>0.01</v>
      </c>
      <c r="J594" s="11">
        <f>IF('Raw Orders'!J594,"",(YEAR('Raw Orders'!I594)-YEAR('Raw Orders'!H594))*12+MONTH('Raw Orders'!I594)-MONTH('Raw Orders'!H594))</f>
        <v>0</v>
      </c>
      <c r="K594" t="str">
        <f>IF('Raw Orders'!J594,"Cancelled",IF('Raw Orders'!K594&gt;=2,"Slipped","On plan"))</f>
        <v>On plan</v>
      </c>
      <c r="L594" s="12">
        <f t="shared" si="9"/>
        <v>0</v>
      </c>
    </row>
    <row r="595" spans="1:12" x14ac:dyDescent="0.3">
      <c r="A595" t="str">
        <f>'Raw Orders'!A595</f>
        <v>NX-00591</v>
      </c>
      <c r="B595" t="str">
        <f>'Raw Orders'!B595</f>
        <v>LATAM</v>
      </c>
      <c r="C595" t="str">
        <f>'Raw Orders'!C595</f>
        <v>LATAM</v>
      </c>
      <c r="D595" s="11">
        <f>'Raw Orders'!E595</f>
        <v>12.8</v>
      </c>
      <c r="E595" s="12">
        <f>'Raw Orders'!F595</f>
        <v>1011200</v>
      </c>
      <c r="F595" s="12">
        <f>'Raw Orders'!F595*0.75</f>
        <v>758400</v>
      </c>
      <c r="G595" s="10">
        <f>'Raw Orders'!H595</f>
        <v>46023</v>
      </c>
      <c r="H595" s="10">
        <f>'Raw Orders'!I595</f>
        <v>46023</v>
      </c>
      <c r="I595" s="11">
        <f>'Raw Orders'!K595</f>
        <v>0.41</v>
      </c>
      <c r="J595" s="11">
        <f>IF('Raw Orders'!J595,"",(YEAR('Raw Orders'!I595)-YEAR('Raw Orders'!H595))*12+MONTH('Raw Orders'!I595)-MONTH('Raw Orders'!H595))</f>
        <v>0</v>
      </c>
      <c r="K595" t="str">
        <f>IF('Raw Orders'!J595,"Cancelled",IF('Raw Orders'!K595&gt;=2,"Slipped","On plan"))</f>
        <v>On plan</v>
      </c>
      <c r="L595" s="12">
        <f t="shared" si="9"/>
        <v>0</v>
      </c>
    </row>
    <row r="596" spans="1:12" x14ac:dyDescent="0.3">
      <c r="A596" t="str">
        <f>'Raw Orders'!A596</f>
        <v>NX-00592</v>
      </c>
      <c r="B596" t="str">
        <f>'Raw Orders'!B596</f>
        <v>LATAM</v>
      </c>
      <c r="C596" t="str">
        <f>'Raw Orders'!C596</f>
        <v>LATAM</v>
      </c>
      <c r="D596" s="11">
        <f>'Raw Orders'!E596</f>
        <v>15.8</v>
      </c>
      <c r="E596" s="12">
        <f>'Raw Orders'!F596</f>
        <v>1248200</v>
      </c>
      <c r="F596" s="12">
        <f>'Raw Orders'!F596*0.75</f>
        <v>936150</v>
      </c>
      <c r="G596" s="10">
        <f>'Raw Orders'!H596</f>
        <v>46113</v>
      </c>
      <c r="H596" s="10">
        <f>'Raw Orders'!I596</f>
        <v>46204</v>
      </c>
      <c r="I596" s="11">
        <f>'Raw Orders'!K596</f>
        <v>2.61</v>
      </c>
      <c r="J596" s="11">
        <f>IF('Raw Orders'!J596,"",(YEAR('Raw Orders'!I596)-YEAR('Raw Orders'!H596))*12+MONTH('Raw Orders'!I596)-MONTH('Raw Orders'!H596))</f>
        <v>3</v>
      </c>
      <c r="K596" t="str">
        <f>IF('Raw Orders'!J596,"Cancelled",IF('Raw Orders'!K596&gt;=2,"Slipped","On plan"))</f>
        <v>Slipped</v>
      </c>
      <c r="L596" s="12">
        <f t="shared" si="9"/>
        <v>936150</v>
      </c>
    </row>
    <row r="597" spans="1:12" x14ac:dyDescent="0.3">
      <c r="A597" t="str">
        <f>'Raw Orders'!A597</f>
        <v>NX-00593</v>
      </c>
      <c r="B597" t="str">
        <f>'Raw Orders'!B597</f>
        <v>LATAM</v>
      </c>
      <c r="C597" t="str">
        <f>'Raw Orders'!C597</f>
        <v>LATAM</v>
      </c>
      <c r="D597" s="11">
        <f>'Raw Orders'!E597</f>
        <v>6.7</v>
      </c>
      <c r="E597" s="12">
        <f>'Raw Orders'!F597</f>
        <v>529300</v>
      </c>
      <c r="F597" s="12">
        <f>'Raw Orders'!F597*0.75</f>
        <v>396975</v>
      </c>
      <c r="G597" s="10">
        <f>'Raw Orders'!H597</f>
        <v>45931</v>
      </c>
      <c r="H597" s="10">
        <f>'Raw Orders'!I597</f>
        <v>45992</v>
      </c>
      <c r="I597" s="11">
        <f>'Raw Orders'!K597</f>
        <v>1.84</v>
      </c>
      <c r="J597" s="11">
        <f>IF('Raw Orders'!J597,"",(YEAR('Raw Orders'!I597)-YEAR('Raw Orders'!H597))*12+MONTH('Raw Orders'!I597)-MONTH('Raw Orders'!H597))</f>
        <v>2</v>
      </c>
      <c r="K597" t="str">
        <f>IF('Raw Orders'!J597,"Cancelled",IF('Raw Orders'!K597&gt;=2,"Slipped","On plan"))</f>
        <v>On plan</v>
      </c>
      <c r="L597" s="12">
        <f t="shared" si="9"/>
        <v>0</v>
      </c>
    </row>
    <row r="598" spans="1:12" x14ac:dyDescent="0.3">
      <c r="A598" t="str">
        <f>'Raw Orders'!A598</f>
        <v>NX-00594</v>
      </c>
      <c r="B598" t="str">
        <f>'Raw Orders'!B598</f>
        <v>LATAM</v>
      </c>
      <c r="C598" t="str">
        <f>'Raw Orders'!C598</f>
        <v>LATAM</v>
      </c>
      <c r="D598" s="11">
        <f>'Raw Orders'!E598</f>
        <v>38.700000000000003</v>
      </c>
      <c r="E598" s="12">
        <f>'Raw Orders'!F598</f>
        <v>3057300</v>
      </c>
      <c r="F598" s="12">
        <f>'Raw Orders'!F598*0.75</f>
        <v>2292975</v>
      </c>
      <c r="G598" s="10">
        <f>'Raw Orders'!H598</f>
        <v>45992</v>
      </c>
      <c r="H598" s="10">
        <f>'Raw Orders'!I598</f>
        <v>46113</v>
      </c>
      <c r="I598" s="11">
        <f>'Raw Orders'!K598</f>
        <v>3.84</v>
      </c>
      <c r="J598" s="11">
        <f>IF('Raw Orders'!J598,"",(YEAR('Raw Orders'!I598)-YEAR('Raw Orders'!H598))*12+MONTH('Raw Orders'!I598)-MONTH('Raw Orders'!H598))</f>
        <v>4</v>
      </c>
      <c r="K598" t="str">
        <f>IF('Raw Orders'!J598,"Cancelled",IF('Raw Orders'!K598&gt;=2,"Slipped","On plan"))</f>
        <v>Slipped</v>
      </c>
      <c r="L598" s="12">
        <f t="shared" si="9"/>
        <v>2292975</v>
      </c>
    </row>
    <row r="599" spans="1:12" x14ac:dyDescent="0.3">
      <c r="A599" t="str">
        <f>'Raw Orders'!A599</f>
        <v>NX-00595</v>
      </c>
      <c r="B599" t="str">
        <f>'Raw Orders'!B599</f>
        <v>LATAM</v>
      </c>
      <c r="C599" t="str">
        <f>'Raw Orders'!C599</f>
        <v>LATAM</v>
      </c>
      <c r="D599" s="11">
        <f>'Raw Orders'!E599</f>
        <v>14.3</v>
      </c>
      <c r="E599" s="12">
        <f>'Raw Orders'!F599</f>
        <v>1129700</v>
      </c>
      <c r="F599" s="12">
        <f>'Raw Orders'!F599*0.75</f>
        <v>847275</v>
      </c>
      <c r="G599" s="10">
        <f>'Raw Orders'!H599</f>
        <v>46113</v>
      </c>
      <c r="H599" s="10">
        <f>'Raw Orders'!I599</f>
        <v>46143</v>
      </c>
      <c r="I599" s="11">
        <f>'Raw Orders'!K599</f>
        <v>0.59</v>
      </c>
      <c r="J599" s="11">
        <f>IF('Raw Orders'!J599,"",(YEAR('Raw Orders'!I599)-YEAR('Raw Orders'!H599))*12+MONTH('Raw Orders'!I599)-MONTH('Raw Orders'!H599))</f>
        <v>1</v>
      </c>
      <c r="K599" t="str">
        <f>IF('Raw Orders'!J599,"Cancelled",IF('Raw Orders'!K599&gt;=2,"Slipped","On plan"))</f>
        <v>On plan</v>
      </c>
      <c r="L599" s="12">
        <f t="shared" si="9"/>
        <v>0</v>
      </c>
    </row>
    <row r="600" spans="1:12" x14ac:dyDescent="0.3">
      <c r="A600" t="str">
        <f>'Raw Orders'!A600</f>
        <v>NX-00596</v>
      </c>
      <c r="B600" t="str">
        <f>'Raw Orders'!B600</f>
        <v>LATAM</v>
      </c>
      <c r="C600" t="str">
        <f>'Raw Orders'!C600</f>
        <v>LATAM</v>
      </c>
      <c r="D600" s="11">
        <f>'Raw Orders'!E600</f>
        <v>5.2</v>
      </c>
      <c r="E600" s="12">
        <f>'Raw Orders'!F600</f>
        <v>410800</v>
      </c>
      <c r="F600" s="12">
        <f>'Raw Orders'!F600*0.75</f>
        <v>308100</v>
      </c>
      <c r="G600" s="10">
        <f>'Raw Orders'!H600</f>
        <v>46054</v>
      </c>
      <c r="H600" s="10">
        <f>'Raw Orders'!I600</f>
        <v>46054</v>
      </c>
      <c r="I600" s="11">
        <f>'Raw Orders'!K600</f>
        <v>0.08</v>
      </c>
      <c r="J600" s="11">
        <f>IF('Raw Orders'!J600,"",(YEAR('Raw Orders'!I600)-YEAR('Raw Orders'!H600))*12+MONTH('Raw Orders'!I600)-MONTH('Raw Orders'!H600))</f>
        <v>0</v>
      </c>
      <c r="K600" t="str">
        <f>IF('Raw Orders'!J600,"Cancelled",IF('Raw Orders'!K600&gt;=2,"Slipped","On plan"))</f>
        <v>On plan</v>
      </c>
      <c r="L600" s="12">
        <f t="shared" si="9"/>
        <v>0</v>
      </c>
    </row>
    <row r="601" spans="1:12" x14ac:dyDescent="0.3">
      <c r="A601" t="str">
        <f>'Raw Orders'!A601</f>
        <v>NX-00597</v>
      </c>
      <c r="B601" t="str">
        <f>'Raw Orders'!B601</f>
        <v>North America</v>
      </c>
      <c r="C601" t="str">
        <f>'Raw Orders'!C601</f>
        <v>US / Canada</v>
      </c>
      <c r="D601" s="11">
        <f>'Raw Orders'!E601</f>
        <v>26.8</v>
      </c>
      <c r="E601" s="12">
        <f>'Raw Orders'!F601</f>
        <v>2224400</v>
      </c>
      <c r="F601" s="12">
        <f>'Raw Orders'!F601*0.75</f>
        <v>1668300</v>
      </c>
      <c r="G601" s="10">
        <f>'Raw Orders'!H601</f>
        <v>46023</v>
      </c>
      <c r="H601" s="10">
        <f>'Raw Orders'!I601</f>
        <v>46023</v>
      </c>
      <c r="I601" s="11">
        <f>'Raw Orders'!K601</f>
        <v>0.32</v>
      </c>
      <c r="J601" s="11">
        <f>IF('Raw Orders'!J601,"",(YEAR('Raw Orders'!I601)-YEAR('Raw Orders'!H601))*12+MONTH('Raw Orders'!I601)-MONTH('Raw Orders'!H601))</f>
        <v>0</v>
      </c>
      <c r="K601" t="str">
        <f>IF('Raw Orders'!J601,"Cancelled",IF('Raw Orders'!K601&gt;=2,"Slipped","On plan"))</f>
        <v>On plan</v>
      </c>
      <c r="L601" s="12">
        <f t="shared" si="9"/>
        <v>0</v>
      </c>
    </row>
    <row r="602" spans="1:12" x14ac:dyDescent="0.3">
      <c r="A602" t="str">
        <f>'Raw Orders'!A602</f>
        <v>NX-00598</v>
      </c>
      <c r="B602" t="str">
        <f>'Raw Orders'!B602</f>
        <v>North America</v>
      </c>
      <c r="C602" t="str">
        <f>'Raw Orders'!C602</f>
        <v>US / Canada</v>
      </c>
      <c r="D602" s="11">
        <f>'Raw Orders'!E602</f>
        <v>19.5</v>
      </c>
      <c r="E602" s="12">
        <f>'Raw Orders'!F602</f>
        <v>1618500</v>
      </c>
      <c r="F602" s="12">
        <f>'Raw Orders'!F602*0.75</f>
        <v>1213875</v>
      </c>
      <c r="G602" s="10">
        <f>'Raw Orders'!H602</f>
        <v>45992</v>
      </c>
      <c r="H602" s="10">
        <f>'Raw Orders'!I602</f>
        <v>45992</v>
      </c>
      <c r="I602" s="11">
        <f>'Raw Orders'!K602</f>
        <v>0.11</v>
      </c>
      <c r="J602" s="11">
        <f>IF('Raw Orders'!J602,"",(YEAR('Raw Orders'!I602)-YEAR('Raw Orders'!H602))*12+MONTH('Raw Orders'!I602)-MONTH('Raw Orders'!H602))</f>
        <v>0</v>
      </c>
      <c r="K602" t="str">
        <f>IF('Raw Orders'!J602,"Cancelled",IF('Raw Orders'!K602&gt;=2,"Slipped","On plan"))</f>
        <v>On plan</v>
      </c>
      <c r="L602" s="12">
        <f t="shared" si="9"/>
        <v>0</v>
      </c>
    </row>
    <row r="603" spans="1:12" x14ac:dyDescent="0.3">
      <c r="A603" t="str">
        <f>'Raw Orders'!A603</f>
        <v>NX-00599</v>
      </c>
      <c r="B603" t="str">
        <f>'Raw Orders'!B603</f>
        <v>North America</v>
      </c>
      <c r="C603" t="str">
        <f>'Raw Orders'!C603</f>
        <v>US / Canada</v>
      </c>
      <c r="D603" s="11">
        <f>'Raw Orders'!E603</f>
        <v>5.4</v>
      </c>
      <c r="E603" s="12">
        <f>'Raw Orders'!F603</f>
        <v>448200.00000000012</v>
      </c>
      <c r="F603" s="12">
        <f>'Raw Orders'!F603*0.75</f>
        <v>336150.00000000012</v>
      </c>
      <c r="G603" s="10">
        <f>'Raw Orders'!H603</f>
        <v>46054</v>
      </c>
      <c r="H603" s="10">
        <f>'Raw Orders'!I603</f>
        <v>46054</v>
      </c>
      <c r="I603" s="11">
        <f>'Raw Orders'!K603</f>
        <v>0.01</v>
      </c>
      <c r="J603" s="11">
        <f>IF('Raw Orders'!J603,"",(YEAR('Raw Orders'!I603)-YEAR('Raw Orders'!H603))*12+MONTH('Raw Orders'!I603)-MONTH('Raw Orders'!H603))</f>
        <v>0</v>
      </c>
      <c r="K603" t="str">
        <f>IF('Raw Orders'!J603,"Cancelled",IF('Raw Orders'!K603&gt;=2,"Slipped","On plan"))</f>
        <v>On plan</v>
      </c>
      <c r="L603" s="12">
        <f t="shared" si="9"/>
        <v>0</v>
      </c>
    </row>
    <row r="604" spans="1:12" x14ac:dyDescent="0.3">
      <c r="A604" t="str">
        <f>'Raw Orders'!A604</f>
        <v>NX-00600</v>
      </c>
      <c r="B604" t="str">
        <f>'Raw Orders'!B604</f>
        <v>North America</v>
      </c>
      <c r="C604" t="str">
        <f>'Raw Orders'!C604</f>
        <v>US / Canada</v>
      </c>
      <c r="D604" s="11">
        <f>'Raw Orders'!E604</f>
        <v>33.700000000000003</v>
      </c>
      <c r="E604" s="12">
        <f>'Raw Orders'!F604</f>
        <v>2797100</v>
      </c>
      <c r="F604" s="12">
        <f>'Raw Orders'!F604*0.75</f>
        <v>2097825</v>
      </c>
      <c r="G604" s="10">
        <f>'Raw Orders'!H604</f>
        <v>45992</v>
      </c>
      <c r="H604" s="10">
        <f>'Raw Orders'!I604</f>
        <v>45992</v>
      </c>
      <c r="I604" s="11">
        <f>'Raw Orders'!K604</f>
        <v>0.26</v>
      </c>
      <c r="J604" s="11">
        <f>IF('Raw Orders'!J604,"",(YEAR('Raw Orders'!I604)-YEAR('Raw Orders'!H604))*12+MONTH('Raw Orders'!I604)-MONTH('Raw Orders'!H604))</f>
        <v>0</v>
      </c>
      <c r="K604" t="str">
        <f>IF('Raw Orders'!J604,"Cancelled",IF('Raw Orders'!K604&gt;=2,"Slipped","On plan"))</f>
        <v>On plan</v>
      </c>
      <c r="L604" s="12">
        <f t="shared" si="9"/>
        <v>0</v>
      </c>
    </row>
    <row r="605" spans="1:12" x14ac:dyDescent="0.3">
      <c r="A605" t="str">
        <f>'Raw Orders'!A605</f>
        <v>NX-00601</v>
      </c>
      <c r="B605" t="str">
        <f>'Raw Orders'!B605</f>
        <v>North America</v>
      </c>
      <c r="C605" t="str">
        <f>'Raw Orders'!C605</f>
        <v>US / Canada</v>
      </c>
      <c r="D605" s="11">
        <f>'Raw Orders'!E605</f>
        <v>23.4</v>
      </c>
      <c r="E605" s="12">
        <f>'Raw Orders'!F605</f>
        <v>1942200</v>
      </c>
      <c r="F605" s="12">
        <f>'Raw Orders'!F605*0.75</f>
        <v>1456650</v>
      </c>
      <c r="G605" s="10">
        <f>'Raw Orders'!H605</f>
        <v>46054</v>
      </c>
      <c r="H605" s="10">
        <f>'Raw Orders'!I605</f>
        <v>46054</v>
      </c>
      <c r="I605" s="11">
        <f>'Raw Orders'!K605</f>
        <v>0.19</v>
      </c>
      <c r="J605" s="11">
        <f>IF('Raw Orders'!J605,"",(YEAR('Raw Orders'!I605)-YEAR('Raw Orders'!H605))*12+MONTH('Raw Orders'!I605)-MONTH('Raw Orders'!H605))</f>
        <v>0</v>
      </c>
      <c r="K605" t="str">
        <f>IF('Raw Orders'!J605,"Cancelled",IF('Raw Orders'!K605&gt;=2,"Slipped","On plan"))</f>
        <v>On plan</v>
      </c>
      <c r="L605" s="12">
        <f t="shared" si="9"/>
        <v>0</v>
      </c>
    </row>
    <row r="606" spans="1:12" x14ac:dyDescent="0.3">
      <c r="A606" t="str">
        <f>'Raw Orders'!A606</f>
        <v>NX-00602</v>
      </c>
      <c r="B606" t="str">
        <f>'Raw Orders'!B606</f>
        <v>North America</v>
      </c>
      <c r="C606" t="str">
        <f>'Raw Orders'!C606</f>
        <v>US / Canada</v>
      </c>
      <c r="D606" s="11">
        <f>'Raw Orders'!E606</f>
        <v>23.9</v>
      </c>
      <c r="E606" s="12">
        <f>'Raw Orders'!F606</f>
        <v>1983700</v>
      </c>
      <c r="F606" s="12">
        <f>'Raw Orders'!F606*0.75</f>
        <v>1487775</v>
      </c>
      <c r="G606" s="10">
        <f>'Raw Orders'!H606</f>
        <v>46113</v>
      </c>
      <c r="H606" s="10">
        <f>'Raw Orders'!I606</f>
        <v>46113</v>
      </c>
      <c r="I606" s="11">
        <f>'Raw Orders'!K606</f>
        <v>0.03</v>
      </c>
      <c r="J606" s="11">
        <f>IF('Raw Orders'!J606,"",(YEAR('Raw Orders'!I606)-YEAR('Raw Orders'!H606))*12+MONTH('Raw Orders'!I606)-MONTH('Raw Orders'!H606))</f>
        <v>0</v>
      </c>
      <c r="K606" t="str">
        <f>IF('Raw Orders'!J606,"Cancelled",IF('Raw Orders'!K606&gt;=2,"Slipped","On plan"))</f>
        <v>On plan</v>
      </c>
      <c r="L606" s="12">
        <f t="shared" si="9"/>
        <v>0</v>
      </c>
    </row>
    <row r="607" spans="1:12" x14ac:dyDescent="0.3">
      <c r="A607" t="str">
        <f>'Raw Orders'!A607</f>
        <v>NX-00603</v>
      </c>
      <c r="B607" t="str">
        <f>'Raw Orders'!B607</f>
        <v>North America</v>
      </c>
      <c r="C607" t="str">
        <f>'Raw Orders'!C607</f>
        <v>US / Canada</v>
      </c>
      <c r="D607" s="11">
        <f>'Raw Orders'!E607</f>
        <v>13.3</v>
      </c>
      <c r="E607" s="12">
        <f>'Raw Orders'!F607</f>
        <v>1103900</v>
      </c>
      <c r="F607" s="12">
        <f>'Raw Orders'!F607*0.75</f>
        <v>827925</v>
      </c>
      <c r="G607" s="10">
        <f>'Raw Orders'!H607</f>
        <v>46143</v>
      </c>
      <c r="H607" s="10">
        <f>'Raw Orders'!I607</f>
        <v>46143</v>
      </c>
      <c r="I607" s="11">
        <f>'Raw Orders'!K607</f>
        <v>0</v>
      </c>
      <c r="J607" s="11">
        <f>IF('Raw Orders'!J607,"",(YEAR('Raw Orders'!I607)-YEAR('Raw Orders'!H607))*12+MONTH('Raw Orders'!I607)-MONTH('Raw Orders'!H607))</f>
        <v>0</v>
      </c>
      <c r="K607" t="str">
        <f>IF('Raw Orders'!J607,"Cancelled",IF('Raw Orders'!K607&gt;=2,"Slipped","On plan"))</f>
        <v>On plan</v>
      </c>
      <c r="L607" s="12">
        <f t="shared" si="9"/>
        <v>0</v>
      </c>
    </row>
    <row r="608" spans="1:12" x14ac:dyDescent="0.3">
      <c r="A608" t="str">
        <f>'Raw Orders'!A608</f>
        <v>NX-00604</v>
      </c>
      <c r="B608" t="str">
        <f>'Raw Orders'!B608</f>
        <v>North America</v>
      </c>
      <c r="C608" t="str">
        <f>'Raw Orders'!C608</f>
        <v>US / Canada</v>
      </c>
      <c r="D608" s="11">
        <f>'Raw Orders'!E608</f>
        <v>9.4</v>
      </c>
      <c r="E608" s="12">
        <f>'Raw Orders'!F608</f>
        <v>780200</v>
      </c>
      <c r="F608" s="12">
        <f>'Raw Orders'!F608*0.75</f>
        <v>585150</v>
      </c>
      <c r="G608" s="10">
        <f>'Raw Orders'!H608</f>
        <v>46143</v>
      </c>
      <c r="H608" s="10">
        <f>'Raw Orders'!I608</f>
        <v>46174</v>
      </c>
      <c r="I608" s="11">
        <f>'Raw Orders'!K608</f>
        <v>0.51</v>
      </c>
      <c r="J608" s="11">
        <f>IF('Raw Orders'!J608,"",(YEAR('Raw Orders'!I608)-YEAR('Raw Orders'!H608))*12+MONTH('Raw Orders'!I608)-MONTH('Raw Orders'!H608))</f>
        <v>1</v>
      </c>
      <c r="K608" t="str">
        <f>IF('Raw Orders'!J608,"Cancelled",IF('Raw Orders'!K608&gt;=2,"Slipped","On plan"))</f>
        <v>On plan</v>
      </c>
      <c r="L608" s="12">
        <f t="shared" si="9"/>
        <v>0</v>
      </c>
    </row>
    <row r="609" spans="1:12" x14ac:dyDescent="0.3">
      <c r="A609" t="str">
        <f>'Raw Orders'!A609</f>
        <v>NX-00605</v>
      </c>
      <c r="B609" t="str">
        <f>'Raw Orders'!B609</f>
        <v>North America</v>
      </c>
      <c r="C609" t="str">
        <f>'Raw Orders'!C609</f>
        <v>US / Canada</v>
      </c>
      <c r="D609" s="11">
        <f>'Raw Orders'!E609</f>
        <v>13.9</v>
      </c>
      <c r="E609" s="12">
        <f>'Raw Orders'!F609</f>
        <v>1153700</v>
      </c>
      <c r="F609" s="12">
        <f>'Raw Orders'!F609*0.75</f>
        <v>865275</v>
      </c>
      <c r="G609" s="10">
        <f>'Raw Orders'!H609</f>
        <v>46113</v>
      </c>
      <c r="H609" s="10">
        <f>'Raw Orders'!I609</f>
        <v>46113</v>
      </c>
      <c r="I609" s="11">
        <f>'Raw Orders'!K609</f>
        <v>0.02</v>
      </c>
      <c r="J609" s="11">
        <f>IF('Raw Orders'!J609,"",(YEAR('Raw Orders'!I609)-YEAR('Raw Orders'!H609))*12+MONTH('Raw Orders'!I609)-MONTH('Raw Orders'!H609))</f>
        <v>0</v>
      </c>
      <c r="K609" t="str">
        <f>IF('Raw Orders'!J609,"Cancelled",IF('Raw Orders'!K609&gt;=2,"Slipped","On plan"))</f>
        <v>On plan</v>
      </c>
      <c r="L609" s="12">
        <f t="shared" si="9"/>
        <v>0</v>
      </c>
    </row>
    <row r="610" spans="1:12" x14ac:dyDescent="0.3">
      <c r="A610" t="str">
        <f>'Raw Orders'!A610</f>
        <v>NX-00606</v>
      </c>
      <c r="B610" t="str">
        <f>'Raw Orders'!B610</f>
        <v>North America</v>
      </c>
      <c r="C610" t="str">
        <f>'Raw Orders'!C610</f>
        <v>US / Canada</v>
      </c>
      <c r="D610" s="11">
        <f>'Raw Orders'!E610</f>
        <v>14.8</v>
      </c>
      <c r="E610" s="12">
        <f>'Raw Orders'!F610</f>
        <v>1228400</v>
      </c>
      <c r="F610" s="12">
        <f>'Raw Orders'!F610*0.75</f>
        <v>921300</v>
      </c>
      <c r="G610" s="10">
        <f>'Raw Orders'!H610</f>
        <v>46143</v>
      </c>
      <c r="H610" s="10">
        <f>'Raw Orders'!I610</f>
        <v>46143</v>
      </c>
      <c r="I610" s="11">
        <f>'Raw Orders'!K610</f>
        <v>0.02</v>
      </c>
      <c r="J610" s="11">
        <f>IF('Raw Orders'!J610,"",(YEAR('Raw Orders'!I610)-YEAR('Raw Orders'!H610))*12+MONTH('Raw Orders'!I610)-MONTH('Raw Orders'!H610))</f>
        <v>0</v>
      </c>
      <c r="K610" t="str">
        <f>IF('Raw Orders'!J610,"Cancelled",IF('Raw Orders'!K610&gt;=2,"Slipped","On plan"))</f>
        <v>On plan</v>
      </c>
      <c r="L610" s="12">
        <f t="shared" si="9"/>
        <v>0</v>
      </c>
    </row>
    <row r="611" spans="1:12" x14ac:dyDescent="0.3">
      <c r="A611" t="str">
        <f>'Raw Orders'!A611</f>
        <v>NX-00607</v>
      </c>
      <c r="B611" t="str">
        <f>'Raw Orders'!B611</f>
        <v>North America</v>
      </c>
      <c r="C611" t="str">
        <f>'Raw Orders'!C611</f>
        <v>US / Canada</v>
      </c>
      <c r="D611" s="11">
        <f>'Raw Orders'!E611</f>
        <v>26.1</v>
      </c>
      <c r="E611" s="12">
        <f>'Raw Orders'!F611</f>
        <v>2166300</v>
      </c>
      <c r="F611" s="12">
        <f>'Raw Orders'!F611*0.75</f>
        <v>1624725</v>
      </c>
      <c r="G611" s="10">
        <f>'Raw Orders'!H611</f>
        <v>45962</v>
      </c>
      <c r="H611" s="10">
        <f>'Raw Orders'!I611</f>
        <v>45962</v>
      </c>
      <c r="I611" s="11">
        <f>'Raw Orders'!K611</f>
        <v>0.03</v>
      </c>
      <c r="J611" s="11">
        <f>IF('Raw Orders'!J611,"",(YEAR('Raw Orders'!I611)-YEAR('Raw Orders'!H611))*12+MONTH('Raw Orders'!I611)-MONTH('Raw Orders'!H611))</f>
        <v>0</v>
      </c>
      <c r="K611" t="str">
        <f>IF('Raw Orders'!J611,"Cancelled",IF('Raw Orders'!K611&gt;=2,"Slipped","On plan"))</f>
        <v>On plan</v>
      </c>
      <c r="L611" s="12">
        <f t="shared" si="9"/>
        <v>0</v>
      </c>
    </row>
    <row r="612" spans="1:12" x14ac:dyDescent="0.3">
      <c r="A612" t="str">
        <f>'Raw Orders'!A612</f>
        <v>NX-00608</v>
      </c>
      <c r="B612" t="str">
        <f>'Raw Orders'!B612</f>
        <v>North America</v>
      </c>
      <c r="C612" t="str">
        <f>'Raw Orders'!C612</f>
        <v>US / Canada</v>
      </c>
      <c r="D612" s="11">
        <f>'Raw Orders'!E612</f>
        <v>27.4</v>
      </c>
      <c r="E612" s="12">
        <f>'Raw Orders'!F612</f>
        <v>2274200</v>
      </c>
      <c r="F612" s="12">
        <f>'Raw Orders'!F612*0.75</f>
        <v>1705650</v>
      </c>
      <c r="G612" s="10">
        <f>'Raw Orders'!H612</f>
        <v>46082</v>
      </c>
      <c r="H612" s="10">
        <f>'Raw Orders'!I612</f>
        <v>46082</v>
      </c>
      <c r="I612" s="11">
        <f>'Raw Orders'!K612</f>
        <v>0.42</v>
      </c>
      <c r="J612" s="11">
        <f>IF('Raw Orders'!J612,"",(YEAR('Raw Orders'!I612)-YEAR('Raw Orders'!H612))*12+MONTH('Raw Orders'!I612)-MONTH('Raw Orders'!H612))</f>
        <v>0</v>
      </c>
      <c r="K612" t="str">
        <f>IF('Raw Orders'!J612,"Cancelled",IF('Raw Orders'!K612&gt;=2,"Slipped","On plan"))</f>
        <v>On plan</v>
      </c>
      <c r="L612" s="12">
        <f t="shared" si="9"/>
        <v>0</v>
      </c>
    </row>
    <row r="613" spans="1:12" x14ac:dyDescent="0.3">
      <c r="A613" t="str">
        <f>'Raw Orders'!A613</f>
        <v>NX-00609</v>
      </c>
      <c r="B613" t="str">
        <f>'Raw Orders'!B613</f>
        <v>North America</v>
      </c>
      <c r="C613" t="str">
        <f>'Raw Orders'!C613</f>
        <v>US / Canada</v>
      </c>
      <c r="D613" s="11">
        <f>'Raw Orders'!E613</f>
        <v>11.6</v>
      </c>
      <c r="E613" s="12">
        <f>'Raw Orders'!F613</f>
        <v>962800</v>
      </c>
      <c r="F613" s="12">
        <f>'Raw Orders'!F613*0.75</f>
        <v>722100</v>
      </c>
      <c r="G613" s="10">
        <f>'Raw Orders'!H613</f>
        <v>46082</v>
      </c>
      <c r="H613" s="10">
        <f>'Raw Orders'!I613</f>
        <v>46082</v>
      </c>
      <c r="I613" s="11">
        <f>'Raw Orders'!K613</f>
        <v>0.15</v>
      </c>
      <c r="J613" s="11">
        <f>IF('Raw Orders'!J613,"",(YEAR('Raw Orders'!I613)-YEAR('Raw Orders'!H613))*12+MONTH('Raw Orders'!I613)-MONTH('Raw Orders'!H613))</f>
        <v>0</v>
      </c>
      <c r="K613" t="str">
        <f>IF('Raw Orders'!J613,"Cancelled",IF('Raw Orders'!K613&gt;=2,"Slipped","On plan"))</f>
        <v>On plan</v>
      </c>
      <c r="L613" s="12">
        <f t="shared" si="9"/>
        <v>0</v>
      </c>
    </row>
    <row r="614" spans="1:12" x14ac:dyDescent="0.3">
      <c r="A614" t="str">
        <f>'Raw Orders'!A614</f>
        <v>NX-00610</v>
      </c>
      <c r="B614" t="str">
        <f>'Raw Orders'!B614</f>
        <v>North America</v>
      </c>
      <c r="C614" t="str">
        <f>'Raw Orders'!C614</f>
        <v>US / Canada</v>
      </c>
      <c r="D614" s="11">
        <f>'Raw Orders'!E614</f>
        <v>5.4</v>
      </c>
      <c r="E614" s="12">
        <f>'Raw Orders'!F614</f>
        <v>448200.00000000012</v>
      </c>
      <c r="F614" s="12">
        <f>'Raw Orders'!F614*0.75</f>
        <v>336150.00000000012</v>
      </c>
      <c r="G614" s="10">
        <f>'Raw Orders'!H614</f>
        <v>46023</v>
      </c>
      <c r="H614" s="10">
        <f>'Raw Orders'!I614</f>
        <v>46023</v>
      </c>
      <c r="I614" s="11">
        <f>'Raw Orders'!K614</f>
        <v>0.01</v>
      </c>
      <c r="J614" s="11">
        <f>IF('Raw Orders'!J614,"",(YEAR('Raw Orders'!I614)-YEAR('Raw Orders'!H614))*12+MONTH('Raw Orders'!I614)-MONTH('Raw Orders'!H614))</f>
        <v>0</v>
      </c>
      <c r="K614" t="str">
        <f>IF('Raw Orders'!J614,"Cancelled",IF('Raw Orders'!K614&gt;=2,"Slipped","On plan"))</f>
        <v>On plan</v>
      </c>
      <c r="L614" s="12">
        <f t="shared" si="9"/>
        <v>0</v>
      </c>
    </row>
    <row r="615" spans="1:12" x14ac:dyDescent="0.3">
      <c r="A615" t="str">
        <f>'Raw Orders'!A615</f>
        <v>NX-00611</v>
      </c>
      <c r="B615" t="str">
        <f>'Raw Orders'!B615</f>
        <v>North America</v>
      </c>
      <c r="C615" t="str">
        <f>'Raw Orders'!C615</f>
        <v>US / Canada</v>
      </c>
      <c r="D615" s="11">
        <f>'Raw Orders'!E615</f>
        <v>11.7</v>
      </c>
      <c r="E615" s="12">
        <f>'Raw Orders'!F615</f>
        <v>971100</v>
      </c>
      <c r="F615" s="12">
        <f>'Raw Orders'!F615*0.75</f>
        <v>728325</v>
      </c>
      <c r="G615" s="10">
        <f>'Raw Orders'!H615</f>
        <v>46082</v>
      </c>
      <c r="H615" s="10">
        <f>'Raw Orders'!I615</f>
        <v>46082</v>
      </c>
      <c r="I615" s="11">
        <f>'Raw Orders'!K615</f>
        <v>0.35</v>
      </c>
      <c r="J615" s="11">
        <f>IF('Raw Orders'!J615,"",(YEAR('Raw Orders'!I615)-YEAR('Raw Orders'!H615))*12+MONTH('Raw Orders'!I615)-MONTH('Raw Orders'!H615))</f>
        <v>0</v>
      </c>
      <c r="K615" t="str">
        <f>IF('Raw Orders'!J615,"Cancelled",IF('Raw Orders'!K615&gt;=2,"Slipped","On plan"))</f>
        <v>On plan</v>
      </c>
      <c r="L615" s="12">
        <f t="shared" si="9"/>
        <v>0</v>
      </c>
    </row>
    <row r="616" spans="1:12" x14ac:dyDescent="0.3">
      <c r="A616" t="str">
        <f>'Raw Orders'!A616</f>
        <v>NX-00612</v>
      </c>
      <c r="B616" t="str">
        <f>'Raw Orders'!B616</f>
        <v>North America</v>
      </c>
      <c r="C616" t="str">
        <f>'Raw Orders'!C616</f>
        <v>US / Canada</v>
      </c>
      <c r="D616" s="11">
        <f>'Raw Orders'!E616</f>
        <v>28.2</v>
      </c>
      <c r="E616" s="12">
        <f>'Raw Orders'!F616</f>
        <v>2340600</v>
      </c>
      <c r="F616" s="12">
        <f>'Raw Orders'!F616*0.75</f>
        <v>1755450</v>
      </c>
      <c r="G616" s="10">
        <f>'Raw Orders'!H616</f>
        <v>46082</v>
      </c>
      <c r="H616" s="10">
        <f>'Raw Orders'!I616</f>
        <v>46082</v>
      </c>
      <c r="I616" s="11">
        <f>'Raw Orders'!K616</f>
        <v>0.02</v>
      </c>
      <c r="J616" s="11">
        <f>IF('Raw Orders'!J616,"",(YEAR('Raw Orders'!I616)-YEAR('Raw Orders'!H616))*12+MONTH('Raw Orders'!I616)-MONTH('Raw Orders'!H616))</f>
        <v>0</v>
      </c>
      <c r="K616" t="str">
        <f>IF('Raw Orders'!J616,"Cancelled",IF('Raw Orders'!K616&gt;=2,"Slipped","On plan"))</f>
        <v>On plan</v>
      </c>
      <c r="L616" s="12">
        <f t="shared" si="9"/>
        <v>0</v>
      </c>
    </row>
    <row r="617" spans="1:12" x14ac:dyDescent="0.3">
      <c r="A617" t="str">
        <f>'Raw Orders'!A617</f>
        <v>NX-00613</v>
      </c>
      <c r="B617" t="str">
        <f>'Raw Orders'!B617</f>
        <v>North America</v>
      </c>
      <c r="C617" t="str">
        <f>'Raw Orders'!C617</f>
        <v>US / Canada</v>
      </c>
      <c r="D617" s="11">
        <f>'Raw Orders'!E617</f>
        <v>58.2</v>
      </c>
      <c r="E617" s="12">
        <f>'Raw Orders'!F617</f>
        <v>4830600</v>
      </c>
      <c r="F617" s="12">
        <f>'Raw Orders'!F617*0.75</f>
        <v>3622950</v>
      </c>
      <c r="G617" s="10">
        <f>'Raw Orders'!H617</f>
        <v>46023</v>
      </c>
      <c r="H617" s="10">
        <f>'Raw Orders'!I617</f>
        <v>46023</v>
      </c>
      <c r="I617" s="11">
        <f>'Raw Orders'!K617</f>
        <v>0.12</v>
      </c>
      <c r="J617" s="11">
        <f>IF('Raw Orders'!J617,"",(YEAR('Raw Orders'!I617)-YEAR('Raw Orders'!H617))*12+MONTH('Raw Orders'!I617)-MONTH('Raw Orders'!H617))</f>
        <v>0</v>
      </c>
      <c r="K617" t="str">
        <f>IF('Raw Orders'!J617,"Cancelled",IF('Raw Orders'!K617&gt;=2,"Slipped","On plan"))</f>
        <v>On plan</v>
      </c>
      <c r="L617" s="12">
        <f t="shared" si="9"/>
        <v>0</v>
      </c>
    </row>
    <row r="618" spans="1:12" x14ac:dyDescent="0.3">
      <c r="A618" t="str">
        <f>'Raw Orders'!A618</f>
        <v>NX-00614</v>
      </c>
      <c r="B618" t="str">
        <f>'Raw Orders'!B618</f>
        <v>North America</v>
      </c>
      <c r="C618" t="str">
        <f>'Raw Orders'!C618</f>
        <v>US / Canada</v>
      </c>
      <c r="D618" s="11">
        <f>'Raw Orders'!E618</f>
        <v>11.3</v>
      </c>
      <c r="E618" s="12">
        <f>'Raw Orders'!F618</f>
        <v>937900</v>
      </c>
      <c r="F618" s="12">
        <f>'Raw Orders'!F618*0.75</f>
        <v>703425</v>
      </c>
      <c r="G618" s="10">
        <f>'Raw Orders'!H618</f>
        <v>46143</v>
      </c>
      <c r="H618" s="10">
        <f>'Raw Orders'!I618</f>
        <v>46143</v>
      </c>
      <c r="I618" s="11">
        <f>'Raw Orders'!K618</f>
        <v>0.02</v>
      </c>
      <c r="J618" s="11">
        <f>IF('Raw Orders'!J618,"",(YEAR('Raw Orders'!I618)-YEAR('Raw Orders'!H618))*12+MONTH('Raw Orders'!I618)-MONTH('Raw Orders'!H618))</f>
        <v>0</v>
      </c>
      <c r="K618" t="str">
        <f>IF('Raw Orders'!J618,"Cancelled",IF('Raw Orders'!K618&gt;=2,"Slipped","On plan"))</f>
        <v>On plan</v>
      </c>
      <c r="L618" s="12">
        <f t="shared" si="9"/>
        <v>0</v>
      </c>
    </row>
    <row r="619" spans="1:12" x14ac:dyDescent="0.3">
      <c r="A619" t="str">
        <f>'Raw Orders'!A619</f>
        <v>NX-00615</v>
      </c>
      <c r="B619" t="str">
        <f>'Raw Orders'!B619</f>
        <v>North America</v>
      </c>
      <c r="C619" t="str">
        <f>'Raw Orders'!C619</f>
        <v>US / Canada</v>
      </c>
      <c r="D619" s="11">
        <f>'Raw Orders'!E619</f>
        <v>10.7</v>
      </c>
      <c r="E619" s="12">
        <f>'Raw Orders'!F619</f>
        <v>888099.99999999988</v>
      </c>
      <c r="F619" s="12">
        <f>'Raw Orders'!F619*0.75</f>
        <v>666074.99999999988</v>
      </c>
      <c r="G619" s="10">
        <f>'Raw Orders'!H619</f>
        <v>46113</v>
      </c>
      <c r="H619" s="10">
        <f>'Raw Orders'!I619</f>
        <v>46113</v>
      </c>
      <c r="I619" s="11">
        <f>'Raw Orders'!K619</f>
        <v>0.22</v>
      </c>
      <c r="J619" s="11">
        <f>IF('Raw Orders'!J619,"",(YEAR('Raw Orders'!I619)-YEAR('Raw Orders'!H619))*12+MONTH('Raw Orders'!I619)-MONTH('Raw Orders'!H619))</f>
        <v>0</v>
      </c>
      <c r="K619" t="str">
        <f>IF('Raw Orders'!J619,"Cancelled",IF('Raw Orders'!K619&gt;=2,"Slipped","On plan"))</f>
        <v>On plan</v>
      </c>
      <c r="L619" s="12">
        <f t="shared" si="9"/>
        <v>0</v>
      </c>
    </row>
    <row r="620" spans="1:12" x14ac:dyDescent="0.3">
      <c r="A620" t="str">
        <f>'Raw Orders'!A620</f>
        <v>NX-00616</v>
      </c>
      <c r="B620" t="str">
        <f>'Raw Orders'!B620</f>
        <v>North America</v>
      </c>
      <c r="C620" t="str">
        <f>'Raw Orders'!C620</f>
        <v>US / Canada</v>
      </c>
      <c r="D620" s="11">
        <f>'Raw Orders'!E620</f>
        <v>14.5</v>
      </c>
      <c r="E620" s="12">
        <f>'Raw Orders'!F620</f>
        <v>1203500</v>
      </c>
      <c r="F620" s="12">
        <f>'Raw Orders'!F620*0.75</f>
        <v>902625</v>
      </c>
      <c r="G620" s="10">
        <f>'Raw Orders'!H620</f>
        <v>46113</v>
      </c>
      <c r="H620" s="10">
        <f>'Raw Orders'!I620</f>
        <v>46143</v>
      </c>
      <c r="I620" s="11">
        <f>'Raw Orders'!K620</f>
        <v>0.74</v>
      </c>
      <c r="J620" s="11">
        <f>IF('Raw Orders'!J620,"",(YEAR('Raw Orders'!I620)-YEAR('Raw Orders'!H620))*12+MONTH('Raw Orders'!I620)-MONTH('Raw Orders'!H620))</f>
        <v>1</v>
      </c>
      <c r="K620" t="str">
        <f>IF('Raw Orders'!J620,"Cancelled",IF('Raw Orders'!K620&gt;=2,"Slipped","On plan"))</f>
        <v>On plan</v>
      </c>
      <c r="L620" s="12">
        <f t="shared" si="9"/>
        <v>0</v>
      </c>
    </row>
    <row r="621" spans="1:12" x14ac:dyDescent="0.3">
      <c r="A621" t="str">
        <f>'Raw Orders'!A621</f>
        <v>NX-00617</v>
      </c>
      <c r="B621" t="str">
        <f>'Raw Orders'!B621</f>
        <v>North America</v>
      </c>
      <c r="C621" t="str">
        <f>'Raw Orders'!C621</f>
        <v>US / Canada</v>
      </c>
      <c r="D621" s="11">
        <f>'Raw Orders'!E621</f>
        <v>4.5</v>
      </c>
      <c r="E621" s="12">
        <f>'Raw Orders'!F621</f>
        <v>373500</v>
      </c>
      <c r="F621" s="12">
        <f>'Raw Orders'!F621*0.75</f>
        <v>280125</v>
      </c>
      <c r="G621" s="10">
        <f>'Raw Orders'!H621</f>
        <v>46054</v>
      </c>
      <c r="H621" s="10">
        <f>'Raw Orders'!I621</f>
        <v>46054</v>
      </c>
      <c r="I621" s="11">
        <f>'Raw Orders'!K621</f>
        <v>0.12</v>
      </c>
      <c r="J621" s="11">
        <f>IF('Raw Orders'!J621,"",(YEAR('Raw Orders'!I621)-YEAR('Raw Orders'!H621))*12+MONTH('Raw Orders'!I621)-MONTH('Raw Orders'!H621))</f>
        <v>0</v>
      </c>
      <c r="K621" t="str">
        <f>IF('Raw Orders'!J621,"Cancelled",IF('Raw Orders'!K621&gt;=2,"Slipped","On plan"))</f>
        <v>On plan</v>
      </c>
      <c r="L621" s="12">
        <f t="shared" si="9"/>
        <v>0</v>
      </c>
    </row>
    <row r="622" spans="1:12" x14ac:dyDescent="0.3">
      <c r="A622" t="str">
        <f>'Raw Orders'!A622</f>
        <v>NX-00618</v>
      </c>
      <c r="B622" t="str">
        <f>'Raw Orders'!B622</f>
        <v>North America</v>
      </c>
      <c r="C622" t="str">
        <f>'Raw Orders'!C622</f>
        <v>US / Canada</v>
      </c>
      <c r="D622" s="11">
        <f>'Raw Orders'!E622</f>
        <v>2.2000000000000002</v>
      </c>
      <c r="E622" s="12">
        <f>'Raw Orders'!F622</f>
        <v>182600</v>
      </c>
      <c r="F622" s="12">
        <f>'Raw Orders'!F622*0.75</f>
        <v>136950</v>
      </c>
      <c r="G622" s="10">
        <f>'Raw Orders'!H622</f>
        <v>46023</v>
      </c>
      <c r="H622" s="10">
        <f>'Raw Orders'!I622</f>
        <v>46054</v>
      </c>
      <c r="I622" s="11">
        <f>'Raw Orders'!K622</f>
        <v>0.73</v>
      </c>
      <c r="J622" s="11">
        <f>IF('Raw Orders'!J622,"",(YEAR('Raw Orders'!I622)-YEAR('Raw Orders'!H622))*12+MONTH('Raw Orders'!I622)-MONTH('Raw Orders'!H622))</f>
        <v>1</v>
      </c>
      <c r="K622" t="str">
        <f>IF('Raw Orders'!J622,"Cancelled",IF('Raw Orders'!K622&gt;=2,"Slipped","On plan"))</f>
        <v>On plan</v>
      </c>
      <c r="L622" s="12">
        <f t="shared" si="9"/>
        <v>0</v>
      </c>
    </row>
    <row r="623" spans="1:12" x14ac:dyDescent="0.3">
      <c r="A623" t="str">
        <f>'Raw Orders'!A623</f>
        <v>NX-00619</v>
      </c>
      <c r="B623" t="str">
        <f>'Raw Orders'!B623</f>
        <v>North America</v>
      </c>
      <c r="C623" t="str">
        <f>'Raw Orders'!C623</f>
        <v>US / Canada</v>
      </c>
      <c r="D623" s="11">
        <f>'Raw Orders'!E623</f>
        <v>26.9</v>
      </c>
      <c r="E623" s="12">
        <f>'Raw Orders'!F623</f>
        <v>2232700</v>
      </c>
      <c r="F623" s="12">
        <f>'Raw Orders'!F623*0.75</f>
        <v>1674525</v>
      </c>
      <c r="G623" s="10">
        <f>'Raw Orders'!H623</f>
        <v>46143</v>
      </c>
      <c r="H623" s="10">
        <f>'Raw Orders'!I623</f>
        <v>46204</v>
      </c>
      <c r="I623" s="11">
        <f>'Raw Orders'!K623</f>
        <v>1.59</v>
      </c>
      <c r="J623" s="11">
        <f>IF('Raw Orders'!J623,"",(YEAR('Raw Orders'!I623)-YEAR('Raw Orders'!H623))*12+MONTH('Raw Orders'!I623)-MONTH('Raw Orders'!H623))</f>
        <v>2</v>
      </c>
      <c r="K623" t="str">
        <f>IF('Raw Orders'!J623,"Cancelled",IF('Raw Orders'!K623&gt;=2,"Slipped","On plan"))</f>
        <v>On plan</v>
      </c>
      <c r="L623" s="12">
        <f t="shared" si="9"/>
        <v>0</v>
      </c>
    </row>
    <row r="624" spans="1:12" x14ac:dyDescent="0.3">
      <c r="A624" t="str">
        <f>'Raw Orders'!A624</f>
        <v>NX-00620</v>
      </c>
      <c r="B624" t="str">
        <f>'Raw Orders'!B624</f>
        <v>North America</v>
      </c>
      <c r="C624" t="str">
        <f>'Raw Orders'!C624</f>
        <v>US / Canada</v>
      </c>
      <c r="D624" s="11">
        <f>'Raw Orders'!E624</f>
        <v>4.3</v>
      </c>
      <c r="E624" s="12">
        <f>'Raw Orders'!F624</f>
        <v>356900</v>
      </c>
      <c r="F624" s="12">
        <f>'Raw Orders'!F624*0.75</f>
        <v>267675</v>
      </c>
      <c r="G624" s="10">
        <f>'Raw Orders'!H624</f>
        <v>46082</v>
      </c>
      <c r="H624" s="10">
        <f>'Raw Orders'!I624</f>
        <v>46082</v>
      </c>
      <c r="I624" s="11">
        <f>'Raw Orders'!K624</f>
        <v>0.02</v>
      </c>
      <c r="J624" s="11">
        <f>IF('Raw Orders'!J624,"",(YEAR('Raw Orders'!I624)-YEAR('Raw Orders'!H624))*12+MONTH('Raw Orders'!I624)-MONTH('Raw Orders'!H624))</f>
        <v>0</v>
      </c>
      <c r="K624" t="str">
        <f>IF('Raw Orders'!J624,"Cancelled",IF('Raw Orders'!K624&gt;=2,"Slipped","On plan"))</f>
        <v>On plan</v>
      </c>
      <c r="L624" s="12">
        <f t="shared" si="9"/>
        <v>0</v>
      </c>
    </row>
    <row r="625" spans="1:12" x14ac:dyDescent="0.3">
      <c r="A625" t="str">
        <f>'Raw Orders'!A625</f>
        <v>NX-00621</v>
      </c>
      <c r="B625" t="str">
        <f>'Raw Orders'!B625</f>
        <v>North America</v>
      </c>
      <c r="C625" t="str">
        <f>'Raw Orders'!C625</f>
        <v>US / Canada</v>
      </c>
      <c r="D625" s="11">
        <f>'Raw Orders'!E625</f>
        <v>51.2</v>
      </c>
      <c r="E625" s="12">
        <f>'Raw Orders'!F625</f>
        <v>4249600</v>
      </c>
      <c r="F625" s="12">
        <f>'Raw Orders'!F625*0.75</f>
        <v>3187200</v>
      </c>
      <c r="G625" s="10">
        <f>'Raw Orders'!H625</f>
        <v>46054</v>
      </c>
      <c r="H625" s="10">
        <f>'Raw Orders'!I625</f>
        <v>46054</v>
      </c>
      <c r="I625" s="11">
        <f>'Raw Orders'!K625</f>
        <v>0.42</v>
      </c>
      <c r="J625" s="11">
        <f>IF('Raw Orders'!J625,"",(YEAR('Raw Orders'!I625)-YEAR('Raw Orders'!H625))*12+MONTH('Raw Orders'!I625)-MONTH('Raw Orders'!H625))</f>
        <v>0</v>
      </c>
      <c r="K625" t="str">
        <f>IF('Raw Orders'!J625,"Cancelled",IF('Raw Orders'!K625&gt;=2,"Slipped","On plan"))</f>
        <v>On plan</v>
      </c>
      <c r="L625" s="12">
        <f t="shared" si="9"/>
        <v>0</v>
      </c>
    </row>
    <row r="626" spans="1:12" x14ac:dyDescent="0.3">
      <c r="A626" t="str">
        <f>'Raw Orders'!A626</f>
        <v>NX-00622</v>
      </c>
      <c r="B626" t="str">
        <f>'Raw Orders'!B626</f>
        <v>North America</v>
      </c>
      <c r="C626" t="str">
        <f>'Raw Orders'!C626</f>
        <v>US / Canada</v>
      </c>
      <c r="D626" s="11">
        <f>'Raw Orders'!E626</f>
        <v>4.5</v>
      </c>
      <c r="E626" s="12">
        <f>'Raw Orders'!F626</f>
        <v>373500</v>
      </c>
      <c r="F626" s="12">
        <f>'Raw Orders'!F626*0.75</f>
        <v>280125</v>
      </c>
      <c r="G626" s="10">
        <f>'Raw Orders'!H626</f>
        <v>45992</v>
      </c>
      <c r="H626" s="10">
        <f>'Raw Orders'!I626</f>
        <v>45992</v>
      </c>
      <c r="I626" s="11">
        <f>'Raw Orders'!K626</f>
        <v>0</v>
      </c>
      <c r="J626" s="11">
        <f>IF('Raw Orders'!J626,"",(YEAR('Raw Orders'!I626)-YEAR('Raw Orders'!H626))*12+MONTH('Raw Orders'!I626)-MONTH('Raw Orders'!H626))</f>
        <v>0</v>
      </c>
      <c r="K626" t="str">
        <f>IF('Raw Orders'!J626,"Cancelled",IF('Raw Orders'!K626&gt;=2,"Slipped","On plan"))</f>
        <v>On plan</v>
      </c>
      <c r="L626" s="12">
        <f t="shared" si="9"/>
        <v>0</v>
      </c>
    </row>
    <row r="627" spans="1:12" x14ac:dyDescent="0.3">
      <c r="A627" t="str">
        <f>'Raw Orders'!A627</f>
        <v>NX-00623</v>
      </c>
      <c r="B627" t="str">
        <f>'Raw Orders'!B627</f>
        <v>North America</v>
      </c>
      <c r="C627" t="str">
        <f>'Raw Orders'!C627</f>
        <v>US / Canada</v>
      </c>
      <c r="D627" s="11">
        <f>'Raw Orders'!E627</f>
        <v>11.1</v>
      </c>
      <c r="E627" s="12">
        <f>'Raw Orders'!F627</f>
        <v>921300</v>
      </c>
      <c r="F627" s="12">
        <f>'Raw Orders'!F627*0.75</f>
        <v>690975</v>
      </c>
      <c r="G627" s="10">
        <f>'Raw Orders'!H627</f>
        <v>46054</v>
      </c>
      <c r="H627" s="10">
        <f>'Raw Orders'!I627</f>
        <v>46054</v>
      </c>
      <c r="I627" s="11">
        <f>'Raw Orders'!K627</f>
        <v>0.18</v>
      </c>
      <c r="J627" s="11">
        <f>IF('Raw Orders'!J627,"",(YEAR('Raw Orders'!I627)-YEAR('Raw Orders'!H627))*12+MONTH('Raw Orders'!I627)-MONTH('Raw Orders'!H627))</f>
        <v>0</v>
      </c>
      <c r="K627" t="str">
        <f>IF('Raw Orders'!J627,"Cancelled",IF('Raw Orders'!K627&gt;=2,"Slipped","On plan"))</f>
        <v>On plan</v>
      </c>
      <c r="L627" s="12">
        <f t="shared" si="9"/>
        <v>0</v>
      </c>
    </row>
    <row r="628" spans="1:12" x14ac:dyDescent="0.3">
      <c r="A628" t="str">
        <f>'Raw Orders'!A628</f>
        <v>NX-00624</v>
      </c>
      <c r="B628" t="str">
        <f>'Raw Orders'!B628</f>
        <v>North America</v>
      </c>
      <c r="C628" t="str">
        <f>'Raw Orders'!C628</f>
        <v>US / Canada</v>
      </c>
      <c r="D628" s="11">
        <f>'Raw Orders'!E628</f>
        <v>41.8</v>
      </c>
      <c r="E628" s="12">
        <f>'Raw Orders'!F628</f>
        <v>3469400</v>
      </c>
      <c r="F628" s="12">
        <f>'Raw Orders'!F628*0.75</f>
        <v>2602050</v>
      </c>
      <c r="G628" s="10">
        <f>'Raw Orders'!H628</f>
        <v>46082</v>
      </c>
      <c r="H628" s="10">
        <f>'Raw Orders'!I628</f>
        <v>46082</v>
      </c>
      <c r="I628" s="11">
        <f>'Raw Orders'!K628</f>
        <v>0.12</v>
      </c>
      <c r="J628" s="11">
        <f>IF('Raw Orders'!J628,"",(YEAR('Raw Orders'!I628)-YEAR('Raw Orders'!H628))*12+MONTH('Raw Orders'!I628)-MONTH('Raw Orders'!H628))</f>
        <v>0</v>
      </c>
      <c r="K628" t="str">
        <f>IF('Raw Orders'!J628,"Cancelled",IF('Raw Orders'!K628&gt;=2,"Slipped","On plan"))</f>
        <v>On plan</v>
      </c>
      <c r="L628" s="12">
        <f t="shared" si="9"/>
        <v>0</v>
      </c>
    </row>
    <row r="629" spans="1:12" x14ac:dyDescent="0.3">
      <c r="A629" t="str">
        <f>'Raw Orders'!A629</f>
        <v>NX-00625</v>
      </c>
      <c r="B629" t="str">
        <f>'Raw Orders'!B629</f>
        <v>North America</v>
      </c>
      <c r="C629" t="str">
        <f>'Raw Orders'!C629</f>
        <v>US / Canada</v>
      </c>
      <c r="D629" s="11">
        <f>'Raw Orders'!E629</f>
        <v>17.3</v>
      </c>
      <c r="E629" s="12">
        <f>'Raw Orders'!F629</f>
        <v>1435900</v>
      </c>
      <c r="F629" s="12">
        <f>'Raw Orders'!F629*0.75</f>
        <v>1076925</v>
      </c>
      <c r="G629" s="10">
        <f>'Raw Orders'!H629</f>
        <v>46082</v>
      </c>
      <c r="H629" s="10">
        <f>'Raw Orders'!I629</f>
        <v>46082</v>
      </c>
      <c r="I629" s="11">
        <f>'Raw Orders'!K629</f>
        <v>0.03</v>
      </c>
      <c r="J629" s="11">
        <f>IF('Raw Orders'!J629,"",(YEAR('Raw Orders'!I629)-YEAR('Raw Orders'!H629))*12+MONTH('Raw Orders'!I629)-MONTH('Raw Orders'!H629))</f>
        <v>0</v>
      </c>
      <c r="K629" t="str">
        <f>IF('Raw Orders'!J629,"Cancelled",IF('Raw Orders'!K629&gt;=2,"Slipped","On plan"))</f>
        <v>On plan</v>
      </c>
      <c r="L629" s="12">
        <f t="shared" si="9"/>
        <v>0</v>
      </c>
    </row>
    <row r="630" spans="1:12" x14ac:dyDescent="0.3">
      <c r="A630" t="str">
        <f>'Raw Orders'!A630</f>
        <v>NX-00626</v>
      </c>
      <c r="B630" t="str">
        <f>'Raw Orders'!B630</f>
        <v>EMEA</v>
      </c>
      <c r="C630" t="str">
        <f>'Raw Orders'!C630</f>
        <v>Europe</v>
      </c>
      <c r="D630" s="11">
        <f>'Raw Orders'!E630</f>
        <v>44.6</v>
      </c>
      <c r="E630" s="12">
        <f>'Raw Orders'!F630</f>
        <v>3924800</v>
      </c>
      <c r="F630" s="12">
        <f>'Raw Orders'!F630*0.75</f>
        <v>2943600</v>
      </c>
      <c r="G630" s="10">
        <f>'Raw Orders'!H630</f>
        <v>46023</v>
      </c>
      <c r="H630" s="10">
        <f>'Raw Orders'!I630</f>
        <v>46023</v>
      </c>
      <c r="I630" s="11">
        <f>'Raw Orders'!K630</f>
        <v>0.28000000000000003</v>
      </c>
      <c r="J630" s="11">
        <f>IF('Raw Orders'!J630,"",(YEAR('Raw Orders'!I630)-YEAR('Raw Orders'!H630))*12+MONTH('Raw Orders'!I630)-MONTH('Raw Orders'!H630))</f>
        <v>0</v>
      </c>
      <c r="K630" t="str">
        <f>IF('Raw Orders'!J630,"Cancelled",IF('Raw Orders'!K630&gt;=2,"Slipped","On plan"))</f>
        <v>On plan</v>
      </c>
      <c r="L630" s="12">
        <f t="shared" si="9"/>
        <v>0</v>
      </c>
    </row>
    <row r="631" spans="1:12" x14ac:dyDescent="0.3">
      <c r="A631" t="str">
        <f>'Raw Orders'!A631</f>
        <v>NX-00627</v>
      </c>
      <c r="B631" t="str">
        <f>'Raw Orders'!B631</f>
        <v>EMEA</v>
      </c>
      <c r="C631" t="str">
        <f>'Raw Orders'!C631</f>
        <v>Europe</v>
      </c>
      <c r="D631" s="11">
        <f>'Raw Orders'!E631</f>
        <v>16.2</v>
      </c>
      <c r="E631" s="12">
        <f>'Raw Orders'!F631</f>
        <v>1425600</v>
      </c>
      <c r="F631" s="12">
        <f>'Raw Orders'!F631*0.75</f>
        <v>1069200</v>
      </c>
      <c r="G631" s="10">
        <f>'Raw Orders'!H631</f>
        <v>45992</v>
      </c>
      <c r="H631" s="10">
        <f>'Raw Orders'!I631</f>
        <v>45992</v>
      </c>
      <c r="I631" s="11">
        <f>'Raw Orders'!K631</f>
        <v>0.02</v>
      </c>
      <c r="J631" s="11">
        <f>IF('Raw Orders'!J631,"",(YEAR('Raw Orders'!I631)-YEAR('Raw Orders'!H631))*12+MONTH('Raw Orders'!I631)-MONTH('Raw Orders'!H631))</f>
        <v>0</v>
      </c>
      <c r="K631" t="str">
        <f>IF('Raw Orders'!J631,"Cancelled",IF('Raw Orders'!K631&gt;=2,"Slipped","On plan"))</f>
        <v>On plan</v>
      </c>
      <c r="L631" s="12">
        <f t="shared" si="9"/>
        <v>0</v>
      </c>
    </row>
    <row r="632" spans="1:12" x14ac:dyDescent="0.3">
      <c r="A632" t="str">
        <f>'Raw Orders'!A632</f>
        <v>NX-00628</v>
      </c>
      <c r="B632" t="str">
        <f>'Raw Orders'!B632</f>
        <v>EMEA</v>
      </c>
      <c r="C632" t="str">
        <f>'Raw Orders'!C632</f>
        <v>MENA</v>
      </c>
      <c r="D632" s="11">
        <f>'Raw Orders'!E632</f>
        <v>20.5</v>
      </c>
      <c r="E632" s="12">
        <f>'Raw Orders'!F632</f>
        <v>1660500</v>
      </c>
      <c r="F632" s="12">
        <f>'Raw Orders'!F632*0.75</f>
        <v>1245375</v>
      </c>
      <c r="G632" s="10">
        <f>'Raw Orders'!H632</f>
        <v>46113</v>
      </c>
      <c r="H632" s="10">
        <f>'Raw Orders'!I632</f>
        <v>46113</v>
      </c>
      <c r="I632" s="11">
        <f>'Raw Orders'!K632</f>
        <v>0</v>
      </c>
      <c r="J632" s="11">
        <f>IF('Raw Orders'!J632,"",(YEAR('Raw Orders'!I632)-YEAR('Raw Orders'!H632))*12+MONTH('Raw Orders'!I632)-MONTH('Raw Orders'!H632))</f>
        <v>0</v>
      </c>
      <c r="K632" t="str">
        <f>IF('Raw Orders'!J632,"Cancelled",IF('Raw Orders'!K632&gt;=2,"Slipped","On plan"))</f>
        <v>On plan</v>
      </c>
      <c r="L632" s="12">
        <f t="shared" si="9"/>
        <v>0</v>
      </c>
    </row>
    <row r="633" spans="1:12" x14ac:dyDescent="0.3">
      <c r="A633" t="str">
        <f>'Raw Orders'!A633</f>
        <v>NX-00629</v>
      </c>
      <c r="B633" t="str">
        <f>'Raw Orders'!B633</f>
        <v>EMEA</v>
      </c>
      <c r="C633" t="str">
        <f>'Raw Orders'!C633</f>
        <v>MENA</v>
      </c>
      <c r="D633" s="11">
        <f>'Raw Orders'!E633</f>
        <v>9.1999999999999993</v>
      </c>
      <c r="E633" s="12">
        <f>'Raw Orders'!F633</f>
        <v>745200</v>
      </c>
      <c r="F633" s="12">
        <f>'Raw Orders'!F633*0.75</f>
        <v>558900</v>
      </c>
      <c r="G633" s="10">
        <f>'Raw Orders'!H633</f>
        <v>45992</v>
      </c>
      <c r="H633" s="10">
        <f>'Raw Orders'!I633</f>
        <v>46023</v>
      </c>
      <c r="I633" s="11">
        <f>'Raw Orders'!K633</f>
        <v>0.54</v>
      </c>
      <c r="J633" s="11">
        <f>IF('Raw Orders'!J633,"",(YEAR('Raw Orders'!I633)-YEAR('Raw Orders'!H633))*12+MONTH('Raw Orders'!I633)-MONTH('Raw Orders'!H633))</f>
        <v>1</v>
      </c>
      <c r="K633" t="str">
        <f>IF('Raw Orders'!J633,"Cancelled",IF('Raw Orders'!K633&gt;=2,"Slipped","On plan"))</f>
        <v>On plan</v>
      </c>
      <c r="L633" s="12">
        <f t="shared" si="9"/>
        <v>0</v>
      </c>
    </row>
    <row r="634" spans="1:12" x14ac:dyDescent="0.3">
      <c r="A634" t="str">
        <f>'Raw Orders'!A634</f>
        <v>NX-00630</v>
      </c>
      <c r="B634" t="str">
        <f>'Raw Orders'!B634</f>
        <v>APAC</v>
      </c>
      <c r="C634" t="str">
        <f>'Raw Orders'!C634</f>
        <v>India</v>
      </c>
      <c r="D634" s="11">
        <f>'Raw Orders'!E634</f>
        <v>32.1</v>
      </c>
      <c r="E634" s="12">
        <f>'Raw Orders'!F634</f>
        <v>2279100</v>
      </c>
      <c r="F634" s="12">
        <f>'Raw Orders'!F634*0.75</f>
        <v>1709325</v>
      </c>
      <c r="G634" s="10">
        <f>'Raw Orders'!H634</f>
        <v>45962</v>
      </c>
      <c r="H634" s="10">
        <f>'Raw Orders'!I634</f>
        <v>45992</v>
      </c>
      <c r="I634" s="11">
        <f>'Raw Orders'!K634</f>
        <v>1.29</v>
      </c>
      <c r="J634" s="11">
        <f>IF('Raw Orders'!J634,"",(YEAR('Raw Orders'!I634)-YEAR('Raw Orders'!H634))*12+MONTH('Raw Orders'!I634)-MONTH('Raw Orders'!H634))</f>
        <v>1</v>
      </c>
      <c r="K634" t="str">
        <f>IF('Raw Orders'!J634,"Cancelled",IF('Raw Orders'!K634&gt;=2,"Slipped","On plan"))</f>
        <v>On plan</v>
      </c>
      <c r="L634" s="12">
        <f t="shared" si="9"/>
        <v>0</v>
      </c>
    </row>
    <row r="635" spans="1:12" x14ac:dyDescent="0.3">
      <c r="A635" t="str">
        <f>'Raw Orders'!A635</f>
        <v>NX-00631</v>
      </c>
      <c r="B635" t="str">
        <f>'Raw Orders'!B635</f>
        <v>APAC</v>
      </c>
      <c r="C635" t="str">
        <f>'Raw Orders'!C635</f>
        <v>India</v>
      </c>
      <c r="D635" s="11">
        <f>'Raw Orders'!E635</f>
        <v>35</v>
      </c>
      <c r="E635" s="12">
        <f>'Raw Orders'!F635</f>
        <v>2485000</v>
      </c>
      <c r="F635" s="12">
        <f>'Raw Orders'!F635*0.75</f>
        <v>1863750</v>
      </c>
      <c r="G635" s="10">
        <f>'Raw Orders'!H635</f>
        <v>46054</v>
      </c>
      <c r="H635" s="10">
        <f>'Raw Orders'!I635</f>
        <v>46054</v>
      </c>
      <c r="I635" s="11">
        <f>'Raw Orders'!K635</f>
        <v>0.09</v>
      </c>
      <c r="J635" s="11">
        <f>IF('Raw Orders'!J635,"",(YEAR('Raw Orders'!I635)-YEAR('Raw Orders'!H635))*12+MONTH('Raw Orders'!I635)-MONTH('Raw Orders'!H635))</f>
        <v>0</v>
      </c>
      <c r="K635" t="str">
        <f>IF('Raw Orders'!J635,"Cancelled",IF('Raw Orders'!K635&gt;=2,"Slipped","On plan"))</f>
        <v>On plan</v>
      </c>
      <c r="L635" s="12">
        <f t="shared" si="9"/>
        <v>0</v>
      </c>
    </row>
    <row r="636" spans="1:12" x14ac:dyDescent="0.3">
      <c r="A636" t="str">
        <f>'Raw Orders'!A636</f>
        <v>NX-00632</v>
      </c>
      <c r="B636" t="str">
        <f>'Raw Orders'!B636</f>
        <v>APAC</v>
      </c>
      <c r="C636" t="str">
        <f>'Raw Orders'!C636</f>
        <v>India</v>
      </c>
      <c r="D636" s="11">
        <f>'Raw Orders'!E636</f>
        <v>8</v>
      </c>
      <c r="E636" s="12">
        <f>'Raw Orders'!F636</f>
        <v>568000</v>
      </c>
      <c r="F636" s="12">
        <f>'Raw Orders'!F636*0.75</f>
        <v>426000</v>
      </c>
      <c r="G636" s="10">
        <f>'Raw Orders'!H636</f>
        <v>46023</v>
      </c>
      <c r="H636" s="10">
        <f>'Raw Orders'!I636</f>
        <v>46113</v>
      </c>
      <c r="I636" s="11">
        <f>'Raw Orders'!K636</f>
        <v>3.47</v>
      </c>
      <c r="J636" s="11">
        <f>IF('Raw Orders'!J636,"",(YEAR('Raw Orders'!I636)-YEAR('Raw Orders'!H636))*12+MONTH('Raw Orders'!I636)-MONTH('Raw Orders'!H636))</f>
        <v>3</v>
      </c>
      <c r="K636" t="str">
        <f>IF('Raw Orders'!J636,"Cancelled",IF('Raw Orders'!K636&gt;=2,"Slipped","On plan"))</f>
        <v>Slipped</v>
      </c>
      <c r="L636" s="12">
        <f t="shared" si="9"/>
        <v>426000</v>
      </c>
    </row>
    <row r="637" spans="1:12" x14ac:dyDescent="0.3">
      <c r="A637" t="str">
        <f>'Raw Orders'!A637</f>
        <v>NX-00633</v>
      </c>
      <c r="B637" t="str">
        <f>'Raw Orders'!B637</f>
        <v>APAC</v>
      </c>
      <c r="C637" t="str">
        <f>'Raw Orders'!C637</f>
        <v>India</v>
      </c>
      <c r="D637" s="11">
        <f>'Raw Orders'!E637</f>
        <v>28.2</v>
      </c>
      <c r="E637" s="12">
        <f>'Raw Orders'!F637</f>
        <v>2002200</v>
      </c>
      <c r="F637" s="12">
        <f>'Raw Orders'!F637*0.75</f>
        <v>1501650</v>
      </c>
      <c r="G637" s="10">
        <f>'Raw Orders'!H637</f>
        <v>46082</v>
      </c>
      <c r="H637" s="10">
        <f>'Raw Orders'!I637</f>
        <v>46447</v>
      </c>
      <c r="I637" s="11">
        <f>'Raw Orders'!K637</f>
        <v>12.39</v>
      </c>
      <c r="J637" s="11">
        <f>IF('Raw Orders'!J637,"",(YEAR('Raw Orders'!I637)-YEAR('Raw Orders'!H637))*12+MONTH('Raw Orders'!I637)-MONTH('Raw Orders'!H637))</f>
        <v>12</v>
      </c>
      <c r="K637" t="str">
        <f>IF('Raw Orders'!J637,"Cancelled",IF('Raw Orders'!K637&gt;=2,"Slipped","On plan"))</f>
        <v>Slipped</v>
      </c>
      <c r="L637" s="12">
        <f t="shared" si="9"/>
        <v>1501650</v>
      </c>
    </row>
    <row r="638" spans="1:12" x14ac:dyDescent="0.3">
      <c r="A638" t="str">
        <f>'Raw Orders'!A638</f>
        <v>NX-00634</v>
      </c>
      <c r="B638" t="str">
        <f>'Raw Orders'!B638</f>
        <v>APAC</v>
      </c>
      <c r="C638" t="str">
        <f>'Raw Orders'!C638</f>
        <v>India</v>
      </c>
      <c r="D638" s="11">
        <f>'Raw Orders'!E638</f>
        <v>40.9</v>
      </c>
      <c r="E638" s="12">
        <f>'Raw Orders'!F638</f>
        <v>2903900</v>
      </c>
      <c r="F638" s="12">
        <f>'Raw Orders'!F638*0.75</f>
        <v>2177925</v>
      </c>
      <c r="G638" s="10">
        <f>'Raw Orders'!H638</f>
        <v>46082</v>
      </c>
      <c r="H638" s="10">
        <f>'Raw Orders'!I638</f>
        <v>46235</v>
      </c>
      <c r="I638" s="11">
        <f>'Raw Orders'!K638</f>
        <v>4.54</v>
      </c>
      <c r="J638" s="11">
        <f>IF('Raw Orders'!J638,"",(YEAR('Raw Orders'!I638)-YEAR('Raw Orders'!H638))*12+MONTH('Raw Orders'!I638)-MONTH('Raw Orders'!H638))</f>
        <v>5</v>
      </c>
      <c r="K638" t="str">
        <f>IF('Raw Orders'!J638,"Cancelled",IF('Raw Orders'!K638&gt;=2,"Slipped","On plan"))</f>
        <v>Slipped</v>
      </c>
      <c r="L638" s="12">
        <f t="shared" si="9"/>
        <v>2177925</v>
      </c>
    </row>
    <row r="639" spans="1:12" x14ac:dyDescent="0.3">
      <c r="A639" t="str">
        <f>'Raw Orders'!A639</f>
        <v>NX-00635</v>
      </c>
      <c r="B639" t="str">
        <f>'Raw Orders'!B639</f>
        <v>APAC</v>
      </c>
      <c r="C639" t="str">
        <f>'Raw Orders'!C639</f>
        <v>Australia/SEA</v>
      </c>
      <c r="D639" s="11">
        <f>'Raw Orders'!E639</f>
        <v>17</v>
      </c>
      <c r="E639" s="12">
        <f>'Raw Orders'!F639</f>
        <v>1428000</v>
      </c>
      <c r="F639" s="12">
        <f>'Raw Orders'!F639*0.75</f>
        <v>1071000</v>
      </c>
      <c r="G639" s="10">
        <f>'Raw Orders'!H639</f>
        <v>46113</v>
      </c>
      <c r="H639" s="10">
        <f>'Raw Orders'!I639</f>
        <v>46113</v>
      </c>
      <c r="I639" s="11">
        <f>'Raw Orders'!K639</f>
        <v>0.05</v>
      </c>
      <c r="J639" s="11">
        <f>IF('Raw Orders'!J639,"",(YEAR('Raw Orders'!I639)-YEAR('Raw Orders'!H639))*12+MONTH('Raw Orders'!I639)-MONTH('Raw Orders'!H639))</f>
        <v>0</v>
      </c>
      <c r="K639" t="str">
        <f>IF('Raw Orders'!J639,"Cancelled",IF('Raw Orders'!K639&gt;=2,"Slipped","On plan"))</f>
        <v>On plan</v>
      </c>
      <c r="L639" s="12">
        <f t="shared" si="9"/>
        <v>0</v>
      </c>
    </row>
    <row r="640" spans="1:12" x14ac:dyDescent="0.3">
      <c r="A640" t="str">
        <f>'Raw Orders'!A640</f>
        <v>NX-00636</v>
      </c>
      <c r="B640" t="str">
        <f>'Raw Orders'!B640</f>
        <v>APAC</v>
      </c>
      <c r="C640" t="str">
        <f>'Raw Orders'!C640</f>
        <v>Australia/SEA</v>
      </c>
      <c r="D640" s="11">
        <f>'Raw Orders'!E640</f>
        <v>10.6</v>
      </c>
      <c r="E640" s="12">
        <f>'Raw Orders'!F640</f>
        <v>890400</v>
      </c>
      <c r="F640" s="12">
        <f>'Raw Orders'!F640*0.75</f>
        <v>667800</v>
      </c>
      <c r="G640" s="10">
        <f>'Raw Orders'!H640</f>
        <v>46023</v>
      </c>
      <c r="H640" s="10">
        <f>'Raw Orders'!I640</f>
        <v>46082</v>
      </c>
      <c r="I640" s="11">
        <f>'Raw Orders'!K640</f>
        <v>1.57</v>
      </c>
      <c r="J640" s="11">
        <f>IF('Raw Orders'!J640,"",(YEAR('Raw Orders'!I640)-YEAR('Raw Orders'!H640))*12+MONTH('Raw Orders'!I640)-MONTH('Raw Orders'!H640))</f>
        <v>2</v>
      </c>
      <c r="K640" t="str">
        <f>IF('Raw Orders'!J640,"Cancelled",IF('Raw Orders'!K640&gt;=2,"Slipped","On plan"))</f>
        <v>On plan</v>
      </c>
      <c r="L640" s="12">
        <f t="shared" si="9"/>
        <v>0</v>
      </c>
    </row>
    <row r="641" spans="1:12" x14ac:dyDescent="0.3">
      <c r="A641" t="str">
        <f>'Raw Orders'!A641</f>
        <v>NX-00637</v>
      </c>
      <c r="B641" t="str">
        <f>'Raw Orders'!B641</f>
        <v>LATAM</v>
      </c>
      <c r="C641" t="str">
        <f>'Raw Orders'!C641</f>
        <v>LATAM</v>
      </c>
      <c r="D641" s="11">
        <f>'Raw Orders'!E641</f>
        <v>13.3</v>
      </c>
      <c r="E641" s="12">
        <f>'Raw Orders'!F641</f>
        <v>1050700</v>
      </c>
      <c r="F641" s="12">
        <f>'Raw Orders'!F641*0.75</f>
        <v>788025</v>
      </c>
      <c r="G641" s="10">
        <f>'Raw Orders'!H641</f>
        <v>46054</v>
      </c>
      <c r="H641" s="10">
        <f>'Raw Orders'!I641</f>
        <v>46082</v>
      </c>
      <c r="I641" s="11">
        <f>'Raw Orders'!K641</f>
        <v>0.85</v>
      </c>
      <c r="J641" s="11">
        <f>IF('Raw Orders'!J641,"",(YEAR('Raw Orders'!I641)-YEAR('Raw Orders'!H641))*12+MONTH('Raw Orders'!I641)-MONTH('Raw Orders'!H641))</f>
        <v>1</v>
      </c>
      <c r="K641" t="str">
        <f>IF('Raw Orders'!J641,"Cancelled",IF('Raw Orders'!K641&gt;=2,"Slipped","On plan"))</f>
        <v>On plan</v>
      </c>
      <c r="L641" s="12">
        <f t="shared" si="9"/>
        <v>0</v>
      </c>
    </row>
    <row r="642" spans="1:12" x14ac:dyDescent="0.3">
      <c r="A642" t="str">
        <f>'Raw Orders'!A642</f>
        <v>NX-00638</v>
      </c>
      <c r="B642" t="str">
        <f>'Raw Orders'!B642</f>
        <v>North America</v>
      </c>
      <c r="C642" t="str">
        <f>'Raw Orders'!C642</f>
        <v>US / Canada</v>
      </c>
      <c r="D642" s="11">
        <f>'Raw Orders'!E642</f>
        <v>16.5</v>
      </c>
      <c r="E642" s="12">
        <f>'Raw Orders'!F642</f>
        <v>1369500</v>
      </c>
      <c r="F642" s="12">
        <f>'Raw Orders'!F642*0.75</f>
        <v>1027125</v>
      </c>
      <c r="G642" s="10">
        <f>'Raw Orders'!H642</f>
        <v>46113</v>
      </c>
      <c r="H642" s="10">
        <f>'Raw Orders'!I642</f>
        <v>46204</v>
      </c>
      <c r="I642" s="11">
        <f>'Raw Orders'!K642</f>
        <v>2.78</v>
      </c>
      <c r="J642" s="11">
        <f>IF('Raw Orders'!J642,"",(YEAR('Raw Orders'!I642)-YEAR('Raw Orders'!H642))*12+MONTH('Raw Orders'!I642)-MONTH('Raw Orders'!H642))</f>
        <v>3</v>
      </c>
      <c r="K642" t="str">
        <f>IF('Raw Orders'!J642,"Cancelled",IF('Raw Orders'!K642&gt;=2,"Slipped","On plan"))</f>
        <v>Slipped</v>
      </c>
      <c r="L642" s="12">
        <f t="shared" si="9"/>
        <v>1027125</v>
      </c>
    </row>
    <row r="643" spans="1:12" x14ac:dyDescent="0.3">
      <c r="A643" t="str">
        <f>'Raw Orders'!A643</f>
        <v>NX-00639</v>
      </c>
      <c r="B643" t="str">
        <f>'Raw Orders'!B643</f>
        <v>North America</v>
      </c>
      <c r="C643" t="str">
        <f>'Raw Orders'!C643</f>
        <v>US / Canada</v>
      </c>
      <c r="D643" s="11">
        <f>'Raw Orders'!E643</f>
        <v>7.4</v>
      </c>
      <c r="E643" s="12">
        <f>'Raw Orders'!F643</f>
        <v>614200</v>
      </c>
      <c r="F643" s="12">
        <f>'Raw Orders'!F643*0.75</f>
        <v>460650</v>
      </c>
      <c r="G643" s="10">
        <f>'Raw Orders'!H643</f>
        <v>46174</v>
      </c>
      <c r="H643" s="10">
        <f>'Raw Orders'!I643</f>
        <v>46204</v>
      </c>
      <c r="I643" s="11">
        <f>'Raw Orders'!K643</f>
        <v>0.74</v>
      </c>
      <c r="J643" s="11">
        <f>IF('Raw Orders'!J643,"",(YEAR('Raw Orders'!I643)-YEAR('Raw Orders'!H643))*12+MONTH('Raw Orders'!I643)-MONTH('Raw Orders'!H643))</f>
        <v>1</v>
      </c>
      <c r="K643" t="str">
        <f>IF('Raw Orders'!J643,"Cancelled",IF('Raw Orders'!K643&gt;=2,"Slipped","On plan"))</f>
        <v>On plan</v>
      </c>
      <c r="L643" s="12">
        <f t="shared" si="9"/>
        <v>0</v>
      </c>
    </row>
    <row r="644" spans="1:12" x14ac:dyDescent="0.3">
      <c r="A644" t="str">
        <f>'Raw Orders'!A644</f>
        <v>NX-00640</v>
      </c>
      <c r="B644" t="str">
        <f>'Raw Orders'!B644</f>
        <v>North America</v>
      </c>
      <c r="C644" t="str">
        <f>'Raw Orders'!C644</f>
        <v>US / Canada</v>
      </c>
      <c r="D644" s="11">
        <f>'Raw Orders'!E644</f>
        <v>37.6</v>
      </c>
      <c r="E644" s="12">
        <f>'Raw Orders'!F644</f>
        <v>3120800</v>
      </c>
      <c r="F644" s="12">
        <f>'Raw Orders'!F644*0.75</f>
        <v>2340600</v>
      </c>
      <c r="G644" s="10">
        <f>'Raw Orders'!H644</f>
        <v>46082</v>
      </c>
      <c r="H644" s="10">
        <f>'Raw Orders'!I644</f>
        <v>46082</v>
      </c>
      <c r="I644" s="11">
        <f>'Raw Orders'!K644</f>
        <v>0</v>
      </c>
      <c r="J644" s="11">
        <f>IF('Raw Orders'!J644,"",(YEAR('Raw Orders'!I644)-YEAR('Raw Orders'!H644))*12+MONTH('Raw Orders'!I644)-MONTH('Raw Orders'!H644))</f>
        <v>0</v>
      </c>
      <c r="K644" t="str">
        <f>IF('Raw Orders'!J644,"Cancelled",IF('Raw Orders'!K644&gt;=2,"Slipped","On plan"))</f>
        <v>On plan</v>
      </c>
      <c r="L644" s="12">
        <f t="shared" si="9"/>
        <v>0</v>
      </c>
    </row>
    <row r="645" spans="1:12" x14ac:dyDescent="0.3">
      <c r="A645" t="str">
        <f>'Raw Orders'!A645</f>
        <v>NX-00641</v>
      </c>
      <c r="B645" t="str">
        <f>'Raw Orders'!B645</f>
        <v>North America</v>
      </c>
      <c r="C645" t="str">
        <f>'Raw Orders'!C645</f>
        <v>US / Canada</v>
      </c>
      <c r="D645" s="11">
        <f>'Raw Orders'!E645</f>
        <v>15</v>
      </c>
      <c r="E645" s="12">
        <f>'Raw Orders'!F645</f>
        <v>1245000</v>
      </c>
      <c r="F645" s="12">
        <f>'Raw Orders'!F645*0.75</f>
        <v>933750</v>
      </c>
      <c r="G645" s="10">
        <f>'Raw Orders'!H645</f>
        <v>46113</v>
      </c>
      <c r="H645" s="10">
        <f>'Raw Orders'!I645</f>
        <v>46113</v>
      </c>
      <c r="I645" s="11">
        <f>'Raw Orders'!K645</f>
        <v>0.22</v>
      </c>
      <c r="J645" s="11">
        <f>IF('Raw Orders'!J645,"",(YEAR('Raw Orders'!I645)-YEAR('Raw Orders'!H645))*12+MONTH('Raw Orders'!I645)-MONTH('Raw Orders'!H645))</f>
        <v>0</v>
      </c>
      <c r="K645" t="str">
        <f>IF('Raw Orders'!J645,"Cancelled",IF('Raw Orders'!K645&gt;=2,"Slipped","On plan"))</f>
        <v>On plan</v>
      </c>
      <c r="L645" s="12">
        <f t="shared" ref="L645:L708" si="10">IF(K645="On plan",0,F645)</f>
        <v>0</v>
      </c>
    </row>
    <row r="646" spans="1:12" x14ac:dyDescent="0.3">
      <c r="A646" t="str">
        <f>'Raw Orders'!A646</f>
        <v>NX-00642</v>
      </c>
      <c r="B646" t="str">
        <f>'Raw Orders'!B646</f>
        <v>North America</v>
      </c>
      <c r="C646" t="str">
        <f>'Raw Orders'!C646</f>
        <v>US / Canada</v>
      </c>
      <c r="D646" s="11">
        <f>'Raw Orders'!E646</f>
        <v>18.600000000000001</v>
      </c>
      <c r="E646" s="12">
        <f>'Raw Orders'!F646</f>
        <v>1543800</v>
      </c>
      <c r="F646" s="12">
        <f>'Raw Orders'!F646*0.75</f>
        <v>1157850</v>
      </c>
      <c r="G646" s="10">
        <f>'Raw Orders'!H646</f>
        <v>45992</v>
      </c>
      <c r="H646" s="10">
        <f>'Raw Orders'!I646</f>
        <v>45992</v>
      </c>
      <c r="I646" s="11">
        <f>'Raw Orders'!K646</f>
        <v>0.14000000000000001</v>
      </c>
      <c r="J646" s="11">
        <f>IF('Raw Orders'!J646,"",(YEAR('Raw Orders'!I646)-YEAR('Raw Orders'!H646))*12+MONTH('Raw Orders'!I646)-MONTH('Raw Orders'!H646))</f>
        <v>0</v>
      </c>
      <c r="K646" t="str">
        <f>IF('Raw Orders'!J646,"Cancelled",IF('Raw Orders'!K646&gt;=2,"Slipped","On plan"))</f>
        <v>On plan</v>
      </c>
      <c r="L646" s="12">
        <f t="shared" si="10"/>
        <v>0</v>
      </c>
    </row>
    <row r="647" spans="1:12" x14ac:dyDescent="0.3">
      <c r="A647" t="str">
        <f>'Raw Orders'!A647</f>
        <v>NX-00643</v>
      </c>
      <c r="B647" t="str">
        <f>'Raw Orders'!B647</f>
        <v>North America</v>
      </c>
      <c r="C647" t="str">
        <f>'Raw Orders'!C647</f>
        <v>US / Canada</v>
      </c>
      <c r="D647" s="11">
        <f>'Raw Orders'!E647</f>
        <v>29</v>
      </c>
      <c r="E647" s="12">
        <f>'Raw Orders'!F647</f>
        <v>2407000</v>
      </c>
      <c r="F647" s="12">
        <f>'Raw Orders'!F647*0.75</f>
        <v>1805250</v>
      </c>
      <c r="G647" s="10">
        <f>'Raw Orders'!H647</f>
        <v>46082</v>
      </c>
      <c r="H647" s="10">
        <f>'Raw Orders'!I647</f>
        <v>46082</v>
      </c>
      <c r="I647" s="11">
        <f>'Raw Orders'!K647</f>
        <v>0.03</v>
      </c>
      <c r="J647" s="11">
        <f>IF('Raw Orders'!J647,"",(YEAR('Raw Orders'!I647)-YEAR('Raw Orders'!H647))*12+MONTH('Raw Orders'!I647)-MONTH('Raw Orders'!H647))</f>
        <v>0</v>
      </c>
      <c r="K647" t="str">
        <f>IF('Raw Orders'!J647,"Cancelled",IF('Raw Orders'!K647&gt;=2,"Slipped","On plan"))</f>
        <v>On plan</v>
      </c>
      <c r="L647" s="12">
        <f t="shared" si="10"/>
        <v>0</v>
      </c>
    </row>
    <row r="648" spans="1:12" x14ac:dyDescent="0.3">
      <c r="A648" t="str">
        <f>'Raw Orders'!A648</f>
        <v>NX-00644</v>
      </c>
      <c r="B648" t="str">
        <f>'Raw Orders'!B648</f>
        <v>North America</v>
      </c>
      <c r="C648" t="str">
        <f>'Raw Orders'!C648</f>
        <v>US / Canada</v>
      </c>
      <c r="D648" s="11">
        <f>'Raw Orders'!E648</f>
        <v>139.30000000000001</v>
      </c>
      <c r="E648" s="12">
        <f>'Raw Orders'!F648</f>
        <v>11561900</v>
      </c>
      <c r="F648" s="12">
        <f>'Raw Orders'!F648*0.75</f>
        <v>8671425</v>
      </c>
      <c r="G648" s="10">
        <f>'Raw Orders'!H648</f>
        <v>46023</v>
      </c>
      <c r="H648" s="10">
        <f>'Raw Orders'!I648</f>
        <v>46082</v>
      </c>
      <c r="I648" s="11">
        <f>'Raw Orders'!K648</f>
        <v>2.38</v>
      </c>
      <c r="J648" s="11">
        <f>IF('Raw Orders'!J648,"",(YEAR('Raw Orders'!I648)-YEAR('Raw Orders'!H648))*12+MONTH('Raw Orders'!I648)-MONTH('Raw Orders'!H648))</f>
        <v>2</v>
      </c>
      <c r="K648" t="str">
        <f>IF('Raw Orders'!J648,"Cancelled",IF('Raw Orders'!K648&gt;=2,"Slipped","On plan"))</f>
        <v>Slipped</v>
      </c>
      <c r="L648" s="12">
        <f t="shared" si="10"/>
        <v>8671425</v>
      </c>
    </row>
    <row r="649" spans="1:12" x14ac:dyDescent="0.3">
      <c r="A649" t="str">
        <f>'Raw Orders'!A649</f>
        <v>NX-00645</v>
      </c>
      <c r="B649" t="str">
        <f>'Raw Orders'!B649</f>
        <v>North America</v>
      </c>
      <c r="C649" t="str">
        <f>'Raw Orders'!C649</f>
        <v>US / Canada</v>
      </c>
      <c r="D649" s="11">
        <f>'Raw Orders'!E649</f>
        <v>35.700000000000003</v>
      </c>
      <c r="E649" s="12">
        <f>'Raw Orders'!F649</f>
        <v>2963100</v>
      </c>
      <c r="F649" s="12">
        <f>'Raw Orders'!F649*0.75</f>
        <v>2222325</v>
      </c>
      <c r="G649" s="10">
        <f>'Raw Orders'!H649</f>
        <v>46113</v>
      </c>
      <c r="H649" s="10">
        <f>'Raw Orders'!I649</f>
        <v>46204</v>
      </c>
      <c r="I649" s="11">
        <f>'Raw Orders'!K649</f>
        <v>3.32</v>
      </c>
      <c r="J649" s="11">
        <f>IF('Raw Orders'!J649,"",(YEAR('Raw Orders'!I649)-YEAR('Raw Orders'!H649))*12+MONTH('Raw Orders'!I649)-MONTH('Raw Orders'!H649))</f>
        <v>3</v>
      </c>
      <c r="K649" t="str">
        <f>IF('Raw Orders'!J649,"Cancelled",IF('Raw Orders'!K649&gt;=2,"Slipped","On plan"))</f>
        <v>Slipped</v>
      </c>
      <c r="L649" s="12">
        <f t="shared" si="10"/>
        <v>2222325</v>
      </c>
    </row>
    <row r="650" spans="1:12" x14ac:dyDescent="0.3">
      <c r="A650" t="str">
        <f>'Raw Orders'!A650</f>
        <v>NX-00646</v>
      </c>
      <c r="B650" t="str">
        <f>'Raw Orders'!B650</f>
        <v>North America</v>
      </c>
      <c r="C650" t="str">
        <f>'Raw Orders'!C650</f>
        <v>US / Canada</v>
      </c>
      <c r="D650" s="11">
        <f>'Raw Orders'!E650</f>
        <v>15.2</v>
      </c>
      <c r="E650" s="12">
        <f>'Raw Orders'!F650</f>
        <v>1261600</v>
      </c>
      <c r="F650" s="12">
        <f>'Raw Orders'!F650*0.75</f>
        <v>946200</v>
      </c>
      <c r="G650" s="10">
        <f>'Raw Orders'!H650</f>
        <v>46143</v>
      </c>
      <c r="H650" s="10">
        <f>'Raw Orders'!I650</f>
        <v>46143</v>
      </c>
      <c r="I650" s="11">
        <f>'Raw Orders'!K650</f>
        <v>0.03</v>
      </c>
      <c r="J650" s="11">
        <f>IF('Raw Orders'!J650,"",(YEAR('Raw Orders'!I650)-YEAR('Raw Orders'!H650))*12+MONTH('Raw Orders'!I650)-MONTH('Raw Orders'!H650))</f>
        <v>0</v>
      </c>
      <c r="K650" t="str">
        <f>IF('Raw Orders'!J650,"Cancelled",IF('Raw Orders'!K650&gt;=2,"Slipped","On plan"))</f>
        <v>On plan</v>
      </c>
      <c r="L650" s="12">
        <f t="shared" si="10"/>
        <v>0</v>
      </c>
    </row>
    <row r="651" spans="1:12" x14ac:dyDescent="0.3">
      <c r="A651" t="str">
        <f>'Raw Orders'!A651</f>
        <v>NX-00647</v>
      </c>
      <c r="B651" t="str">
        <f>'Raw Orders'!B651</f>
        <v>North America</v>
      </c>
      <c r="C651" t="str">
        <f>'Raw Orders'!C651</f>
        <v>US / Canada</v>
      </c>
      <c r="D651" s="11">
        <f>'Raw Orders'!E651</f>
        <v>19.100000000000001</v>
      </c>
      <c r="E651" s="12">
        <f>'Raw Orders'!F651</f>
        <v>1585300</v>
      </c>
      <c r="F651" s="12">
        <f>'Raw Orders'!F651*0.75</f>
        <v>1188975</v>
      </c>
      <c r="G651" s="10">
        <f>'Raw Orders'!H651</f>
        <v>46023</v>
      </c>
      <c r="H651" s="10">
        <f>'Raw Orders'!I651</f>
        <v>46204</v>
      </c>
      <c r="I651" s="11">
        <f>'Raw Orders'!K651</f>
        <v>6.13</v>
      </c>
      <c r="J651" s="11">
        <f>IF('Raw Orders'!J651,"",(YEAR('Raw Orders'!I651)-YEAR('Raw Orders'!H651))*12+MONTH('Raw Orders'!I651)-MONTH('Raw Orders'!H651))</f>
        <v>6</v>
      </c>
      <c r="K651" t="str">
        <f>IF('Raw Orders'!J651,"Cancelled",IF('Raw Orders'!K651&gt;=2,"Slipped","On plan"))</f>
        <v>Slipped</v>
      </c>
      <c r="L651" s="12">
        <f t="shared" si="10"/>
        <v>1188975</v>
      </c>
    </row>
    <row r="652" spans="1:12" x14ac:dyDescent="0.3">
      <c r="A652" t="str">
        <f>'Raw Orders'!A652</f>
        <v>NX-00648</v>
      </c>
      <c r="B652" t="str">
        <f>'Raw Orders'!B652</f>
        <v>North America</v>
      </c>
      <c r="C652" t="str">
        <f>'Raw Orders'!C652</f>
        <v>US / Canada</v>
      </c>
      <c r="D652" s="11">
        <f>'Raw Orders'!E652</f>
        <v>2.2000000000000002</v>
      </c>
      <c r="E652" s="12">
        <f>'Raw Orders'!F652</f>
        <v>182600</v>
      </c>
      <c r="F652" s="12">
        <f>'Raw Orders'!F652*0.75</f>
        <v>136950</v>
      </c>
      <c r="G652" s="10">
        <f>'Raw Orders'!H652</f>
        <v>46023</v>
      </c>
      <c r="H652" s="10">
        <f>'Raw Orders'!I652</f>
        <v>46054</v>
      </c>
      <c r="I652" s="11">
        <f>'Raw Orders'!K652</f>
        <v>0.56999999999999995</v>
      </c>
      <c r="J652" s="11">
        <f>IF('Raw Orders'!J652,"",(YEAR('Raw Orders'!I652)-YEAR('Raw Orders'!H652))*12+MONTH('Raw Orders'!I652)-MONTH('Raw Orders'!H652))</f>
        <v>1</v>
      </c>
      <c r="K652" t="str">
        <f>IF('Raw Orders'!J652,"Cancelled",IF('Raw Orders'!K652&gt;=2,"Slipped","On plan"))</f>
        <v>On plan</v>
      </c>
      <c r="L652" s="12">
        <f t="shared" si="10"/>
        <v>0</v>
      </c>
    </row>
    <row r="653" spans="1:12" x14ac:dyDescent="0.3">
      <c r="A653" t="str">
        <f>'Raw Orders'!A653</f>
        <v>NX-00649</v>
      </c>
      <c r="B653" t="str">
        <f>'Raw Orders'!B653</f>
        <v>North America</v>
      </c>
      <c r="C653" t="str">
        <f>'Raw Orders'!C653</f>
        <v>US / Canada</v>
      </c>
      <c r="D653" s="11">
        <f>'Raw Orders'!E653</f>
        <v>22.4</v>
      </c>
      <c r="E653" s="12">
        <f>'Raw Orders'!F653</f>
        <v>1859200</v>
      </c>
      <c r="F653" s="12">
        <f>'Raw Orders'!F653*0.75</f>
        <v>1394400</v>
      </c>
      <c r="G653" s="10">
        <f>'Raw Orders'!H653</f>
        <v>46054</v>
      </c>
      <c r="H653" s="10">
        <f>'Raw Orders'!I653</f>
        <v>46054</v>
      </c>
      <c r="I653" s="11">
        <f>'Raw Orders'!K653</f>
        <v>0.08</v>
      </c>
      <c r="J653" s="11">
        <f>IF('Raw Orders'!J653,"",(YEAR('Raw Orders'!I653)-YEAR('Raw Orders'!H653))*12+MONTH('Raw Orders'!I653)-MONTH('Raw Orders'!H653))</f>
        <v>0</v>
      </c>
      <c r="K653" t="str">
        <f>IF('Raw Orders'!J653,"Cancelled",IF('Raw Orders'!K653&gt;=2,"Slipped","On plan"))</f>
        <v>On plan</v>
      </c>
      <c r="L653" s="12">
        <f t="shared" si="10"/>
        <v>0</v>
      </c>
    </row>
    <row r="654" spans="1:12" x14ac:dyDescent="0.3">
      <c r="A654" t="str">
        <f>'Raw Orders'!A654</f>
        <v>NX-00650</v>
      </c>
      <c r="B654" t="str">
        <f>'Raw Orders'!B654</f>
        <v>North America</v>
      </c>
      <c r="C654" t="str">
        <f>'Raw Orders'!C654</f>
        <v>US / Canada</v>
      </c>
      <c r="D654" s="11">
        <f>'Raw Orders'!E654</f>
        <v>7.4</v>
      </c>
      <c r="E654" s="12">
        <f>'Raw Orders'!F654</f>
        <v>614200</v>
      </c>
      <c r="F654" s="12">
        <f>'Raw Orders'!F654*0.75</f>
        <v>460650</v>
      </c>
      <c r="G654" s="10">
        <f>'Raw Orders'!H654</f>
        <v>45992</v>
      </c>
      <c r="H654" s="10">
        <f>'Raw Orders'!I654</f>
        <v>45992</v>
      </c>
      <c r="I654" s="11">
        <f>'Raw Orders'!K654</f>
        <v>0</v>
      </c>
      <c r="J654" s="11">
        <f>IF('Raw Orders'!J654,"",(YEAR('Raw Orders'!I654)-YEAR('Raw Orders'!H654))*12+MONTH('Raw Orders'!I654)-MONTH('Raw Orders'!H654))</f>
        <v>0</v>
      </c>
      <c r="K654" t="str">
        <f>IF('Raw Orders'!J654,"Cancelled",IF('Raw Orders'!K654&gt;=2,"Slipped","On plan"))</f>
        <v>On plan</v>
      </c>
      <c r="L654" s="12">
        <f t="shared" si="10"/>
        <v>0</v>
      </c>
    </row>
    <row r="655" spans="1:12" x14ac:dyDescent="0.3">
      <c r="A655" t="str">
        <f>'Raw Orders'!A655</f>
        <v>NX-00651</v>
      </c>
      <c r="B655" t="str">
        <f>'Raw Orders'!B655</f>
        <v>North America</v>
      </c>
      <c r="C655" t="str">
        <f>'Raw Orders'!C655</f>
        <v>US / Canada</v>
      </c>
      <c r="D655" s="11">
        <f>'Raw Orders'!E655</f>
        <v>14.7</v>
      </c>
      <c r="E655" s="12">
        <f>'Raw Orders'!F655</f>
        <v>1220100</v>
      </c>
      <c r="F655" s="12">
        <f>'Raw Orders'!F655*0.75</f>
        <v>915075</v>
      </c>
      <c r="G655" s="10">
        <f>'Raw Orders'!H655</f>
        <v>46023</v>
      </c>
      <c r="H655" s="10">
        <f>'Raw Orders'!I655</f>
        <v>46023</v>
      </c>
      <c r="I655" s="11">
        <f>'Raw Orders'!K655</f>
        <v>0.15</v>
      </c>
      <c r="J655" s="11">
        <f>IF('Raw Orders'!J655,"",(YEAR('Raw Orders'!I655)-YEAR('Raw Orders'!H655))*12+MONTH('Raw Orders'!I655)-MONTH('Raw Orders'!H655))</f>
        <v>0</v>
      </c>
      <c r="K655" t="str">
        <f>IF('Raw Orders'!J655,"Cancelled",IF('Raw Orders'!K655&gt;=2,"Slipped","On plan"))</f>
        <v>On plan</v>
      </c>
      <c r="L655" s="12">
        <f t="shared" si="10"/>
        <v>0</v>
      </c>
    </row>
    <row r="656" spans="1:12" x14ac:dyDescent="0.3">
      <c r="A656" t="str">
        <f>'Raw Orders'!A656</f>
        <v>NX-00652</v>
      </c>
      <c r="B656" t="str">
        <f>'Raw Orders'!B656</f>
        <v>North America</v>
      </c>
      <c r="C656" t="str">
        <f>'Raw Orders'!C656</f>
        <v>US / Canada</v>
      </c>
      <c r="D656" s="11">
        <f>'Raw Orders'!E656</f>
        <v>12.9</v>
      </c>
      <c r="E656" s="12">
        <f>'Raw Orders'!F656</f>
        <v>1070700</v>
      </c>
      <c r="F656" s="12">
        <f>'Raw Orders'!F656*0.75</f>
        <v>803025</v>
      </c>
      <c r="G656" s="10">
        <f>'Raw Orders'!H656</f>
        <v>46023</v>
      </c>
      <c r="H656" s="10">
        <f>'Raw Orders'!I656</f>
        <v>46023</v>
      </c>
      <c r="I656" s="11">
        <f>'Raw Orders'!K656</f>
        <v>0.28999999999999998</v>
      </c>
      <c r="J656" s="11">
        <f>IF('Raw Orders'!J656,"",(YEAR('Raw Orders'!I656)-YEAR('Raw Orders'!H656))*12+MONTH('Raw Orders'!I656)-MONTH('Raw Orders'!H656))</f>
        <v>0</v>
      </c>
      <c r="K656" t="str">
        <f>IF('Raw Orders'!J656,"Cancelled",IF('Raw Orders'!K656&gt;=2,"Slipped","On plan"))</f>
        <v>On plan</v>
      </c>
      <c r="L656" s="12">
        <f t="shared" si="10"/>
        <v>0</v>
      </c>
    </row>
    <row r="657" spans="1:12" x14ac:dyDescent="0.3">
      <c r="A657" t="str">
        <f>'Raw Orders'!A657</f>
        <v>NX-00653</v>
      </c>
      <c r="B657" t="str">
        <f>'Raw Orders'!B657</f>
        <v>North America</v>
      </c>
      <c r="C657" t="str">
        <f>'Raw Orders'!C657</f>
        <v>US / Canada</v>
      </c>
      <c r="D657" s="11">
        <f>'Raw Orders'!E657</f>
        <v>33.200000000000003</v>
      </c>
      <c r="E657" s="12">
        <f>'Raw Orders'!F657</f>
        <v>2755600</v>
      </c>
      <c r="F657" s="12">
        <f>'Raw Orders'!F657*0.75</f>
        <v>2066700</v>
      </c>
      <c r="G657" s="10">
        <f>'Raw Orders'!H657</f>
        <v>46054</v>
      </c>
      <c r="H657" s="10">
        <f>'Raw Orders'!I657</f>
        <v>46143</v>
      </c>
      <c r="I657" s="11">
        <f>'Raw Orders'!K657</f>
        <v>2.62</v>
      </c>
      <c r="J657" s="11">
        <f>IF('Raw Orders'!J657,"",(YEAR('Raw Orders'!I657)-YEAR('Raw Orders'!H657))*12+MONTH('Raw Orders'!I657)-MONTH('Raw Orders'!H657))</f>
        <v>3</v>
      </c>
      <c r="K657" t="str">
        <f>IF('Raw Orders'!J657,"Cancelled",IF('Raw Orders'!K657&gt;=2,"Slipped","On plan"))</f>
        <v>Slipped</v>
      </c>
      <c r="L657" s="12">
        <f t="shared" si="10"/>
        <v>2066700</v>
      </c>
    </row>
    <row r="658" spans="1:12" x14ac:dyDescent="0.3">
      <c r="A658" t="str">
        <f>'Raw Orders'!A658</f>
        <v>NX-00654</v>
      </c>
      <c r="B658" t="str">
        <f>'Raw Orders'!B658</f>
        <v>North America</v>
      </c>
      <c r="C658" t="str">
        <f>'Raw Orders'!C658</f>
        <v>US / Canada</v>
      </c>
      <c r="D658" s="11">
        <f>'Raw Orders'!E658</f>
        <v>10.3</v>
      </c>
      <c r="E658" s="12">
        <f>'Raw Orders'!F658</f>
        <v>854900.00000000012</v>
      </c>
      <c r="F658" s="12">
        <f>'Raw Orders'!F658*0.75</f>
        <v>641175.00000000012</v>
      </c>
      <c r="G658" s="10">
        <f>'Raw Orders'!H658</f>
        <v>46082</v>
      </c>
      <c r="H658" s="10">
        <f>'Raw Orders'!I658</f>
        <v>46082</v>
      </c>
      <c r="I658" s="11">
        <f>'Raw Orders'!K658</f>
        <v>0.44</v>
      </c>
      <c r="J658" s="11">
        <f>IF('Raw Orders'!J658,"",(YEAR('Raw Orders'!I658)-YEAR('Raw Orders'!H658))*12+MONTH('Raw Orders'!I658)-MONTH('Raw Orders'!H658))</f>
        <v>0</v>
      </c>
      <c r="K658" t="str">
        <f>IF('Raw Orders'!J658,"Cancelled",IF('Raw Orders'!K658&gt;=2,"Slipped","On plan"))</f>
        <v>On plan</v>
      </c>
      <c r="L658" s="12">
        <f t="shared" si="10"/>
        <v>0</v>
      </c>
    </row>
    <row r="659" spans="1:12" x14ac:dyDescent="0.3">
      <c r="A659" t="str">
        <f>'Raw Orders'!A659</f>
        <v>NX-00655</v>
      </c>
      <c r="B659" t="str">
        <f>'Raw Orders'!B659</f>
        <v>North America</v>
      </c>
      <c r="C659" t="str">
        <f>'Raw Orders'!C659</f>
        <v>US / Canada</v>
      </c>
      <c r="D659" s="11">
        <f>'Raw Orders'!E659</f>
        <v>7.2</v>
      </c>
      <c r="E659" s="12">
        <f>'Raw Orders'!F659</f>
        <v>597600</v>
      </c>
      <c r="F659" s="12">
        <f>'Raw Orders'!F659*0.75</f>
        <v>448200</v>
      </c>
      <c r="G659" s="10">
        <f>'Raw Orders'!H659</f>
        <v>46174</v>
      </c>
      <c r="H659" s="10">
        <f>'Raw Orders'!I659</f>
        <v>46174</v>
      </c>
      <c r="I659" s="11">
        <f>'Raw Orders'!K659</f>
        <v>0</v>
      </c>
      <c r="J659" s="11">
        <f>IF('Raw Orders'!J659,"",(YEAR('Raw Orders'!I659)-YEAR('Raw Orders'!H659))*12+MONTH('Raw Orders'!I659)-MONTH('Raw Orders'!H659))</f>
        <v>0</v>
      </c>
      <c r="K659" t="str">
        <f>IF('Raw Orders'!J659,"Cancelled",IF('Raw Orders'!K659&gt;=2,"Slipped","On plan"))</f>
        <v>On plan</v>
      </c>
      <c r="L659" s="12">
        <f t="shared" si="10"/>
        <v>0</v>
      </c>
    </row>
    <row r="660" spans="1:12" x14ac:dyDescent="0.3">
      <c r="A660" t="str">
        <f>'Raw Orders'!A660</f>
        <v>NX-00656</v>
      </c>
      <c r="B660" t="str">
        <f>'Raw Orders'!B660</f>
        <v>North America</v>
      </c>
      <c r="C660" t="str">
        <f>'Raw Orders'!C660</f>
        <v>US / Canada</v>
      </c>
      <c r="D660" s="11">
        <f>'Raw Orders'!E660</f>
        <v>9</v>
      </c>
      <c r="E660" s="12">
        <f>'Raw Orders'!F660</f>
        <v>747000</v>
      </c>
      <c r="F660" s="12">
        <f>'Raw Orders'!F660*0.75</f>
        <v>560250</v>
      </c>
      <c r="G660" s="10">
        <f>'Raw Orders'!H660</f>
        <v>45992</v>
      </c>
      <c r="H660" s="10">
        <f>'Raw Orders'!I660</f>
        <v>45992</v>
      </c>
      <c r="I660" s="11">
        <f>'Raw Orders'!K660</f>
        <v>0</v>
      </c>
      <c r="J660" s="11">
        <f>IF('Raw Orders'!J660,"",(YEAR('Raw Orders'!I660)-YEAR('Raw Orders'!H660))*12+MONTH('Raw Orders'!I660)-MONTH('Raw Orders'!H660))</f>
        <v>0</v>
      </c>
      <c r="K660" t="str">
        <f>IF('Raw Orders'!J660,"Cancelled",IF('Raw Orders'!K660&gt;=2,"Slipped","On plan"))</f>
        <v>On plan</v>
      </c>
      <c r="L660" s="12">
        <f t="shared" si="10"/>
        <v>0</v>
      </c>
    </row>
    <row r="661" spans="1:12" x14ac:dyDescent="0.3">
      <c r="A661" t="str">
        <f>'Raw Orders'!A661</f>
        <v>NX-00657</v>
      </c>
      <c r="B661" t="str">
        <f>'Raw Orders'!B661</f>
        <v>North America</v>
      </c>
      <c r="C661" t="str">
        <f>'Raw Orders'!C661</f>
        <v>US / Canada</v>
      </c>
      <c r="D661" s="11">
        <f>'Raw Orders'!E661</f>
        <v>5.7</v>
      </c>
      <c r="E661" s="12">
        <f>'Raw Orders'!F661</f>
        <v>473100</v>
      </c>
      <c r="F661" s="12">
        <f>'Raw Orders'!F661*0.75</f>
        <v>354825</v>
      </c>
      <c r="G661" s="10">
        <f>'Raw Orders'!H661</f>
        <v>46054</v>
      </c>
      <c r="H661" s="10">
        <f>'Raw Orders'!I661</f>
        <v>46054</v>
      </c>
      <c r="I661" s="11">
        <f>'Raw Orders'!K661</f>
        <v>0.01</v>
      </c>
      <c r="J661" s="11">
        <f>IF('Raw Orders'!J661,"",(YEAR('Raw Orders'!I661)-YEAR('Raw Orders'!H661))*12+MONTH('Raw Orders'!I661)-MONTH('Raw Orders'!H661))</f>
        <v>0</v>
      </c>
      <c r="K661" t="str">
        <f>IF('Raw Orders'!J661,"Cancelled",IF('Raw Orders'!K661&gt;=2,"Slipped","On plan"))</f>
        <v>On plan</v>
      </c>
      <c r="L661" s="12">
        <f t="shared" si="10"/>
        <v>0</v>
      </c>
    </row>
    <row r="662" spans="1:12" x14ac:dyDescent="0.3">
      <c r="A662" t="str">
        <f>'Raw Orders'!A662</f>
        <v>NX-00658</v>
      </c>
      <c r="B662" t="str">
        <f>'Raw Orders'!B662</f>
        <v>North America</v>
      </c>
      <c r="C662" t="str">
        <f>'Raw Orders'!C662</f>
        <v>US / Canada</v>
      </c>
      <c r="D662" s="11">
        <f>'Raw Orders'!E662</f>
        <v>9.6999999999999993</v>
      </c>
      <c r="E662" s="12">
        <f>'Raw Orders'!F662</f>
        <v>805099.99999999988</v>
      </c>
      <c r="F662" s="12">
        <f>'Raw Orders'!F662*0.75</f>
        <v>603824.99999999988</v>
      </c>
      <c r="G662" s="10">
        <f>'Raw Orders'!H662</f>
        <v>46054</v>
      </c>
      <c r="H662" s="10">
        <f>'Raw Orders'!I662</f>
        <v>46054</v>
      </c>
      <c r="I662" s="11">
        <f>'Raw Orders'!K662</f>
        <v>0.01</v>
      </c>
      <c r="J662" s="11">
        <f>IF('Raw Orders'!J662,"",(YEAR('Raw Orders'!I662)-YEAR('Raw Orders'!H662))*12+MONTH('Raw Orders'!I662)-MONTH('Raw Orders'!H662))</f>
        <v>0</v>
      </c>
      <c r="K662" t="str">
        <f>IF('Raw Orders'!J662,"Cancelled",IF('Raw Orders'!K662&gt;=2,"Slipped","On plan"))</f>
        <v>On plan</v>
      </c>
      <c r="L662" s="12">
        <f t="shared" si="10"/>
        <v>0</v>
      </c>
    </row>
    <row r="663" spans="1:12" x14ac:dyDescent="0.3">
      <c r="A663" t="str">
        <f>'Raw Orders'!A663</f>
        <v>NX-00659</v>
      </c>
      <c r="B663" t="str">
        <f>'Raw Orders'!B663</f>
        <v>North America</v>
      </c>
      <c r="C663" t="str">
        <f>'Raw Orders'!C663</f>
        <v>US / Canada</v>
      </c>
      <c r="D663" s="11">
        <f>'Raw Orders'!E663</f>
        <v>10.6</v>
      </c>
      <c r="E663" s="12">
        <f>'Raw Orders'!F663</f>
        <v>879800</v>
      </c>
      <c r="F663" s="12">
        <f>'Raw Orders'!F663*0.75</f>
        <v>659850</v>
      </c>
      <c r="G663" s="10">
        <f>'Raw Orders'!H663</f>
        <v>45992</v>
      </c>
      <c r="H663" s="10">
        <f>'Raw Orders'!I663</f>
        <v>45992</v>
      </c>
      <c r="I663" s="11">
        <f>'Raw Orders'!K663</f>
        <v>0.34</v>
      </c>
      <c r="J663" s="11">
        <f>IF('Raw Orders'!J663,"",(YEAR('Raw Orders'!I663)-YEAR('Raw Orders'!H663))*12+MONTH('Raw Orders'!I663)-MONTH('Raw Orders'!H663))</f>
        <v>0</v>
      </c>
      <c r="K663" t="str">
        <f>IF('Raw Orders'!J663,"Cancelled",IF('Raw Orders'!K663&gt;=2,"Slipped","On plan"))</f>
        <v>On plan</v>
      </c>
      <c r="L663" s="12">
        <f t="shared" si="10"/>
        <v>0</v>
      </c>
    </row>
    <row r="664" spans="1:12" x14ac:dyDescent="0.3">
      <c r="A664" t="str">
        <f>'Raw Orders'!A664</f>
        <v>NX-00660</v>
      </c>
      <c r="B664" t="str">
        <f>'Raw Orders'!B664</f>
        <v>North America</v>
      </c>
      <c r="C664" t="str">
        <f>'Raw Orders'!C664</f>
        <v>US / Canada</v>
      </c>
      <c r="D664" s="11">
        <f>'Raw Orders'!E664</f>
        <v>10.5</v>
      </c>
      <c r="E664" s="12">
        <f>'Raw Orders'!F664</f>
        <v>871500</v>
      </c>
      <c r="F664" s="12">
        <f>'Raw Orders'!F664*0.75</f>
        <v>653625</v>
      </c>
      <c r="G664" s="10">
        <f>'Raw Orders'!H664</f>
        <v>45992</v>
      </c>
      <c r="H664" s="10">
        <f>'Raw Orders'!I664</f>
        <v>45992</v>
      </c>
      <c r="I664" s="11">
        <f>'Raw Orders'!K664</f>
        <v>0.1</v>
      </c>
      <c r="J664" s="11">
        <f>IF('Raw Orders'!J664,"",(YEAR('Raw Orders'!I664)-YEAR('Raw Orders'!H664))*12+MONTH('Raw Orders'!I664)-MONTH('Raw Orders'!H664))</f>
        <v>0</v>
      </c>
      <c r="K664" t="str">
        <f>IF('Raw Orders'!J664,"Cancelled",IF('Raw Orders'!K664&gt;=2,"Slipped","On plan"))</f>
        <v>On plan</v>
      </c>
      <c r="L664" s="12">
        <f t="shared" si="10"/>
        <v>0</v>
      </c>
    </row>
    <row r="665" spans="1:12" x14ac:dyDescent="0.3">
      <c r="A665" t="str">
        <f>'Raw Orders'!A665</f>
        <v>NX-00661</v>
      </c>
      <c r="B665" t="str">
        <f>'Raw Orders'!B665</f>
        <v>North America</v>
      </c>
      <c r="C665" t="str">
        <f>'Raw Orders'!C665</f>
        <v>US / Canada</v>
      </c>
      <c r="D665" s="11">
        <f>'Raw Orders'!E665</f>
        <v>19.399999999999999</v>
      </c>
      <c r="E665" s="12">
        <f>'Raw Orders'!F665</f>
        <v>1610200</v>
      </c>
      <c r="F665" s="12">
        <f>'Raw Orders'!F665*0.75</f>
        <v>1207650</v>
      </c>
      <c r="G665" s="10">
        <f>'Raw Orders'!H665</f>
        <v>45992</v>
      </c>
      <c r="H665" s="10">
        <f>'Raw Orders'!I665</f>
        <v>45992</v>
      </c>
      <c r="I665" s="11">
        <f>'Raw Orders'!K665</f>
        <v>0.04</v>
      </c>
      <c r="J665" s="11">
        <f>IF('Raw Orders'!J665,"",(YEAR('Raw Orders'!I665)-YEAR('Raw Orders'!H665))*12+MONTH('Raw Orders'!I665)-MONTH('Raw Orders'!H665))</f>
        <v>0</v>
      </c>
      <c r="K665" t="str">
        <f>IF('Raw Orders'!J665,"Cancelled",IF('Raw Orders'!K665&gt;=2,"Slipped","On plan"))</f>
        <v>On plan</v>
      </c>
      <c r="L665" s="12">
        <f t="shared" si="10"/>
        <v>0</v>
      </c>
    </row>
    <row r="666" spans="1:12" x14ac:dyDescent="0.3">
      <c r="A666" t="str">
        <f>'Raw Orders'!A666</f>
        <v>NX-00662</v>
      </c>
      <c r="B666" t="str">
        <f>'Raw Orders'!B666</f>
        <v>North America</v>
      </c>
      <c r="C666" t="str">
        <f>'Raw Orders'!C666</f>
        <v>US / Canada</v>
      </c>
      <c r="D666" s="11">
        <f>'Raw Orders'!E666</f>
        <v>4.8</v>
      </c>
      <c r="E666" s="12">
        <f>'Raw Orders'!F666</f>
        <v>398400</v>
      </c>
      <c r="F666" s="12">
        <f>'Raw Orders'!F666*0.75</f>
        <v>298800</v>
      </c>
      <c r="G666" s="10">
        <f>'Raw Orders'!H666</f>
        <v>46113</v>
      </c>
      <c r="H666" s="10">
        <f>'Raw Orders'!I666</f>
        <v>46113</v>
      </c>
      <c r="I666" s="11">
        <f>'Raw Orders'!K666</f>
        <v>0.28000000000000003</v>
      </c>
      <c r="J666" s="11">
        <f>IF('Raw Orders'!J666,"",(YEAR('Raw Orders'!I666)-YEAR('Raw Orders'!H666))*12+MONTH('Raw Orders'!I666)-MONTH('Raw Orders'!H666))</f>
        <v>0</v>
      </c>
      <c r="K666" t="str">
        <f>IF('Raw Orders'!J666,"Cancelled",IF('Raw Orders'!K666&gt;=2,"Slipped","On plan"))</f>
        <v>On plan</v>
      </c>
      <c r="L666" s="12">
        <f t="shared" si="10"/>
        <v>0</v>
      </c>
    </row>
    <row r="667" spans="1:12" x14ac:dyDescent="0.3">
      <c r="A667" t="str">
        <f>'Raw Orders'!A667</f>
        <v>NX-00663</v>
      </c>
      <c r="B667" t="str">
        <f>'Raw Orders'!B667</f>
        <v>North America</v>
      </c>
      <c r="C667" t="str">
        <f>'Raw Orders'!C667</f>
        <v>US / Canada</v>
      </c>
      <c r="D667" s="11">
        <f>'Raw Orders'!E667</f>
        <v>20.5</v>
      </c>
      <c r="E667" s="12">
        <f>'Raw Orders'!F667</f>
        <v>1701500</v>
      </c>
      <c r="F667" s="12">
        <f>'Raw Orders'!F667*0.75</f>
        <v>1276125</v>
      </c>
      <c r="G667" s="10">
        <f>'Raw Orders'!H667</f>
        <v>46174</v>
      </c>
      <c r="H667" s="10">
        <f>'Raw Orders'!I667</f>
        <v>46174</v>
      </c>
      <c r="I667" s="11">
        <f>'Raw Orders'!K667</f>
        <v>0</v>
      </c>
      <c r="J667" s="11">
        <f>IF('Raw Orders'!J667,"",(YEAR('Raw Orders'!I667)-YEAR('Raw Orders'!H667))*12+MONTH('Raw Orders'!I667)-MONTH('Raw Orders'!H667))</f>
        <v>0</v>
      </c>
      <c r="K667" t="str">
        <f>IF('Raw Orders'!J667,"Cancelled",IF('Raw Orders'!K667&gt;=2,"Slipped","On plan"))</f>
        <v>On plan</v>
      </c>
      <c r="L667" s="12">
        <f t="shared" si="10"/>
        <v>0</v>
      </c>
    </row>
    <row r="668" spans="1:12" x14ac:dyDescent="0.3">
      <c r="A668" t="str">
        <f>'Raw Orders'!A668</f>
        <v>NX-00664</v>
      </c>
      <c r="B668" t="str">
        <f>'Raw Orders'!B668</f>
        <v>North America</v>
      </c>
      <c r="C668" t="str">
        <f>'Raw Orders'!C668</f>
        <v>US / Canada</v>
      </c>
      <c r="D668" s="11">
        <f>'Raw Orders'!E668</f>
        <v>24</v>
      </c>
      <c r="E668" s="12">
        <f>'Raw Orders'!F668</f>
        <v>1992000</v>
      </c>
      <c r="F668" s="12">
        <f>'Raw Orders'!F668*0.75</f>
        <v>1494000</v>
      </c>
      <c r="G668" s="10">
        <f>'Raw Orders'!H668</f>
        <v>46143</v>
      </c>
      <c r="H668" s="10">
        <f>'Raw Orders'!I668</f>
        <v>46174</v>
      </c>
      <c r="I668" s="11">
        <f>'Raw Orders'!K668</f>
        <v>0.85</v>
      </c>
      <c r="J668" s="11">
        <f>IF('Raw Orders'!J668,"",(YEAR('Raw Orders'!I668)-YEAR('Raw Orders'!H668))*12+MONTH('Raw Orders'!I668)-MONTH('Raw Orders'!H668))</f>
        <v>1</v>
      </c>
      <c r="K668" t="str">
        <f>IF('Raw Orders'!J668,"Cancelled",IF('Raw Orders'!K668&gt;=2,"Slipped","On plan"))</f>
        <v>On plan</v>
      </c>
      <c r="L668" s="12">
        <f t="shared" si="10"/>
        <v>0</v>
      </c>
    </row>
    <row r="669" spans="1:12" x14ac:dyDescent="0.3">
      <c r="A669" t="str">
        <f>'Raw Orders'!A669</f>
        <v>NX-00665</v>
      </c>
      <c r="B669" t="str">
        <f>'Raw Orders'!B669</f>
        <v>North America</v>
      </c>
      <c r="C669" t="str">
        <f>'Raw Orders'!C669</f>
        <v>US / Canada</v>
      </c>
      <c r="D669" s="11">
        <f>'Raw Orders'!E669</f>
        <v>31.3</v>
      </c>
      <c r="E669" s="12">
        <f>'Raw Orders'!F669</f>
        <v>2597900</v>
      </c>
      <c r="F669" s="12">
        <f>'Raw Orders'!F669*0.75</f>
        <v>1948425</v>
      </c>
      <c r="G669" s="10">
        <f>'Raw Orders'!H669</f>
        <v>46082</v>
      </c>
      <c r="H669" s="10">
        <f>'Raw Orders'!I669</f>
        <v>46082</v>
      </c>
      <c r="I669" s="11">
        <f>'Raw Orders'!K669</f>
        <v>0.4</v>
      </c>
      <c r="J669" s="11">
        <f>IF('Raw Orders'!J669,"",(YEAR('Raw Orders'!I669)-YEAR('Raw Orders'!H669))*12+MONTH('Raw Orders'!I669)-MONTH('Raw Orders'!H669))</f>
        <v>0</v>
      </c>
      <c r="K669" t="str">
        <f>IF('Raw Orders'!J669,"Cancelled",IF('Raw Orders'!K669&gt;=2,"Slipped","On plan"))</f>
        <v>On plan</v>
      </c>
      <c r="L669" s="12">
        <f t="shared" si="10"/>
        <v>0</v>
      </c>
    </row>
    <row r="670" spans="1:12" x14ac:dyDescent="0.3">
      <c r="A670" t="str">
        <f>'Raw Orders'!A670</f>
        <v>NX-00666</v>
      </c>
      <c r="B670" t="str">
        <f>'Raw Orders'!B670</f>
        <v>North America</v>
      </c>
      <c r="C670" t="str">
        <f>'Raw Orders'!C670</f>
        <v>US / Canada</v>
      </c>
      <c r="D670" s="11">
        <f>'Raw Orders'!E670</f>
        <v>8.6</v>
      </c>
      <c r="E670" s="12">
        <f>'Raw Orders'!F670</f>
        <v>713800</v>
      </c>
      <c r="F670" s="12">
        <f>'Raw Orders'!F670*0.75</f>
        <v>535350</v>
      </c>
      <c r="G670" s="10">
        <f>'Raw Orders'!H670</f>
        <v>46143</v>
      </c>
      <c r="H670" s="10">
        <f>'Raw Orders'!I670</f>
        <v>46143</v>
      </c>
      <c r="I670" s="11">
        <f>'Raw Orders'!K670</f>
        <v>0.01</v>
      </c>
      <c r="J670" s="11">
        <f>IF('Raw Orders'!J670,"",(YEAR('Raw Orders'!I670)-YEAR('Raw Orders'!H670))*12+MONTH('Raw Orders'!I670)-MONTH('Raw Orders'!H670))</f>
        <v>0</v>
      </c>
      <c r="K670" t="str">
        <f>IF('Raw Orders'!J670,"Cancelled",IF('Raw Orders'!K670&gt;=2,"Slipped","On plan"))</f>
        <v>On plan</v>
      </c>
      <c r="L670" s="12">
        <f t="shared" si="10"/>
        <v>0</v>
      </c>
    </row>
    <row r="671" spans="1:12" x14ac:dyDescent="0.3">
      <c r="A671" t="str">
        <f>'Raw Orders'!A671</f>
        <v>NX-00667</v>
      </c>
      <c r="B671" t="str">
        <f>'Raw Orders'!B671</f>
        <v>North America</v>
      </c>
      <c r="C671" t="str">
        <f>'Raw Orders'!C671</f>
        <v>US / Canada</v>
      </c>
      <c r="D671" s="11">
        <f>'Raw Orders'!E671</f>
        <v>10</v>
      </c>
      <c r="E671" s="12">
        <f>'Raw Orders'!F671</f>
        <v>830000</v>
      </c>
      <c r="F671" s="12">
        <f>'Raw Orders'!F671*0.75</f>
        <v>622500</v>
      </c>
      <c r="G671" s="10">
        <f>'Raw Orders'!H671</f>
        <v>45992</v>
      </c>
      <c r="H671" s="10">
        <f>'Raw Orders'!I671</f>
        <v>46023</v>
      </c>
      <c r="I671" s="11">
        <f>'Raw Orders'!K671</f>
        <v>0.88</v>
      </c>
      <c r="J671" s="11">
        <f>IF('Raw Orders'!J671,"",(YEAR('Raw Orders'!I671)-YEAR('Raw Orders'!H671))*12+MONTH('Raw Orders'!I671)-MONTH('Raw Orders'!H671))</f>
        <v>1</v>
      </c>
      <c r="K671" t="str">
        <f>IF('Raw Orders'!J671,"Cancelled",IF('Raw Orders'!K671&gt;=2,"Slipped","On plan"))</f>
        <v>On plan</v>
      </c>
      <c r="L671" s="12">
        <f t="shared" si="10"/>
        <v>0</v>
      </c>
    </row>
    <row r="672" spans="1:12" x14ac:dyDescent="0.3">
      <c r="A672" t="str">
        <f>'Raw Orders'!A672</f>
        <v>NX-00668</v>
      </c>
      <c r="B672" t="str">
        <f>'Raw Orders'!B672</f>
        <v>North America</v>
      </c>
      <c r="C672" t="str">
        <f>'Raw Orders'!C672</f>
        <v>US / Canada</v>
      </c>
      <c r="D672" s="11">
        <f>'Raw Orders'!E672</f>
        <v>9.5</v>
      </c>
      <c r="E672" s="12">
        <f>'Raw Orders'!F672</f>
        <v>788500</v>
      </c>
      <c r="F672" s="12">
        <f>'Raw Orders'!F672*0.75</f>
        <v>591375</v>
      </c>
      <c r="G672" s="10">
        <f>'Raw Orders'!H672</f>
        <v>46143</v>
      </c>
      <c r="H672" s="10">
        <f>'Raw Orders'!I672</f>
        <v>46143</v>
      </c>
      <c r="I672" s="11">
        <f>'Raw Orders'!K672</f>
        <v>0.1</v>
      </c>
      <c r="J672" s="11">
        <f>IF('Raw Orders'!J672,"",(YEAR('Raw Orders'!I672)-YEAR('Raw Orders'!H672))*12+MONTH('Raw Orders'!I672)-MONTH('Raw Orders'!H672))</f>
        <v>0</v>
      </c>
      <c r="K672" t="str">
        <f>IF('Raw Orders'!J672,"Cancelled",IF('Raw Orders'!K672&gt;=2,"Slipped","On plan"))</f>
        <v>On plan</v>
      </c>
      <c r="L672" s="12">
        <f t="shared" si="10"/>
        <v>0</v>
      </c>
    </row>
    <row r="673" spans="1:12" x14ac:dyDescent="0.3">
      <c r="A673" t="str">
        <f>'Raw Orders'!A673</f>
        <v>NX-00669</v>
      </c>
      <c r="B673" t="str">
        <f>'Raw Orders'!B673</f>
        <v>North America</v>
      </c>
      <c r="C673" t="str">
        <f>'Raw Orders'!C673</f>
        <v>US / Canada</v>
      </c>
      <c r="D673" s="11">
        <f>'Raw Orders'!E673</f>
        <v>4.0999999999999996</v>
      </c>
      <c r="E673" s="12">
        <f>'Raw Orders'!F673</f>
        <v>340299.99999999988</v>
      </c>
      <c r="F673" s="12">
        <f>'Raw Orders'!F673*0.75</f>
        <v>255224.99999999991</v>
      </c>
      <c r="G673" s="10">
        <f>'Raw Orders'!H673</f>
        <v>46174</v>
      </c>
      <c r="H673" s="10">
        <f>'Raw Orders'!I673</f>
        <v>46174</v>
      </c>
      <c r="I673" s="11">
        <f>'Raw Orders'!K673</f>
        <v>0.08</v>
      </c>
      <c r="J673" s="11">
        <f>IF('Raw Orders'!J673,"",(YEAR('Raw Orders'!I673)-YEAR('Raw Orders'!H673))*12+MONTH('Raw Orders'!I673)-MONTH('Raw Orders'!H673))</f>
        <v>0</v>
      </c>
      <c r="K673" t="str">
        <f>IF('Raw Orders'!J673,"Cancelled",IF('Raw Orders'!K673&gt;=2,"Slipped","On plan"))</f>
        <v>On plan</v>
      </c>
      <c r="L673" s="12">
        <f t="shared" si="10"/>
        <v>0</v>
      </c>
    </row>
    <row r="674" spans="1:12" x14ac:dyDescent="0.3">
      <c r="A674" t="str">
        <f>'Raw Orders'!A674</f>
        <v>NX-00670</v>
      </c>
      <c r="B674" t="str">
        <f>'Raw Orders'!B674</f>
        <v>North America</v>
      </c>
      <c r="C674" t="str">
        <f>'Raw Orders'!C674</f>
        <v>US / Canada</v>
      </c>
      <c r="D674" s="11">
        <f>'Raw Orders'!E674</f>
        <v>23.5</v>
      </c>
      <c r="E674" s="12">
        <f>'Raw Orders'!F674</f>
        <v>1950500</v>
      </c>
      <c r="F674" s="12">
        <f>'Raw Orders'!F674*0.75</f>
        <v>1462875</v>
      </c>
      <c r="G674" s="10">
        <f>'Raw Orders'!H674</f>
        <v>45992</v>
      </c>
      <c r="H674" s="10">
        <f>'Raw Orders'!I674</f>
        <v>45992</v>
      </c>
      <c r="I674" s="11">
        <f>'Raw Orders'!K674</f>
        <v>0.41</v>
      </c>
      <c r="J674" s="11">
        <f>IF('Raw Orders'!J674,"",(YEAR('Raw Orders'!I674)-YEAR('Raw Orders'!H674))*12+MONTH('Raw Orders'!I674)-MONTH('Raw Orders'!H674))</f>
        <v>0</v>
      </c>
      <c r="K674" t="str">
        <f>IF('Raw Orders'!J674,"Cancelled",IF('Raw Orders'!K674&gt;=2,"Slipped","On plan"))</f>
        <v>On plan</v>
      </c>
      <c r="L674" s="12">
        <f t="shared" si="10"/>
        <v>0</v>
      </c>
    </row>
    <row r="675" spans="1:12" x14ac:dyDescent="0.3">
      <c r="A675" t="str">
        <f>'Raw Orders'!A675</f>
        <v>NX-00671</v>
      </c>
      <c r="B675" t="str">
        <f>'Raw Orders'!B675</f>
        <v>North America</v>
      </c>
      <c r="C675" t="str">
        <f>'Raw Orders'!C675</f>
        <v>US / Canada</v>
      </c>
      <c r="D675" s="11">
        <f>'Raw Orders'!E675</f>
        <v>36.6</v>
      </c>
      <c r="E675" s="12">
        <f>'Raw Orders'!F675</f>
        <v>3037800</v>
      </c>
      <c r="F675" s="12">
        <f>'Raw Orders'!F675*0.75</f>
        <v>2278350</v>
      </c>
      <c r="G675" s="10">
        <f>'Raw Orders'!H675</f>
        <v>46082</v>
      </c>
      <c r="H675" s="10">
        <f>'Raw Orders'!I675</f>
        <v>46082</v>
      </c>
      <c r="I675" s="11">
        <f>'Raw Orders'!K675</f>
        <v>0.11</v>
      </c>
      <c r="J675" s="11">
        <f>IF('Raw Orders'!J675,"",(YEAR('Raw Orders'!I675)-YEAR('Raw Orders'!H675))*12+MONTH('Raw Orders'!I675)-MONTH('Raw Orders'!H675))</f>
        <v>0</v>
      </c>
      <c r="K675" t="str">
        <f>IF('Raw Orders'!J675,"Cancelled",IF('Raw Orders'!K675&gt;=2,"Slipped","On plan"))</f>
        <v>On plan</v>
      </c>
      <c r="L675" s="12">
        <f t="shared" si="10"/>
        <v>0</v>
      </c>
    </row>
    <row r="676" spans="1:12" x14ac:dyDescent="0.3">
      <c r="A676" t="str">
        <f>'Raw Orders'!A676</f>
        <v>NX-00672</v>
      </c>
      <c r="B676" t="str">
        <f>'Raw Orders'!B676</f>
        <v>North America</v>
      </c>
      <c r="C676" t="str">
        <f>'Raw Orders'!C676</f>
        <v>US / Canada</v>
      </c>
      <c r="D676" s="11">
        <f>'Raw Orders'!E676</f>
        <v>2.4</v>
      </c>
      <c r="E676" s="12">
        <f>'Raw Orders'!F676</f>
        <v>199200</v>
      </c>
      <c r="F676" s="12">
        <f>'Raw Orders'!F676*0.75</f>
        <v>149400</v>
      </c>
      <c r="G676" s="10">
        <f>'Raw Orders'!H676</f>
        <v>46113</v>
      </c>
      <c r="H676" s="10">
        <f>'Raw Orders'!I676</f>
        <v>46266</v>
      </c>
      <c r="I676" s="11">
        <f>'Raw Orders'!K676</f>
        <v>5.13</v>
      </c>
      <c r="J676" s="11">
        <f>IF('Raw Orders'!J676,"",(YEAR('Raw Orders'!I676)-YEAR('Raw Orders'!H676))*12+MONTH('Raw Orders'!I676)-MONTH('Raw Orders'!H676))</f>
        <v>5</v>
      </c>
      <c r="K676" t="str">
        <f>IF('Raw Orders'!J676,"Cancelled",IF('Raw Orders'!K676&gt;=2,"Slipped","On plan"))</f>
        <v>Slipped</v>
      </c>
      <c r="L676" s="12">
        <f t="shared" si="10"/>
        <v>149400</v>
      </c>
    </row>
    <row r="677" spans="1:12" x14ac:dyDescent="0.3">
      <c r="A677" t="str">
        <f>'Raw Orders'!A677</f>
        <v>NX-00673</v>
      </c>
      <c r="B677" t="str">
        <f>'Raw Orders'!B677</f>
        <v>North America</v>
      </c>
      <c r="C677" t="str">
        <f>'Raw Orders'!C677</f>
        <v>US / Canada</v>
      </c>
      <c r="D677" s="11">
        <f>'Raw Orders'!E677</f>
        <v>23.6</v>
      </c>
      <c r="E677" s="12">
        <f>'Raw Orders'!F677</f>
        <v>1958800</v>
      </c>
      <c r="F677" s="12">
        <f>'Raw Orders'!F677*0.75</f>
        <v>1469100</v>
      </c>
      <c r="G677" s="10">
        <f>'Raw Orders'!H677</f>
        <v>46174</v>
      </c>
      <c r="H677" s="10">
        <f>'Raw Orders'!I677</f>
        <v>46174</v>
      </c>
      <c r="I677" s="11">
        <f>'Raw Orders'!K677</f>
        <v>0.04</v>
      </c>
      <c r="J677" s="11">
        <f>IF('Raw Orders'!J677,"",(YEAR('Raw Orders'!I677)-YEAR('Raw Orders'!H677))*12+MONTH('Raw Orders'!I677)-MONTH('Raw Orders'!H677))</f>
        <v>0</v>
      </c>
      <c r="K677" t="str">
        <f>IF('Raw Orders'!J677,"Cancelled",IF('Raw Orders'!K677&gt;=2,"Slipped","On plan"))</f>
        <v>On plan</v>
      </c>
      <c r="L677" s="12">
        <f t="shared" si="10"/>
        <v>0</v>
      </c>
    </row>
    <row r="678" spans="1:12" x14ac:dyDescent="0.3">
      <c r="A678" t="str">
        <f>'Raw Orders'!A678</f>
        <v>NX-00674</v>
      </c>
      <c r="B678" t="str">
        <f>'Raw Orders'!B678</f>
        <v>North America</v>
      </c>
      <c r="C678" t="str">
        <f>'Raw Orders'!C678</f>
        <v>US / Canada</v>
      </c>
      <c r="D678" s="11">
        <f>'Raw Orders'!E678</f>
        <v>30.4</v>
      </c>
      <c r="E678" s="12">
        <f>'Raw Orders'!F678</f>
        <v>2523200</v>
      </c>
      <c r="F678" s="12">
        <f>'Raw Orders'!F678*0.75</f>
        <v>1892400</v>
      </c>
      <c r="G678" s="10">
        <f>'Raw Orders'!H678</f>
        <v>46113</v>
      </c>
      <c r="H678" s="10">
        <f>'Raw Orders'!I678</f>
        <v>46235</v>
      </c>
      <c r="I678" s="11">
        <f>'Raw Orders'!K678</f>
        <v>3.87</v>
      </c>
      <c r="J678" s="11">
        <f>IF('Raw Orders'!J678,"",(YEAR('Raw Orders'!I678)-YEAR('Raw Orders'!H678))*12+MONTH('Raw Orders'!I678)-MONTH('Raw Orders'!H678))</f>
        <v>4</v>
      </c>
      <c r="K678" t="str">
        <f>IF('Raw Orders'!J678,"Cancelled",IF('Raw Orders'!K678&gt;=2,"Slipped","On plan"))</f>
        <v>Slipped</v>
      </c>
      <c r="L678" s="12">
        <f t="shared" si="10"/>
        <v>1892400</v>
      </c>
    </row>
    <row r="679" spans="1:12" x14ac:dyDescent="0.3">
      <c r="A679" t="str">
        <f>'Raw Orders'!A679</f>
        <v>NX-00675</v>
      </c>
      <c r="B679" t="str">
        <f>'Raw Orders'!B679</f>
        <v>North America</v>
      </c>
      <c r="C679" t="str">
        <f>'Raw Orders'!C679</f>
        <v>US / Canada</v>
      </c>
      <c r="D679" s="11">
        <f>'Raw Orders'!E679</f>
        <v>28.1</v>
      </c>
      <c r="E679" s="12">
        <f>'Raw Orders'!F679</f>
        <v>2332300</v>
      </c>
      <c r="F679" s="12">
        <f>'Raw Orders'!F679*0.75</f>
        <v>1749225</v>
      </c>
      <c r="G679" s="10">
        <f>'Raw Orders'!H679</f>
        <v>46023</v>
      </c>
      <c r="H679" s="10">
        <f>'Raw Orders'!I679</f>
        <v>46054</v>
      </c>
      <c r="I679" s="11">
        <f>'Raw Orders'!K679</f>
        <v>0.78</v>
      </c>
      <c r="J679" s="11">
        <f>IF('Raw Orders'!J679,"",(YEAR('Raw Orders'!I679)-YEAR('Raw Orders'!H679))*12+MONTH('Raw Orders'!I679)-MONTH('Raw Orders'!H679))</f>
        <v>1</v>
      </c>
      <c r="K679" t="str">
        <f>IF('Raw Orders'!J679,"Cancelled",IF('Raw Orders'!K679&gt;=2,"Slipped","On plan"))</f>
        <v>On plan</v>
      </c>
      <c r="L679" s="12">
        <f t="shared" si="10"/>
        <v>0</v>
      </c>
    </row>
    <row r="680" spans="1:12" x14ac:dyDescent="0.3">
      <c r="A680" t="str">
        <f>'Raw Orders'!A680</f>
        <v>NX-00676</v>
      </c>
      <c r="B680" t="str">
        <f>'Raw Orders'!B680</f>
        <v>EMEA</v>
      </c>
      <c r="C680" t="str">
        <f>'Raw Orders'!C680</f>
        <v>Europe</v>
      </c>
      <c r="D680" s="11">
        <f>'Raw Orders'!E680</f>
        <v>18.899999999999999</v>
      </c>
      <c r="E680" s="12">
        <f>'Raw Orders'!F680</f>
        <v>1663200</v>
      </c>
      <c r="F680" s="12">
        <f>'Raw Orders'!F680*0.75</f>
        <v>1247400</v>
      </c>
      <c r="G680" s="10">
        <f>'Raw Orders'!H680</f>
        <v>45992</v>
      </c>
      <c r="H680" s="10">
        <f>'Raw Orders'!I680</f>
        <v>45992</v>
      </c>
      <c r="I680" s="11">
        <f>'Raw Orders'!K680</f>
        <v>0.32</v>
      </c>
      <c r="J680" s="11">
        <f>IF('Raw Orders'!J680,"",(YEAR('Raw Orders'!I680)-YEAR('Raw Orders'!H680))*12+MONTH('Raw Orders'!I680)-MONTH('Raw Orders'!H680))</f>
        <v>0</v>
      </c>
      <c r="K680" t="str">
        <f>IF('Raw Orders'!J680,"Cancelled",IF('Raw Orders'!K680&gt;=2,"Slipped","On plan"))</f>
        <v>On plan</v>
      </c>
      <c r="L680" s="12">
        <f t="shared" si="10"/>
        <v>0</v>
      </c>
    </row>
    <row r="681" spans="1:12" x14ac:dyDescent="0.3">
      <c r="A681" t="str">
        <f>'Raw Orders'!A681</f>
        <v>NX-00677</v>
      </c>
      <c r="B681" t="str">
        <f>'Raw Orders'!B681</f>
        <v>EMEA</v>
      </c>
      <c r="C681" t="str">
        <f>'Raw Orders'!C681</f>
        <v>Europe</v>
      </c>
      <c r="D681" s="11">
        <f>'Raw Orders'!E681</f>
        <v>5.0999999999999996</v>
      </c>
      <c r="E681" s="12">
        <f>'Raw Orders'!F681</f>
        <v>448800</v>
      </c>
      <c r="F681" s="12">
        <f>'Raw Orders'!F681*0.75</f>
        <v>336600</v>
      </c>
      <c r="G681" s="10">
        <f>'Raw Orders'!H681</f>
        <v>46082</v>
      </c>
      <c r="H681" s="10">
        <f>'Raw Orders'!I681</f>
        <v>46082</v>
      </c>
      <c r="I681" s="11">
        <f>'Raw Orders'!K681</f>
        <v>0.01</v>
      </c>
      <c r="J681" s="11">
        <f>IF('Raw Orders'!J681,"",(YEAR('Raw Orders'!I681)-YEAR('Raw Orders'!H681))*12+MONTH('Raw Orders'!I681)-MONTH('Raw Orders'!H681))</f>
        <v>0</v>
      </c>
      <c r="K681" t="str">
        <f>IF('Raw Orders'!J681,"Cancelled",IF('Raw Orders'!K681&gt;=2,"Slipped","On plan"))</f>
        <v>On plan</v>
      </c>
      <c r="L681" s="12">
        <f t="shared" si="10"/>
        <v>0</v>
      </c>
    </row>
    <row r="682" spans="1:12" x14ac:dyDescent="0.3">
      <c r="A682" t="str">
        <f>'Raw Orders'!A682</f>
        <v>NX-00678</v>
      </c>
      <c r="B682" t="str">
        <f>'Raw Orders'!B682</f>
        <v>EMEA</v>
      </c>
      <c r="C682" t="str">
        <f>'Raw Orders'!C682</f>
        <v>Europe</v>
      </c>
      <c r="D682" s="11">
        <f>'Raw Orders'!E682</f>
        <v>13.9</v>
      </c>
      <c r="E682" s="12">
        <f>'Raw Orders'!F682</f>
        <v>1223200</v>
      </c>
      <c r="F682" s="12">
        <f>'Raw Orders'!F682*0.75</f>
        <v>917400</v>
      </c>
      <c r="G682" s="10">
        <f>'Raw Orders'!H682</f>
        <v>46174</v>
      </c>
      <c r="H682" s="10">
        <f>'Raw Orders'!I682</f>
        <v>46266</v>
      </c>
      <c r="I682" s="11">
        <f>'Raw Orders'!K682</f>
        <v>2.87</v>
      </c>
      <c r="J682" s="11">
        <f>IF('Raw Orders'!J682,"",(YEAR('Raw Orders'!I682)-YEAR('Raw Orders'!H682))*12+MONTH('Raw Orders'!I682)-MONTH('Raw Orders'!H682))</f>
        <v>3</v>
      </c>
      <c r="K682" t="str">
        <f>IF('Raw Orders'!J682,"Cancelled",IF('Raw Orders'!K682&gt;=2,"Slipped","On plan"))</f>
        <v>Slipped</v>
      </c>
      <c r="L682" s="12">
        <f t="shared" si="10"/>
        <v>917400</v>
      </c>
    </row>
    <row r="683" spans="1:12" x14ac:dyDescent="0.3">
      <c r="A683" t="str">
        <f>'Raw Orders'!A683</f>
        <v>NX-00679</v>
      </c>
      <c r="B683" t="str">
        <f>'Raw Orders'!B683</f>
        <v>EMEA</v>
      </c>
      <c r="C683" t="str">
        <f>'Raw Orders'!C683</f>
        <v>Europe</v>
      </c>
      <c r="D683" s="11">
        <f>'Raw Orders'!E683</f>
        <v>14</v>
      </c>
      <c r="E683" s="12">
        <f>'Raw Orders'!F683</f>
        <v>1232000</v>
      </c>
      <c r="F683" s="12">
        <f>'Raw Orders'!F683*0.75</f>
        <v>924000</v>
      </c>
      <c r="G683" s="10">
        <f>'Raw Orders'!H683</f>
        <v>46174</v>
      </c>
      <c r="H683" s="10">
        <f>'Raw Orders'!I683</f>
        <v>46174</v>
      </c>
      <c r="I683" s="11">
        <f>'Raw Orders'!K683</f>
        <v>0.31</v>
      </c>
      <c r="J683" s="11">
        <f>IF('Raw Orders'!J683,"",(YEAR('Raw Orders'!I683)-YEAR('Raw Orders'!H683))*12+MONTH('Raw Orders'!I683)-MONTH('Raw Orders'!H683))</f>
        <v>0</v>
      </c>
      <c r="K683" t="str">
        <f>IF('Raw Orders'!J683,"Cancelled",IF('Raw Orders'!K683&gt;=2,"Slipped","On plan"))</f>
        <v>On plan</v>
      </c>
      <c r="L683" s="12">
        <f t="shared" si="10"/>
        <v>0</v>
      </c>
    </row>
    <row r="684" spans="1:12" x14ac:dyDescent="0.3">
      <c r="A684" t="str">
        <f>'Raw Orders'!A684</f>
        <v>NX-00680</v>
      </c>
      <c r="B684" t="str">
        <f>'Raw Orders'!B684</f>
        <v>EMEA</v>
      </c>
      <c r="C684" t="str">
        <f>'Raw Orders'!C684</f>
        <v>Europe</v>
      </c>
      <c r="D684" s="11">
        <f>'Raw Orders'!E684</f>
        <v>40.6</v>
      </c>
      <c r="E684" s="12">
        <f>'Raw Orders'!F684</f>
        <v>3572800</v>
      </c>
      <c r="F684" s="12">
        <f>'Raw Orders'!F684*0.75</f>
        <v>2679600</v>
      </c>
      <c r="G684" s="10">
        <f>'Raw Orders'!H684</f>
        <v>46054</v>
      </c>
      <c r="H684" s="10">
        <f>'Raw Orders'!I684</f>
        <v>46082</v>
      </c>
      <c r="I684" s="11">
        <f>'Raw Orders'!K684</f>
        <v>0.75</v>
      </c>
      <c r="J684" s="11">
        <f>IF('Raw Orders'!J684,"",(YEAR('Raw Orders'!I684)-YEAR('Raw Orders'!H684))*12+MONTH('Raw Orders'!I684)-MONTH('Raw Orders'!H684))</f>
        <v>1</v>
      </c>
      <c r="K684" t="str">
        <f>IF('Raw Orders'!J684,"Cancelled",IF('Raw Orders'!K684&gt;=2,"Slipped","On plan"))</f>
        <v>On plan</v>
      </c>
      <c r="L684" s="12">
        <f t="shared" si="10"/>
        <v>0</v>
      </c>
    </row>
    <row r="685" spans="1:12" x14ac:dyDescent="0.3">
      <c r="A685" t="str">
        <f>'Raw Orders'!A685</f>
        <v>NX-00681</v>
      </c>
      <c r="B685" t="str">
        <f>'Raw Orders'!B685</f>
        <v>EMEA</v>
      </c>
      <c r="C685" t="str">
        <f>'Raw Orders'!C685</f>
        <v>MENA</v>
      </c>
      <c r="D685" s="11">
        <f>'Raw Orders'!E685</f>
        <v>17.3</v>
      </c>
      <c r="E685" s="12">
        <f>'Raw Orders'!F685</f>
        <v>1401300</v>
      </c>
      <c r="F685" s="12">
        <f>'Raw Orders'!F685*0.75</f>
        <v>1050975</v>
      </c>
      <c r="G685" s="10">
        <f>'Raw Orders'!H685</f>
        <v>46054</v>
      </c>
      <c r="H685" s="10">
        <f>'Raw Orders'!I685</f>
        <v>46296</v>
      </c>
      <c r="I685" s="11">
        <f>'Raw Orders'!K685</f>
        <v>7.6</v>
      </c>
      <c r="J685" s="11">
        <f>IF('Raw Orders'!J685,"",(YEAR('Raw Orders'!I685)-YEAR('Raw Orders'!H685))*12+MONTH('Raw Orders'!I685)-MONTH('Raw Orders'!H685))</f>
        <v>8</v>
      </c>
      <c r="K685" t="str">
        <f>IF('Raw Orders'!J685,"Cancelled",IF('Raw Orders'!K685&gt;=2,"Slipped","On plan"))</f>
        <v>Slipped</v>
      </c>
      <c r="L685" s="12">
        <f t="shared" si="10"/>
        <v>1050975</v>
      </c>
    </row>
    <row r="686" spans="1:12" x14ac:dyDescent="0.3">
      <c r="A686" t="str">
        <f>'Raw Orders'!A686</f>
        <v>NX-00682</v>
      </c>
      <c r="B686" t="str">
        <f>'Raw Orders'!B686</f>
        <v>EMEA</v>
      </c>
      <c r="C686" t="str">
        <f>'Raw Orders'!C686</f>
        <v>MENA</v>
      </c>
      <c r="D686" s="11">
        <f>'Raw Orders'!E686</f>
        <v>15.7</v>
      </c>
      <c r="E686" s="12">
        <f>'Raw Orders'!F686</f>
        <v>1271700</v>
      </c>
      <c r="F686" s="12">
        <f>'Raw Orders'!F686*0.75</f>
        <v>953775</v>
      </c>
      <c r="G686" s="10">
        <f>'Raw Orders'!H686</f>
        <v>46113</v>
      </c>
      <c r="H686" s="10">
        <f>'Raw Orders'!I686</f>
        <v>46357</v>
      </c>
      <c r="I686" s="11">
        <f>'Raw Orders'!K686</f>
        <v>7.84</v>
      </c>
      <c r="J686" s="11">
        <f>IF('Raw Orders'!J686,"",(YEAR('Raw Orders'!I686)-YEAR('Raw Orders'!H686))*12+MONTH('Raw Orders'!I686)-MONTH('Raw Orders'!H686))</f>
        <v>8</v>
      </c>
      <c r="K686" t="str">
        <f>IF('Raw Orders'!J686,"Cancelled",IF('Raw Orders'!K686&gt;=2,"Slipped","On plan"))</f>
        <v>Slipped</v>
      </c>
      <c r="L686" s="12">
        <f t="shared" si="10"/>
        <v>953775</v>
      </c>
    </row>
    <row r="687" spans="1:12" x14ac:dyDescent="0.3">
      <c r="A687" t="str">
        <f>'Raw Orders'!A687</f>
        <v>NX-00683</v>
      </c>
      <c r="B687" t="str">
        <f>'Raw Orders'!B687</f>
        <v>EMEA</v>
      </c>
      <c r="C687" t="str">
        <f>'Raw Orders'!C687</f>
        <v>MENA</v>
      </c>
      <c r="D687" s="11">
        <f>'Raw Orders'!E687</f>
        <v>17.7</v>
      </c>
      <c r="E687" s="12">
        <f>'Raw Orders'!F687</f>
        <v>1433700</v>
      </c>
      <c r="F687" s="12">
        <f>'Raw Orders'!F687*0.75</f>
        <v>1075275</v>
      </c>
      <c r="G687" s="10">
        <f>'Raw Orders'!H687</f>
        <v>45992</v>
      </c>
      <c r="H687" s="10">
        <f>'Raw Orders'!I687</f>
        <v>46023</v>
      </c>
      <c r="I687" s="11">
        <f>'Raw Orders'!K687</f>
        <v>0.99</v>
      </c>
      <c r="J687" s="11">
        <f>IF('Raw Orders'!J687,"",(YEAR('Raw Orders'!I687)-YEAR('Raw Orders'!H687))*12+MONTH('Raw Orders'!I687)-MONTH('Raw Orders'!H687))</f>
        <v>1</v>
      </c>
      <c r="K687" t="str">
        <f>IF('Raw Orders'!J687,"Cancelled",IF('Raw Orders'!K687&gt;=2,"Slipped","On plan"))</f>
        <v>On plan</v>
      </c>
      <c r="L687" s="12">
        <f t="shared" si="10"/>
        <v>0</v>
      </c>
    </row>
    <row r="688" spans="1:12" x14ac:dyDescent="0.3">
      <c r="A688" t="str">
        <f>'Raw Orders'!A688</f>
        <v>NX-00684</v>
      </c>
      <c r="B688" t="str">
        <f>'Raw Orders'!B688</f>
        <v>EMEA</v>
      </c>
      <c r="C688" t="str">
        <f>'Raw Orders'!C688</f>
        <v>MENA</v>
      </c>
      <c r="D688" s="11">
        <f>'Raw Orders'!E688</f>
        <v>7.6</v>
      </c>
      <c r="E688" s="12">
        <f>'Raw Orders'!F688</f>
        <v>615600</v>
      </c>
      <c r="F688" s="12">
        <f>'Raw Orders'!F688*0.75</f>
        <v>461700</v>
      </c>
      <c r="G688" s="10">
        <f>'Raw Orders'!H688</f>
        <v>46082</v>
      </c>
      <c r="H688" s="10">
        <f>'Raw Orders'!I688</f>
        <v>46082</v>
      </c>
      <c r="I688" s="11">
        <f>'Raw Orders'!K688</f>
        <v>0.42</v>
      </c>
      <c r="J688" s="11">
        <f>IF('Raw Orders'!J688,"",(YEAR('Raw Orders'!I688)-YEAR('Raw Orders'!H688))*12+MONTH('Raw Orders'!I688)-MONTH('Raw Orders'!H688))</f>
        <v>0</v>
      </c>
      <c r="K688" t="str">
        <f>IF('Raw Orders'!J688,"Cancelled",IF('Raw Orders'!K688&gt;=2,"Slipped","On plan"))</f>
        <v>On plan</v>
      </c>
      <c r="L688" s="12">
        <f t="shared" si="10"/>
        <v>0</v>
      </c>
    </row>
    <row r="689" spans="1:12" x14ac:dyDescent="0.3">
      <c r="A689" t="str">
        <f>'Raw Orders'!A689</f>
        <v>NX-00685</v>
      </c>
      <c r="B689" t="str">
        <f>'Raw Orders'!B689</f>
        <v>LATAM</v>
      </c>
      <c r="C689" t="str">
        <f>'Raw Orders'!C689</f>
        <v>LATAM</v>
      </c>
      <c r="D689" s="11">
        <f>'Raw Orders'!E689</f>
        <v>7.5</v>
      </c>
      <c r="E689" s="12">
        <f>'Raw Orders'!F689</f>
        <v>592500</v>
      </c>
      <c r="F689" s="12">
        <f>'Raw Orders'!F689*0.75</f>
        <v>444375</v>
      </c>
      <c r="G689" s="10">
        <f>'Raw Orders'!H689</f>
        <v>45992</v>
      </c>
      <c r="H689" s="10">
        <f>'Raw Orders'!I689</f>
        <v>45992</v>
      </c>
      <c r="I689" s="11">
        <f>'Raw Orders'!K689</f>
        <v>0.01</v>
      </c>
      <c r="J689" s="11">
        <f>IF('Raw Orders'!J689,"",(YEAR('Raw Orders'!I689)-YEAR('Raw Orders'!H689))*12+MONTH('Raw Orders'!I689)-MONTH('Raw Orders'!H689))</f>
        <v>0</v>
      </c>
      <c r="K689" t="str">
        <f>IF('Raw Orders'!J689,"Cancelled",IF('Raw Orders'!K689&gt;=2,"Slipped","On plan"))</f>
        <v>On plan</v>
      </c>
      <c r="L689" s="12">
        <f t="shared" si="10"/>
        <v>0</v>
      </c>
    </row>
    <row r="690" spans="1:12" x14ac:dyDescent="0.3">
      <c r="A690" t="str">
        <f>'Raw Orders'!A690</f>
        <v>NX-00686</v>
      </c>
      <c r="B690" t="str">
        <f>'Raw Orders'!B690</f>
        <v>North America</v>
      </c>
      <c r="C690" t="str">
        <f>'Raw Orders'!C690</f>
        <v>US / Canada</v>
      </c>
      <c r="D690" s="11">
        <f>'Raw Orders'!E690</f>
        <v>22.2</v>
      </c>
      <c r="E690" s="12">
        <f>'Raw Orders'!F690</f>
        <v>1842600</v>
      </c>
      <c r="F690" s="12">
        <f>'Raw Orders'!F690*0.75</f>
        <v>1381950</v>
      </c>
      <c r="G690" s="10">
        <f>'Raw Orders'!H690</f>
        <v>46023</v>
      </c>
      <c r="H690" s="10">
        <f>'Raw Orders'!I690</f>
        <v>46023</v>
      </c>
      <c r="I690" s="11">
        <f>'Raw Orders'!K690</f>
        <v>7.0000000000000007E-2</v>
      </c>
      <c r="J690" s="11">
        <f>IF('Raw Orders'!J690,"",(YEAR('Raw Orders'!I690)-YEAR('Raw Orders'!H690))*12+MONTH('Raw Orders'!I690)-MONTH('Raw Orders'!H690))</f>
        <v>0</v>
      </c>
      <c r="K690" t="str">
        <f>IF('Raw Orders'!J690,"Cancelled",IF('Raw Orders'!K690&gt;=2,"Slipped","On plan"))</f>
        <v>On plan</v>
      </c>
      <c r="L690" s="12">
        <f t="shared" si="10"/>
        <v>0</v>
      </c>
    </row>
    <row r="691" spans="1:12" x14ac:dyDescent="0.3">
      <c r="A691" t="str">
        <f>'Raw Orders'!A691</f>
        <v>NX-00687</v>
      </c>
      <c r="B691" t="str">
        <f>'Raw Orders'!B691</f>
        <v>North America</v>
      </c>
      <c r="C691" t="str">
        <f>'Raw Orders'!C691</f>
        <v>US / Canada</v>
      </c>
      <c r="D691" s="11">
        <f>'Raw Orders'!E691</f>
        <v>3.9</v>
      </c>
      <c r="E691" s="12">
        <f>'Raw Orders'!F691</f>
        <v>323700</v>
      </c>
      <c r="F691" s="12">
        <f>'Raw Orders'!F691*0.75</f>
        <v>242775</v>
      </c>
      <c r="G691" s="10">
        <f>'Raw Orders'!H691</f>
        <v>46082</v>
      </c>
      <c r="H691" s="10">
        <f>'Raw Orders'!I691</f>
        <v>46082</v>
      </c>
      <c r="I691" s="11">
        <f>'Raw Orders'!K691</f>
        <v>0</v>
      </c>
      <c r="J691" s="11">
        <f>IF('Raw Orders'!J691,"",(YEAR('Raw Orders'!I691)-YEAR('Raw Orders'!H691))*12+MONTH('Raw Orders'!I691)-MONTH('Raw Orders'!H691))</f>
        <v>0</v>
      </c>
      <c r="K691" t="str">
        <f>IF('Raw Orders'!J691,"Cancelled",IF('Raw Orders'!K691&gt;=2,"Slipped","On plan"))</f>
        <v>On plan</v>
      </c>
      <c r="L691" s="12">
        <f t="shared" si="10"/>
        <v>0</v>
      </c>
    </row>
    <row r="692" spans="1:12" x14ac:dyDescent="0.3">
      <c r="A692" t="str">
        <f>'Raw Orders'!A692</f>
        <v>NX-00688</v>
      </c>
      <c r="B692" t="str">
        <f>'Raw Orders'!B692</f>
        <v>North America</v>
      </c>
      <c r="C692" t="str">
        <f>'Raw Orders'!C692</f>
        <v>US / Canada</v>
      </c>
      <c r="D692" s="11">
        <f>'Raw Orders'!E692</f>
        <v>6.5</v>
      </c>
      <c r="E692" s="12">
        <f>'Raw Orders'!F692</f>
        <v>539500</v>
      </c>
      <c r="F692" s="12">
        <f>'Raw Orders'!F692*0.75</f>
        <v>404625</v>
      </c>
      <c r="G692" s="10">
        <f>'Raw Orders'!H692</f>
        <v>46054</v>
      </c>
      <c r="H692" s="10">
        <f>'Raw Orders'!I692</f>
        <v>46054</v>
      </c>
      <c r="I692" s="11">
        <f>'Raw Orders'!K692</f>
        <v>0.06</v>
      </c>
      <c r="J692" s="11">
        <f>IF('Raw Orders'!J692,"",(YEAR('Raw Orders'!I692)-YEAR('Raw Orders'!H692))*12+MONTH('Raw Orders'!I692)-MONTH('Raw Orders'!H692))</f>
        <v>0</v>
      </c>
      <c r="K692" t="str">
        <f>IF('Raw Orders'!J692,"Cancelled",IF('Raw Orders'!K692&gt;=2,"Slipped","On plan"))</f>
        <v>On plan</v>
      </c>
      <c r="L692" s="12">
        <f t="shared" si="10"/>
        <v>0</v>
      </c>
    </row>
    <row r="693" spans="1:12" x14ac:dyDescent="0.3">
      <c r="A693" t="str">
        <f>'Raw Orders'!A693</f>
        <v>NX-00689</v>
      </c>
      <c r="B693" t="str">
        <f>'Raw Orders'!B693</f>
        <v>North America</v>
      </c>
      <c r="C693" t="str">
        <f>'Raw Orders'!C693</f>
        <v>US / Canada</v>
      </c>
      <c r="D693" s="11">
        <f>'Raw Orders'!E693</f>
        <v>4.9000000000000004</v>
      </c>
      <c r="E693" s="12">
        <f>'Raw Orders'!F693</f>
        <v>406700.00000000012</v>
      </c>
      <c r="F693" s="12">
        <f>'Raw Orders'!F693*0.75</f>
        <v>305025.00000000012</v>
      </c>
      <c r="G693" s="10">
        <f>'Raw Orders'!H693</f>
        <v>46082</v>
      </c>
      <c r="H693" s="10">
        <f>'Raw Orders'!I693</f>
        <v>46113</v>
      </c>
      <c r="I693" s="11">
        <f>'Raw Orders'!K693</f>
        <v>0.54</v>
      </c>
      <c r="J693" s="11">
        <f>IF('Raw Orders'!J693,"",(YEAR('Raw Orders'!I693)-YEAR('Raw Orders'!H693))*12+MONTH('Raw Orders'!I693)-MONTH('Raw Orders'!H693))</f>
        <v>1</v>
      </c>
      <c r="K693" t="str">
        <f>IF('Raw Orders'!J693,"Cancelled",IF('Raw Orders'!K693&gt;=2,"Slipped","On plan"))</f>
        <v>On plan</v>
      </c>
      <c r="L693" s="12">
        <f t="shared" si="10"/>
        <v>0</v>
      </c>
    </row>
    <row r="694" spans="1:12" x14ac:dyDescent="0.3">
      <c r="A694" t="str">
        <f>'Raw Orders'!A694</f>
        <v>NX-00690</v>
      </c>
      <c r="B694" t="str">
        <f>'Raw Orders'!B694</f>
        <v>North America</v>
      </c>
      <c r="C694" t="str">
        <f>'Raw Orders'!C694</f>
        <v>US / Canada</v>
      </c>
      <c r="D694" s="11">
        <f>'Raw Orders'!E694</f>
        <v>72.3</v>
      </c>
      <c r="E694" s="12">
        <f>'Raw Orders'!F694</f>
        <v>6000900</v>
      </c>
      <c r="F694" s="12">
        <f>'Raw Orders'!F694*0.75</f>
        <v>4500675</v>
      </c>
      <c r="G694" s="10">
        <f>'Raw Orders'!H694</f>
        <v>46023</v>
      </c>
      <c r="H694" s="10">
        <f>'Raw Orders'!I694</f>
        <v>46113</v>
      </c>
      <c r="I694" s="11">
        <f>'Raw Orders'!K694</f>
        <v>3.29</v>
      </c>
      <c r="J694" s="11">
        <f>IF('Raw Orders'!J694,"",(YEAR('Raw Orders'!I694)-YEAR('Raw Orders'!H694))*12+MONTH('Raw Orders'!I694)-MONTH('Raw Orders'!H694))</f>
        <v>3</v>
      </c>
      <c r="K694" t="str">
        <f>IF('Raw Orders'!J694,"Cancelled",IF('Raw Orders'!K694&gt;=2,"Slipped","On plan"))</f>
        <v>Slipped</v>
      </c>
      <c r="L694" s="12">
        <f t="shared" si="10"/>
        <v>4500675</v>
      </c>
    </row>
    <row r="695" spans="1:12" x14ac:dyDescent="0.3">
      <c r="A695" t="str">
        <f>'Raw Orders'!A695</f>
        <v>NX-00691</v>
      </c>
      <c r="B695" t="str">
        <f>'Raw Orders'!B695</f>
        <v>North America</v>
      </c>
      <c r="C695" t="str">
        <f>'Raw Orders'!C695</f>
        <v>US / Canada</v>
      </c>
      <c r="D695" s="11">
        <f>'Raw Orders'!E695</f>
        <v>24.9</v>
      </c>
      <c r="E695" s="12">
        <f>'Raw Orders'!F695</f>
        <v>2066700</v>
      </c>
      <c r="F695" s="12">
        <f>'Raw Orders'!F695*0.75</f>
        <v>1550025</v>
      </c>
      <c r="G695" s="10">
        <f>'Raw Orders'!H695</f>
        <v>46023</v>
      </c>
      <c r="H695" s="10">
        <f>'Raw Orders'!I695</f>
        <v>46023</v>
      </c>
      <c r="I695" s="11">
        <f>'Raw Orders'!K695</f>
        <v>0.34</v>
      </c>
      <c r="J695" s="11">
        <f>IF('Raw Orders'!J695,"",(YEAR('Raw Orders'!I695)-YEAR('Raw Orders'!H695))*12+MONTH('Raw Orders'!I695)-MONTH('Raw Orders'!H695))</f>
        <v>0</v>
      </c>
      <c r="K695" t="str">
        <f>IF('Raw Orders'!J695,"Cancelled",IF('Raw Orders'!K695&gt;=2,"Slipped","On plan"))</f>
        <v>On plan</v>
      </c>
      <c r="L695" s="12">
        <f t="shared" si="10"/>
        <v>0</v>
      </c>
    </row>
    <row r="696" spans="1:12" x14ac:dyDescent="0.3">
      <c r="A696" t="str">
        <f>'Raw Orders'!A696</f>
        <v>NX-00692</v>
      </c>
      <c r="B696" t="str">
        <f>'Raw Orders'!B696</f>
        <v>North America</v>
      </c>
      <c r="C696" t="str">
        <f>'Raw Orders'!C696</f>
        <v>US / Canada</v>
      </c>
      <c r="D696" s="11">
        <f>'Raw Orders'!E696</f>
        <v>15.3</v>
      </c>
      <c r="E696" s="12">
        <f>'Raw Orders'!F696</f>
        <v>1269900</v>
      </c>
      <c r="F696" s="12">
        <f>'Raw Orders'!F696*0.75</f>
        <v>952425</v>
      </c>
      <c r="G696" s="10">
        <f>'Raw Orders'!H696</f>
        <v>46054</v>
      </c>
      <c r="H696" s="10">
        <f>'Raw Orders'!I696</f>
        <v>46143</v>
      </c>
      <c r="I696" s="11">
        <f>'Raw Orders'!K696</f>
        <v>3.01</v>
      </c>
      <c r="J696" s="11">
        <f>IF('Raw Orders'!J696,"",(YEAR('Raw Orders'!I696)-YEAR('Raw Orders'!H696))*12+MONTH('Raw Orders'!I696)-MONTH('Raw Orders'!H696))</f>
        <v>3</v>
      </c>
      <c r="K696" t="str">
        <f>IF('Raw Orders'!J696,"Cancelled",IF('Raw Orders'!K696&gt;=2,"Slipped","On plan"))</f>
        <v>Slipped</v>
      </c>
      <c r="L696" s="12">
        <f t="shared" si="10"/>
        <v>952425</v>
      </c>
    </row>
    <row r="697" spans="1:12" x14ac:dyDescent="0.3">
      <c r="A697" t="str">
        <f>'Raw Orders'!A697</f>
        <v>NX-00693</v>
      </c>
      <c r="B697" t="str">
        <f>'Raw Orders'!B697</f>
        <v>North America</v>
      </c>
      <c r="C697" t="str">
        <f>'Raw Orders'!C697</f>
        <v>US / Canada</v>
      </c>
      <c r="D697" s="11">
        <f>'Raw Orders'!E697</f>
        <v>19.600000000000001</v>
      </c>
      <c r="E697" s="12">
        <f>'Raw Orders'!F697</f>
        <v>1626800</v>
      </c>
      <c r="F697" s="12">
        <f>'Raw Orders'!F697*0.75</f>
        <v>1220100</v>
      </c>
      <c r="G697" s="10">
        <f>'Raw Orders'!H697</f>
        <v>46082</v>
      </c>
      <c r="H697" s="10">
        <f>'Raw Orders'!I697</f>
        <v>46082</v>
      </c>
      <c r="I697" s="11">
        <f>'Raw Orders'!K697</f>
        <v>0.24</v>
      </c>
      <c r="J697" s="11">
        <f>IF('Raw Orders'!J697,"",(YEAR('Raw Orders'!I697)-YEAR('Raw Orders'!H697))*12+MONTH('Raw Orders'!I697)-MONTH('Raw Orders'!H697))</f>
        <v>0</v>
      </c>
      <c r="K697" t="str">
        <f>IF('Raw Orders'!J697,"Cancelled",IF('Raw Orders'!K697&gt;=2,"Slipped","On plan"))</f>
        <v>On plan</v>
      </c>
      <c r="L697" s="12">
        <f t="shared" si="10"/>
        <v>0</v>
      </c>
    </row>
    <row r="698" spans="1:12" x14ac:dyDescent="0.3">
      <c r="A698" t="str">
        <f>'Raw Orders'!A698</f>
        <v>NX-00694</v>
      </c>
      <c r="B698" t="str">
        <f>'Raw Orders'!B698</f>
        <v>North America</v>
      </c>
      <c r="C698" t="str">
        <f>'Raw Orders'!C698</f>
        <v>US / Canada</v>
      </c>
      <c r="D698" s="11">
        <f>'Raw Orders'!E698</f>
        <v>8.5</v>
      </c>
      <c r="E698" s="12">
        <f>'Raw Orders'!F698</f>
        <v>705500</v>
      </c>
      <c r="F698" s="12">
        <f>'Raw Orders'!F698*0.75</f>
        <v>529125</v>
      </c>
      <c r="G698" s="10">
        <f>'Raw Orders'!H698</f>
        <v>46023</v>
      </c>
      <c r="H698" s="10">
        <f>'Raw Orders'!I698</f>
        <v>46023</v>
      </c>
      <c r="I698" s="11">
        <f>'Raw Orders'!K698</f>
        <v>0.24</v>
      </c>
      <c r="J698" s="11">
        <f>IF('Raw Orders'!J698,"",(YEAR('Raw Orders'!I698)-YEAR('Raw Orders'!H698))*12+MONTH('Raw Orders'!I698)-MONTH('Raw Orders'!H698))</f>
        <v>0</v>
      </c>
      <c r="K698" t="str">
        <f>IF('Raw Orders'!J698,"Cancelled",IF('Raw Orders'!K698&gt;=2,"Slipped","On plan"))</f>
        <v>On plan</v>
      </c>
      <c r="L698" s="12">
        <f t="shared" si="10"/>
        <v>0</v>
      </c>
    </row>
    <row r="699" spans="1:12" x14ac:dyDescent="0.3">
      <c r="A699" t="str">
        <f>'Raw Orders'!A699</f>
        <v>NX-00695</v>
      </c>
      <c r="B699" t="str">
        <f>'Raw Orders'!B699</f>
        <v>North America</v>
      </c>
      <c r="C699" t="str">
        <f>'Raw Orders'!C699</f>
        <v>US / Canada</v>
      </c>
      <c r="D699" s="11">
        <f>'Raw Orders'!E699</f>
        <v>2.9</v>
      </c>
      <c r="E699" s="12">
        <f>'Raw Orders'!F699</f>
        <v>240700</v>
      </c>
      <c r="F699" s="12">
        <f>'Raw Orders'!F699*0.75</f>
        <v>180525</v>
      </c>
      <c r="G699" s="10">
        <f>'Raw Orders'!H699</f>
        <v>46113</v>
      </c>
      <c r="H699" s="10">
        <f>'Raw Orders'!I699</f>
        <v>46235</v>
      </c>
      <c r="I699" s="11">
        <f>'Raw Orders'!K699</f>
        <v>4.21</v>
      </c>
      <c r="J699" s="11">
        <f>IF('Raw Orders'!J699,"",(YEAR('Raw Orders'!I699)-YEAR('Raw Orders'!H699))*12+MONTH('Raw Orders'!I699)-MONTH('Raw Orders'!H699))</f>
        <v>4</v>
      </c>
      <c r="K699" t="str">
        <f>IF('Raw Orders'!J699,"Cancelled",IF('Raw Orders'!K699&gt;=2,"Slipped","On plan"))</f>
        <v>Slipped</v>
      </c>
      <c r="L699" s="12">
        <f t="shared" si="10"/>
        <v>180525</v>
      </c>
    </row>
    <row r="700" spans="1:12" x14ac:dyDescent="0.3">
      <c r="A700" t="str">
        <f>'Raw Orders'!A700</f>
        <v>NX-00696</v>
      </c>
      <c r="B700" t="str">
        <f>'Raw Orders'!B700</f>
        <v>North America</v>
      </c>
      <c r="C700" t="str">
        <f>'Raw Orders'!C700</f>
        <v>US / Canada</v>
      </c>
      <c r="D700" s="11">
        <f>'Raw Orders'!E700</f>
        <v>20.399999999999999</v>
      </c>
      <c r="E700" s="12">
        <f>'Raw Orders'!F700</f>
        <v>1693200</v>
      </c>
      <c r="F700" s="12">
        <f>'Raw Orders'!F700*0.75</f>
        <v>1269900</v>
      </c>
      <c r="G700" s="10">
        <f>'Raw Orders'!H700</f>
        <v>46023</v>
      </c>
      <c r="H700" s="10">
        <f>'Raw Orders'!I700</f>
        <v>46023</v>
      </c>
      <c r="I700" s="11">
        <f>'Raw Orders'!K700</f>
        <v>0.09</v>
      </c>
      <c r="J700" s="11">
        <f>IF('Raw Orders'!J700,"",(YEAR('Raw Orders'!I700)-YEAR('Raw Orders'!H700))*12+MONTH('Raw Orders'!I700)-MONTH('Raw Orders'!H700))</f>
        <v>0</v>
      </c>
      <c r="K700" t="str">
        <f>IF('Raw Orders'!J700,"Cancelled",IF('Raw Orders'!K700&gt;=2,"Slipped","On plan"))</f>
        <v>On plan</v>
      </c>
      <c r="L700" s="12">
        <f t="shared" si="10"/>
        <v>0</v>
      </c>
    </row>
    <row r="701" spans="1:12" x14ac:dyDescent="0.3">
      <c r="A701" t="str">
        <f>'Raw Orders'!A701</f>
        <v>NX-00697</v>
      </c>
      <c r="B701" t="str">
        <f>'Raw Orders'!B701</f>
        <v>North America</v>
      </c>
      <c r="C701" t="str">
        <f>'Raw Orders'!C701</f>
        <v>US / Canada</v>
      </c>
      <c r="D701" s="11">
        <f>'Raw Orders'!E701</f>
        <v>8.8000000000000007</v>
      </c>
      <c r="E701" s="12">
        <f>'Raw Orders'!F701</f>
        <v>730400.00000000012</v>
      </c>
      <c r="F701" s="12">
        <f>'Raw Orders'!F701*0.75</f>
        <v>547800.00000000012</v>
      </c>
      <c r="G701" s="10">
        <f>'Raw Orders'!H701</f>
        <v>46054</v>
      </c>
      <c r="H701" s="10">
        <f>'Raw Orders'!I701</f>
        <v>46082</v>
      </c>
      <c r="I701" s="11">
        <f>'Raw Orders'!K701</f>
        <v>1.48</v>
      </c>
      <c r="J701" s="11">
        <f>IF('Raw Orders'!J701,"",(YEAR('Raw Orders'!I701)-YEAR('Raw Orders'!H701))*12+MONTH('Raw Orders'!I701)-MONTH('Raw Orders'!H701))</f>
        <v>1</v>
      </c>
      <c r="K701" t="str">
        <f>IF('Raw Orders'!J701,"Cancelled",IF('Raw Orders'!K701&gt;=2,"Slipped","On plan"))</f>
        <v>On plan</v>
      </c>
      <c r="L701" s="12">
        <f t="shared" si="10"/>
        <v>0</v>
      </c>
    </row>
    <row r="702" spans="1:12" x14ac:dyDescent="0.3">
      <c r="A702" t="str">
        <f>'Raw Orders'!A702</f>
        <v>NX-00698</v>
      </c>
      <c r="B702" t="str">
        <f>'Raw Orders'!B702</f>
        <v>North America</v>
      </c>
      <c r="C702" t="str">
        <f>'Raw Orders'!C702</f>
        <v>US / Canada</v>
      </c>
      <c r="D702" s="11">
        <f>'Raw Orders'!E702</f>
        <v>10.4</v>
      </c>
      <c r="E702" s="12">
        <f>'Raw Orders'!F702</f>
        <v>863200</v>
      </c>
      <c r="F702" s="12">
        <f>'Raw Orders'!F702*0.75</f>
        <v>647400</v>
      </c>
      <c r="G702" s="10">
        <f>'Raw Orders'!H702</f>
        <v>46204</v>
      </c>
      <c r="H702" s="10">
        <f>'Raw Orders'!I702</f>
        <v>46204</v>
      </c>
      <c r="I702" s="11">
        <f>'Raw Orders'!K702</f>
        <v>0.02</v>
      </c>
      <c r="J702" s="11">
        <f>IF('Raw Orders'!J702,"",(YEAR('Raw Orders'!I702)-YEAR('Raw Orders'!H702))*12+MONTH('Raw Orders'!I702)-MONTH('Raw Orders'!H702))</f>
        <v>0</v>
      </c>
      <c r="K702" t="str">
        <f>IF('Raw Orders'!J702,"Cancelled",IF('Raw Orders'!K702&gt;=2,"Slipped","On plan"))</f>
        <v>On plan</v>
      </c>
      <c r="L702" s="12">
        <f t="shared" si="10"/>
        <v>0</v>
      </c>
    </row>
    <row r="703" spans="1:12" x14ac:dyDescent="0.3">
      <c r="A703" t="str">
        <f>'Raw Orders'!A703</f>
        <v>NX-00699</v>
      </c>
      <c r="B703" t="str">
        <f>'Raw Orders'!B703</f>
        <v>North America</v>
      </c>
      <c r="C703" t="str">
        <f>'Raw Orders'!C703</f>
        <v>US / Canada</v>
      </c>
      <c r="D703" s="11">
        <f>'Raw Orders'!E703</f>
        <v>8.6</v>
      </c>
      <c r="E703" s="12">
        <f>'Raw Orders'!F703</f>
        <v>713800</v>
      </c>
      <c r="F703" s="12">
        <f>'Raw Orders'!F703*0.75</f>
        <v>535350</v>
      </c>
      <c r="G703" s="10">
        <f>'Raw Orders'!H703</f>
        <v>46113</v>
      </c>
      <c r="H703" s="10">
        <f>'Raw Orders'!I703</f>
        <v>46113</v>
      </c>
      <c r="I703" s="11">
        <f>'Raw Orders'!K703</f>
        <v>0.45</v>
      </c>
      <c r="J703" s="11">
        <f>IF('Raw Orders'!J703,"",(YEAR('Raw Orders'!I703)-YEAR('Raw Orders'!H703))*12+MONTH('Raw Orders'!I703)-MONTH('Raw Orders'!H703))</f>
        <v>0</v>
      </c>
      <c r="K703" t="str">
        <f>IF('Raw Orders'!J703,"Cancelled",IF('Raw Orders'!K703&gt;=2,"Slipped","On plan"))</f>
        <v>On plan</v>
      </c>
      <c r="L703" s="12">
        <f t="shared" si="10"/>
        <v>0</v>
      </c>
    </row>
    <row r="704" spans="1:12" x14ac:dyDescent="0.3">
      <c r="A704" t="str">
        <f>'Raw Orders'!A704</f>
        <v>NX-00700</v>
      </c>
      <c r="B704" t="str">
        <f>'Raw Orders'!B704</f>
        <v>North America</v>
      </c>
      <c r="C704" t="str">
        <f>'Raw Orders'!C704</f>
        <v>US / Canada</v>
      </c>
      <c r="D704" s="11">
        <f>'Raw Orders'!E704</f>
        <v>23.5</v>
      </c>
      <c r="E704" s="12">
        <f>'Raw Orders'!F704</f>
        <v>1950500</v>
      </c>
      <c r="F704" s="12">
        <f>'Raw Orders'!F704*0.75</f>
        <v>1462875</v>
      </c>
      <c r="G704" s="10">
        <f>'Raw Orders'!H704</f>
        <v>46143</v>
      </c>
      <c r="H704" s="10">
        <f>'Raw Orders'!I704</f>
        <v>46143</v>
      </c>
      <c r="I704" s="11">
        <f>'Raw Orders'!K704</f>
        <v>0.45</v>
      </c>
      <c r="J704" s="11">
        <f>IF('Raw Orders'!J704,"",(YEAR('Raw Orders'!I704)-YEAR('Raw Orders'!H704))*12+MONTH('Raw Orders'!I704)-MONTH('Raw Orders'!H704))</f>
        <v>0</v>
      </c>
      <c r="K704" t="str">
        <f>IF('Raw Orders'!J704,"Cancelled",IF('Raw Orders'!K704&gt;=2,"Slipped","On plan"))</f>
        <v>On plan</v>
      </c>
      <c r="L704" s="12">
        <f t="shared" si="10"/>
        <v>0</v>
      </c>
    </row>
    <row r="705" spans="1:12" x14ac:dyDescent="0.3">
      <c r="A705" t="str">
        <f>'Raw Orders'!A705</f>
        <v>NX-00701</v>
      </c>
      <c r="B705" t="str">
        <f>'Raw Orders'!B705</f>
        <v>North America</v>
      </c>
      <c r="C705" t="str">
        <f>'Raw Orders'!C705</f>
        <v>US / Canada</v>
      </c>
      <c r="D705" s="11">
        <f>'Raw Orders'!E705</f>
        <v>19.100000000000001</v>
      </c>
      <c r="E705" s="12">
        <f>'Raw Orders'!F705</f>
        <v>1585300</v>
      </c>
      <c r="F705" s="12">
        <f>'Raw Orders'!F705*0.75</f>
        <v>1188975</v>
      </c>
      <c r="G705" s="10">
        <f>'Raw Orders'!H705</f>
        <v>46023</v>
      </c>
      <c r="H705" s="10">
        <f>'Raw Orders'!I705</f>
        <v>46023</v>
      </c>
      <c r="I705" s="11">
        <f>'Raw Orders'!K705</f>
        <v>0.01</v>
      </c>
      <c r="J705" s="11">
        <f>IF('Raw Orders'!J705,"",(YEAR('Raw Orders'!I705)-YEAR('Raw Orders'!H705))*12+MONTH('Raw Orders'!I705)-MONTH('Raw Orders'!H705))</f>
        <v>0</v>
      </c>
      <c r="K705" t="str">
        <f>IF('Raw Orders'!J705,"Cancelled",IF('Raw Orders'!K705&gt;=2,"Slipped","On plan"))</f>
        <v>On plan</v>
      </c>
      <c r="L705" s="12">
        <f t="shared" si="10"/>
        <v>0</v>
      </c>
    </row>
    <row r="706" spans="1:12" x14ac:dyDescent="0.3">
      <c r="A706" t="str">
        <f>'Raw Orders'!A706</f>
        <v>NX-00702</v>
      </c>
      <c r="B706" t="str">
        <f>'Raw Orders'!B706</f>
        <v>North America</v>
      </c>
      <c r="C706" t="str">
        <f>'Raw Orders'!C706</f>
        <v>US / Canada</v>
      </c>
      <c r="D706" s="11">
        <f>'Raw Orders'!E706</f>
        <v>2.8</v>
      </c>
      <c r="E706" s="12">
        <f>'Raw Orders'!F706</f>
        <v>232400</v>
      </c>
      <c r="F706" s="12">
        <f>'Raw Orders'!F706*0.75</f>
        <v>174300</v>
      </c>
      <c r="G706" s="10">
        <f>'Raw Orders'!H706</f>
        <v>46113</v>
      </c>
      <c r="H706" s="10">
        <f>'Raw Orders'!I706</f>
        <v>46113</v>
      </c>
      <c r="I706" s="11">
        <f>'Raw Orders'!K706</f>
        <v>0.06</v>
      </c>
      <c r="J706" s="11">
        <f>IF('Raw Orders'!J706,"",(YEAR('Raw Orders'!I706)-YEAR('Raw Orders'!H706))*12+MONTH('Raw Orders'!I706)-MONTH('Raw Orders'!H706))</f>
        <v>0</v>
      </c>
      <c r="K706" t="str">
        <f>IF('Raw Orders'!J706,"Cancelled",IF('Raw Orders'!K706&gt;=2,"Slipped","On plan"))</f>
        <v>On plan</v>
      </c>
      <c r="L706" s="12">
        <f t="shared" si="10"/>
        <v>0</v>
      </c>
    </row>
    <row r="707" spans="1:12" x14ac:dyDescent="0.3">
      <c r="A707" t="str">
        <f>'Raw Orders'!A707</f>
        <v>NX-00703</v>
      </c>
      <c r="B707" t="str">
        <f>'Raw Orders'!B707</f>
        <v>North America</v>
      </c>
      <c r="C707" t="str">
        <f>'Raw Orders'!C707</f>
        <v>US / Canada</v>
      </c>
      <c r="D707" s="11">
        <f>'Raw Orders'!E707</f>
        <v>18.2</v>
      </c>
      <c r="E707" s="12">
        <f>'Raw Orders'!F707</f>
        <v>1510600</v>
      </c>
      <c r="F707" s="12">
        <f>'Raw Orders'!F707*0.75</f>
        <v>1132950</v>
      </c>
      <c r="G707" s="10">
        <f>'Raw Orders'!H707</f>
        <v>46143</v>
      </c>
      <c r="H707" s="10">
        <f>'Raw Orders'!I707</f>
        <v>46143</v>
      </c>
      <c r="I707" s="11">
        <f>'Raw Orders'!K707</f>
        <v>7.0000000000000007E-2</v>
      </c>
      <c r="J707" s="11">
        <f>IF('Raw Orders'!J707,"",(YEAR('Raw Orders'!I707)-YEAR('Raw Orders'!H707))*12+MONTH('Raw Orders'!I707)-MONTH('Raw Orders'!H707))</f>
        <v>0</v>
      </c>
      <c r="K707" t="str">
        <f>IF('Raw Orders'!J707,"Cancelled",IF('Raw Orders'!K707&gt;=2,"Slipped","On plan"))</f>
        <v>On plan</v>
      </c>
      <c r="L707" s="12">
        <f t="shared" si="10"/>
        <v>0</v>
      </c>
    </row>
    <row r="708" spans="1:12" x14ac:dyDescent="0.3">
      <c r="A708" t="str">
        <f>'Raw Orders'!A708</f>
        <v>NX-00704</v>
      </c>
      <c r="B708" t="str">
        <f>'Raw Orders'!B708</f>
        <v>North America</v>
      </c>
      <c r="C708" t="str">
        <f>'Raw Orders'!C708</f>
        <v>US / Canada</v>
      </c>
      <c r="D708" s="11">
        <f>'Raw Orders'!E708</f>
        <v>2.7</v>
      </c>
      <c r="E708" s="12">
        <f>'Raw Orders'!F708</f>
        <v>224100</v>
      </c>
      <c r="F708" s="12">
        <f>'Raw Orders'!F708*0.75</f>
        <v>168075</v>
      </c>
      <c r="G708" s="10">
        <f>'Raw Orders'!H708</f>
        <v>46204</v>
      </c>
      <c r="H708" s="10">
        <f>'Raw Orders'!I708</f>
        <v>46204</v>
      </c>
      <c r="I708" s="11">
        <f>'Raw Orders'!K708</f>
        <v>0.02</v>
      </c>
      <c r="J708" s="11">
        <f>IF('Raw Orders'!J708,"",(YEAR('Raw Orders'!I708)-YEAR('Raw Orders'!H708))*12+MONTH('Raw Orders'!I708)-MONTH('Raw Orders'!H708))</f>
        <v>0</v>
      </c>
      <c r="K708" t="str">
        <f>IF('Raw Orders'!J708,"Cancelled",IF('Raw Orders'!K708&gt;=2,"Slipped","On plan"))</f>
        <v>On plan</v>
      </c>
      <c r="L708" s="12">
        <f t="shared" si="10"/>
        <v>0</v>
      </c>
    </row>
    <row r="709" spans="1:12" x14ac:dyDescent="0.3">
      <c r="A709" t="str">
        <f>'Raw Orders'!A709</f>
        <v>NX-00705</v>
      </c>
      <c r="B709" t="str">
        <f>'Raw Orders'!B709</f>
        <v>North America</v>
      </c>
      <c r="C709" t="str">
        <f>'Raw Orders'!C709</f>
        <v>US / Canada</v>
      </c>
      <c r="D709" s="11">
        <f>'Raw Orders'!E709</f>
        <v>13.9</v>
      </c>
      <c r="E709" s="12">
        <f>'Raw Orders'!F709</f>
        <v>1153700</v>
      </c>
      <c r="F709" s="12">
        <f>'Raw Orders'!F709*0.75</f>
        <v>865275</v>
      </c>
      <c r="G709" s="10">
        <f>'Raw Orders'!H709</f>
        <v>46143</v>
      </c>
      <c r="H709" s="10">
        <f>'Raw Orders'!I709</f>
        <v>46143</v>
      </c>
      <c r="I709" s="11">
        <f>'Raw Orders'!K709</f>
        <v>0</v>
      </c>
      <c r="J709" s="11">
        <f>IF('Raw Orders'!J709,"",(YEAR('Raw Orders'!I709)-YEAR('Raw Orders'!H709))*12+MONTH('Raw Orders'!I709)-MONTH('Raw Orders'!H709))</f>
        <v>0</v>
      </c>
      <c r="K709" t="str">
        <f>IF('Raw Orders'!J709,"Cancelled",IF('Raw Orders'!K709&gt;=2,"Slipped","On plan"))</f>
        <v>On plan</v>
      </c>
      <c r="L709" s="12">
        <f t="shared" ref="L709:L772" si="11">IF(K709="On plan",0,F709)</f>
        <v>0</v>
      </c>
    </row>
    <row r="710" spans="1:12" x14ac:dyDescent="0.3">
      <c r="A710" t="str">
        <f>'Raw Orders'!A710</f>
        <v>NX-00706</v>
      </c>
      <c r="B710" t="str">
        <f>'Raw Orders'!B710</f>
        <v>North America</v>
      </c>
      <c r="C710" t="str">
        <f>'Raw Orders'!C710</f>
        <v>US / Canada</v>
      </c>
      <c r="D710" s="11">
        <f>'Raw Orders'!E710</f>
        <v>10.9</v>
      </c>
      <c r="E710" s="12">
        <f>'Raw Orders'!F710</f>
        <v>904700</v>
      </c>
      <c r="F710" s="12">
        <f>'Raw Orders'!F710*0.75</f>
        <v>678525</v>
      </c>
      <c r="G710" s="10">
        <f>'Raw Orders'!H710</f>
        <v>46113</v>
      </c>
      <c r="H710" s="10">
        <f>'Raw Orders'!I710</f>
        <v>46113</v>
      </c>
      <c r="I710" s="11">
        <f>'Raw Orders'!K710</f>
        <v>0</v>
      </c>
      <c r="J710" s="11">
        <f>IF('Raw Orders'!J710,"",(YEAR('Raw Orders'!I710)-YEAR('Raw Orders'!H710))*12+MONTH('Raw Orders'!I710)-MONTH('Raw Orders'!H710))</f>
        <v>0</v>
      </c>
      <c r="K710" t="str">
        <f>IF('Raw Orders'!J710,"Cancelled",IF('Raw Orders'!K710&gt;=2,"Slipped","On plan"))</f>
        <v>On plan</v>
      </c>
      <c r="L710" s="12">
        <f t="shared" si="11"/>
        <v>0</v>
      </c>
    </row>
    <row r="711" spans="1:12" x14ac:dyDescent="0.3">
      <c r="A711" t="str">
        <f>'Raw Orders'!A711</f>
        <v>NX-00707</v>
      </c>
      <c r="B711" t="str">
        <f>'Raw Orders'!B711</f>
        <v>North America</v>
      </c>
      <c r="C711" t="str">
        <f>'Raw Orders'!C711</f>
        <v>US / Canada</v>
      </c>
      <c r="D711" s="11">
        <f>'Raw Orders'!E711</f>
        <v>7.7</v>
      </c>
      <c r="E711" s="12">
        <f>'Raw Orders'!F711</f>
        <v>639100</v>
      </c>
      <c r="F711" s="12">
        <f>'Raw Orders'!F711*0.75</f>
        <v>479325</v>
      </c>
      <c r="G711" s="10">
        <f>'Raw Orders'!H711</f>
        <v>46204</v>
      </c>
      <c r="H711" s="10">
        <f>'Raw Orders'!I711</f>
        <v>46204</v>
      </c>
      <c r="I711" s="11">
        <f>'Raw Orders'!K711</f>
        <v>0</v>
      </c>
      <c r="J711" s="11">
        <f>IF('Raw Orders'!J711,"",(YEAR('Raw Orders'!I711)-YEAR('Raw Orders'!H711))*12+MONTH('Raw Orders'!I711)-MONTH('Raw Orders'!H711))</f>
        <v>0</v>
      </c>
      <c r="K711" t="str">
        <f>IF('Raw Orders'!J711,"Cancelled",IF('Raw Orders'!K711&gt;=2,"Slipped","On plan"))</f>
        <v>On plan</v>
      </c>
      <c r="L711" s="12">
        <f t="shared" si="11"/>
        <v>0</v>
      </c>
    </row>
    <row r="712" spans="1:12" x14ac:dyDescent="0.3">
      <c r="A712" t="str">
        <f>'Raw Orders'!A712</f>
        <v>NX-00708</v>
      </c>
      <c r="B712" t="str">
        <f>'Raw Orders'!B712</f>
        <v>North America</v>
      </c>
      <c r="C712" t="str">
        <f>'Raw Orders'!C712</f>
        <v>US / Canada</v>
      </c>
      <c r="D712" s="11">
        <f>'Raw Orders'!E712</f>
        <v>12.1</v>
      </c>
      <c r="E712" s="12">
        <f>'Raw Orders'!F712</f>
        <v>1004300</v>
      </c>
      <c r="F712" s="12">
        <f>'Raw Orders'!F712*0.75</f>
        <v>753225</v>
      </c>
      <c r="G712" s="10">
        <f>'Raw Orders'!H712</f>
        <v>46113</v>
      </c>
      <c r="H712" s="10">
        <f>'Raw Orders'!I712</f>
        <v>46143</v>
      </c>
      <c r="I712" s="11">
        <f>'Raw Orders'!K712</f>
        <v>0.74</v>
      </c>
      <c r="J712" s="11">
        <f>IF('Raw Orders'!J712,"",(YEAR('Raw Orders'!I712)-YEAR('Raw Orders'!H712))*12+MONTH('Raw Orders'!I712)-MONTH('Raw Orders'!H712))</f>
        <v>1</v>
      </c>
      <c r="K712" t="str">
        <f>IF('Raw Orders'!J712,"Cancelled",IF('Raw Orders'!K712&gt;=2,"Slipped","On plan"))</f>
        <v>On plan</v>
      </c>
      <c r="L712" s="12">
        <f t="shared" si="11"/>
        <v>0</v>
      </c>
    </row>
    <row r="713" spans="1:12" x14ac:dyDescent="0.3">
      <c r="A713" t="str">
        <f>'Raw Orders'!A713</f>
        <v>NX-00709</v>
      </c>
      <c r="B713" t="str">
        <f>'Raw Orders'!B713</f>
        <v>North America</v>
      </c>
      <c r="C713" t="str">
        <f>'Raw Orders'!C713</f>
        <v>US / Canada</v>
      </c>
      <c r="D713" s="11">
        <f>'Raw Orders'!E713</f>
        <v>9.1</v>
      </c>
      <c r="E713" s="12">
        <f>'Raw Orders'!F713</f>
        <v>755300</v>
      </c>
      <c r="F713" s="12">
        <f>'Raw Orders'!F713*0.75</f>
        <v>566475</v>
      </c>
      <c r="G713" s="10">
        <f>'Raw Orders'!H713</f>
        <v>46113</v>
      </c>
      <c r="H713" s="10">
        <f>'Raw Orders'!I713</f>
        <v>46113</v>
      </c>
      <c r="I713" s="11">
        <f>'Raw Orders'!K713</f>
        <v>0</v>
      </c>
      <c r="J713" s="11">
        <f>IF('Raw Orders'!J713,"",(YEAR('Raw Orders'!I713)-YEAR('Raw Orders'!H713))*12+MONTH('Raw Orders'!I713)-MONTH('Raw Orders'!H713))</f>
        <v>0</v>
      </c>
      <c r="K713" t="str">
        <f>IF('Raw Orders'!J713,"Cancelled",IF('Raw Orders'!K713&gt;=2,"Slipped","On plan"))</f>
        <v>On plan</v>
      </c>
      <c r="L713" s="12">
        <f t="shared" si="11"/>
        <v>0</v>
      </c>
    </row>
    <row r="714" spans="1:12" x14ac:dyDescent="0.3">
      <c r="A714" t="str">
        <f>'Raw Orders'!A714</f>
        <v>NX-00710</v>
      </c>
      <c r="B714" t="str">
        <f>'Raw Orders'!B714</f>
        <v>North America</v>
      </c>
      <c r="C714" t="str">
        <f>'Raw Orders'!C714</f>
        <v>US / Canada</v>
      </c>
      <c r="D714" s="11">
        <f>'Raw Orders'!E714</f>
        <v>16.399999999999999</v>
      </c>
      <c r="E714" s="12">
        <f>'Raw Orders'!F714</f>
        <v>1361200</v>
      </c>
      <c r="F714" s="12">
        <f>'Raw Orders'!F714*0.75</f>
        <v>1020900</v>
      </c>
      <c r="G714" s="10">
        <f>'Raw Orders'!H714</f>
        <v>46023</v>
      </c>
      <c r="H714" s="10">
        <f>'Raw Orders'!I714</f>
        <v>46023</v>
      </c>
      <c r="I714" s="11">
        <f>'Raw Orders'!K714</f>
        <v>0.15</v>
      </c>
      <c r="J714" s="11">
        <f>IF('Raw Orders'!J714,"",(YEAR('Raw Orders'!I714)-YEAR('Raw Orders'!H714))*12+MONTH('Raw Orders'!I714)-MONTH('Raw Orders'!H714))</f>
        <v>0</v>
      </c>
      <c r="K714" t="str">
        <f>IF('Raw Orders'!J714,"Cancelled",IF('Raw Orders'!K714&gt;=2,"Slipped","On plan"))</f>
        <v>On plan</v>
      </c>
      <c r="L714" s="12">
        <f t="shared" si="11"/>
        <v>0</v>
      </c>
    </row>
    <row r="715" spans="1:12" x14ac:dyDescent="0.3">
      <c r="A715" t="str">
        <f>'Raw Orders'!A715</f>
        <v>NX-00711</v>
      </c>
      <c r="B715" t="str">
        <f>'Raw Orders'!B715</f>
        <v>North America</v>
      </c>
      <c r="C715" t="str">
        <f>'Raw Orders'!C715</f>
        <v>US / Canada</v>
      </c>
      <c r="D715" s="11">
        <f>'Raw Orders'!E715</f>
        <v>24.3</v>
      </c>
      <c r="E715" s="12">
        <f>'Raw Orders'!F715</f>
        <v>2016900</v>
      </c>
      <c r="F715" s="12">
        <f>'Raw Orders'!F715*0.75</f>
        <v>1512675</v>
      </c>
      <c r="G715" s="10">
        <f>'Raw Orders'!H715</f>
        <v>46143</v>
      </c>
      <c r="H715" s="10">
        <f>'Raw Orders'!I715</f>
        <v>46143</v>
      </c>
      <c r="I715" s="11">
        <f>'Raw Orders'!K715</f>
        <v>0</v>
      </c>
      <c r="J715" s="11">
        <f>IF('Raw Orders'!J715,"",(YEAR('Raw Orders'!I715)-YEAR('Raw Orders'!H715))*12+MONTH('Raw Orders'!I715)-MONTH('Raw Orders'!H715))</f>
        <v>0</v>
      </c>
      <c r="K715" t="str">
        <f>IF('Raw Orders'!J715,"Cancelled",IF('Raw Orders'!K715&gt;=2,"Slipped","On plan"))</f>
        <v>On plan</v>
      </c>
      <c r="L715" s="12">
        <f t="shared" si="11"/>
        <v>0</v>
      </c>
    </row>
    <row r="716" spans="1:12" x14ac:dyDescent="0.3">
      <c r="A716" t="str">
        <f>'Raw Orders'!A716</f>
        <v>NX-00712</v>
      </c>
      <c r="B716" t="str">
        <f>'Raw Orders'!B716</f>
        <v>North America</v>
      </c>
      <c r="C716" t="str">
        <f>'Raw Orders'!C716</f>
        <v>US / Canada</v>
      </c>
      <c r="D716" s="11">
        <f>'Raw Orders'!E716</f>
        <v>8.8000000000000007</v>
      </c>
      <c r="E716" s="12">
        <f>'Raw Orders'!F716</f>
        <v>730400.00000000012</v>
      </c>
      <c r="F716" s="12">
        <f>'Raw Orders'!F716*0.75</f>
        <v>547800.00000000012</v>
      </c>
      <c r="G716" s="10">
        <f>'Raw Orders'!H716</f>
        <v>46113</v>
      </c>
      <c r="H716" s="10">
        <f>'Raw Orders'!I716</f>
        <v>46113</v>
      </c>
      <c r="I716" s="11">
        <f>'Raw Orders'!K716</f>
        <v>0</v>
      </c>
      <c r="J716" s="11">
        <f>IF('Raw Orders'!J716,"",(YEAR('Raw Orders'!I716)-YEAR('Raw Orders'!H716))*12+MONTH('Raw Orders'!I716)-MONTH('Raw Orders'!H716))</f>
        <v>0</v>
      </c>
      <c r="K716" t="str">
        <f>IF('Raw Orders'!J716,"Cancelled",IF('Raw Orders'!K716&gt;=2,"Slipped","On plan"))</f>
        <v>On plan</v>
      </c>
      <c r="L716" s="12">
        <f t="shared" si="11"/>
        <v>0</v>
      </c>
    </row>
    <row r="717" spans="1:12" x14ac:dyDescent="0.3">
      <c r="A717" t="str">
        <f>'Raw Orders'!A717</f>
        <v>NX-00713</v>
      </c>
      <c r="B717" t="str">
        <f>'Raw Orders'!B717</f>
        <v>North America</v>
      </c>
      <c r="C717" t="str">
        <f>'Raw Orders'!C717</f>
        <v>US / Canada</v>
      </c>
      <c r="D717" s="11">
        <f>'Raw Orders'!E717</f>
        <v>64.900000000000006</v>
      </c>
      <c r="E717" s="12">
        <f>'Raw Orders'!F717</f>
        <v>5386700.0000000009</v>
      </c>
      <c r="F717" s="12">
        <f>'Raw Orders'!F717*0.75</f>
        <v>4040025.0000000009</v>
      </c>
      <c r="G717" s="10">
        <f>'Raw Orders'!H717</f>
        <v>46143</v>
      </c>
      <c r="H717" s="10">
        <f>'Raw Orders'!I717</f>
        <v>46143</v>
      </c>
      <c r="I717" s="11">
        <f>'Raw Orders'!K717</f>
        <v>0.01</v>
      </c>
      <c r="J717" s="11">
        <f>IF('Raw Orders'!J717,"",(YEAR('Raw Orders'!I717)-YEAR('Raw Orders'!H717))*12+MONTH('Raw Orders'!I717)-MONTH('Raw Orders'!H717))</f>
        <v>0</v>
      </c>
      <c r="K717" t="str">
        <f>IF('Raw Orders'!J717,"Cancelled",IF('Raw Orders'!K717&gt;=2,"Slipped","On plan"))</f>
        <v>On plan</v>
      </c>
      <c r="L717" s="12">
        <f t="shared" si="11"/>
        <v>0</v>
      </c>
    </row>
    <row r="718" spans="1:12" x14ac:dyDescent="0.3">
      <c r="A718" t="str">
        <f>'Raw Orders'!A718</f>
        <v>NX-00714</v>
      </c>
      <c r="B718" t="str">
        <f>'Raw Orders'!B718</f>
        <v>North America</v>
      </c>
      <c r="C718" t="str">
        <f>'Raw Orders'!C718</f>
        <v>US / Canada</v>
      </c>
      <c r="D718" s="11">
        <f>'Raw Orders'!E718</f>
        <v>7.1</v>
      </c>
      <c r="E718" s="12">
        <f>'Raw Orders'!F718</f>
        <v>589300</v>
      </c>
      <c r="F718" s="12">
        <f>'Raw Orders'!F718*0.75</f>
        <v>441975</v>
      </c>
      <c r="G718" s="10">
        <f>'Raw Orders'!H718</f>
        <v>46054</v>
      </c>
      <c r="H718" s="10">
        <f>'Raw Orders'!I718</f>
        <v>46054</v>
      </c>
      <c r="I718" s="11">
        <f>'Raw Orders'!K718</f>
        <v>0</v>
      </c>
      <c r="J718" s="11">
        <f>IF('Raw Orders'!J718,"",(YEAR('Raw Orders'!I718)-YEAR('Raw Orders'!H718))*12+MONTH('Raw Orders'!I718)-MONTH('Raw Orders'!H718))</f>
        <v>0</v>
      </c>
      <c r="K718" t="str">
        <f>IF('Raw Orders'!J718,"Cancelled",IF('Raw Orders'!K718&gt;=2,"Slipped","On plan"))</f>
        <v>On plan</v>
      </c>
      <c r="L718" s="12">
        <f t="shared" si="11"/>
        <v>0</v>
      </c>
    </row>
    <row r="719" spans="1:12" x14ac:dyDescent="0.3">
      <c r="A719" t="str">
        <f>'Raw Orders'!A719</f>
        <v>NX-00715</v>
      </c>
      <c r="B719" t="str">
        <f>'Raw Orders'!B719</f>
        <v>North America</v>
      </c>
      <c r="C719" t="str">
        <f>'Raw Orders'!C719</f>
        <v>US / Canada</v>
      </c>
      <c r="D719" s="11">
        <f>'Raw Orders'!E719</f>
        <v>10.199999999999999</v>
      </c>
      <c r="E719" s="12">
        <f>'Raw Orders'!F719</f>
        <v>846599.99999999988</v>
      </c>
      <c r="F719" s="12">
        <f>'Raw Orders'!F719*0.75</f>
        <v>634949.99999999988</v>
      </c>
      <c r="G719" s="10">
        <f>'Raw Orders'!H719</f>
        <v>46082</v>
      </c>
      <c r="H719" s="10">
        <f>'Raw Orders'!I719</f>
        <v>46143</v>
      </c>
      <c r="I719" s="11">
        <f>'Raw Orders'!K719</f>
        <v>1.68</v>
      </c>
      <c r="J719" s="11">
        <f>IF('Raw Orders'!J719,"",(YEAR('Raw Orders'!I719)-YEAR('Raw Orders'!H719))*12+MONTH('Raw Orders'!I719)-MONTH('Raw Orders'!H719))</f>
        <v>2</v>
      </c>
      <c r="K719" t="str">
        <f>IF('Raw Orders'!J719,"Cancelled",IF('Raw Orders'!K719&gt;=2,"Slipped","On plan"))</f>
        <v>On plan</v>
      </c>
      <c r="L719" s="12">
        <f t="shared" si="11"/>
        <v>0</v>
      </c>
    </row>
    <row r="720" spans="1:12" x14ac:dyDescent="0.3">
      <c r="A720" t="str">
        <f>'Raw Orders'!A720</f>
        <v>NX-00716</v>
      </c>
      <c r="B720" t="str">
        <f>'Raw Orders'!B720</f>
        <v>North America</v>
      </c>
      <c r="C720" t="str">
        <f>'Raw Orders'!C720</f>
        <v>US / Canada</v>
      </c>
      <c r="D720" s="11">
        <f>'Raw Orders'!E720</f>
        <v>16.5</v>
      </c>
      <c r="E720" s="12">
        <f>'Raw Orders'!F720</f>
        <v>1369500</v>
      </c>
      <c r="F720" s="12">
        <f>'Raw Orders'!F720*0.75</f>
        <v>1027125</v>
      </c>
      <c r="G720" s="10">
        <f>'Raw Orders'!H720</f>
        <v>46113</v>
      </c>
      <c r="H720" s="10">
        <f>'Raw Orders'!I720</f>
        <v>46143</v>
      </c>
      <c r="I720" s="11">
        <f>'Raw Orders'!K720</f>
        <v>0.7</v>
      </c>
      <c r="J720" s="11">
        <f>IF('Raw Orders'!J720,"",(YEAR('Raw Orders'!I720)-YEAR('Raw Orders'!H720))*12+MONTH('Raw Orders'!I720)-MONTH('Raw Orders'!H720))</f>
        <v>1</v>
      </c>
      <c r="K720" t="str">
        <f>IF('Raw Orders'!J720,"Cancelled",IF('Raw Orders'!K720&gt;=2,"Slipped","On plan"))</f>
        <v>On plan</v>
      </c>
      <c r="L720" s="12">
        <f t="shared" si="11"/>
        <v>0</v>
      </c>
    </row>
    <row r="721" spans="1:12" x14ac:dyDescent="0.3">
      <c r="A721" t="str">
        <f>'Raw Orders'!A721</f>
        <v>NX-00717</v>
      </c>
      <c r="B721" t="str">
        <f>'Raw Orders'!B721</f>
        <v>North America</v>
      </c>
      <c r="C721" t="str">
        <f>'Raw Orders'!C721</f>
        <v>US / Canada</v>
      </c>
      <c r="D721" s="11">
        <f>'Raw Orders'!E721</f>
        <v>60</v>
      </c>
      <c r="E721" s="12">
        <f>'Raw Orders'!F721</f>
        <v>4980000</v>
      </c>
      <c r="F721" s="12">
        <f>'Raw Orders'!F721*0.75</f>
        <v>3735000</v>
      </c>
      <c r="G721" s="10">
        <f>'Raw Orders'!H721</f>
        <v>46174</v>
      </c>
      <c r="H721" s="10">
        <f>'Raw Orders'!I721</f>
        <v>46235</v>
      </c>
      <c r="I721" s="11">
        <f>'Raw Orders'!K721</f>
        <v>2.35</v>
      </c>
      <c r="J721" s="11">
        <f>IF('Raw Orders'!J721,"",(YEAR('Raw Orders'!I721)-YEAR('Raw Orders'!H721))*12+MONTH('Raw Orders'!I721)-MONTH('Raw Orders'!H721))</f>
        <v>2</v>
      </c>
      <c r="K721" t="str">
        <f>IF('Raw Orders'!J721,"Cancelled",IF('Raw Orders'!K721&gt;=2,"Slipped","On plan"))</f>
        <v>Slipped</v>
      </c>
      <c r="L721" s="12">
        <f t="shared" si="11"/>
        <v>3735000</v>
      </c>
    </row>
    <row r="722" spans="1:12" x14ac:dyDescent="0.3">
      <c r="A722" t="str">
        <f>'Raw Orders'!A722</f>
        <v>NX-00718</v>
      </c>
      <c r="B722" t="str">
        <f>'Raw Orders'!B722</f>
        <v>North America</v>
      </c>
      <c r="C722" t="str">
        <f>'Raw Orders'!C722</f>
        <v>US / Canada</v>
      </c>
      <c r="D722" s="11">
        <f>'Raw Orders'!E722</f>
        <v>9.1</v>
      </c>
      <c r="E722" s="12">
        <f>'Raw Orders'!F722</f>
        <v>755300</v>
      </c>
      <c r="F722" s="12">
        <f>'Raw Orders'!F722*0.75</f>
        <v>566475</v>
      </c>
      <c r="G722" s="10">
        <f>'Raw Orders'!H722</f>
        <v>46174</v>
      </c>
      <c r="H722" s="10">
        <f>'Raw Orders'!I722</f>
        <v>46174</v>
      </c>
      <c r="I722" s="11">
        <f>'Raw Orders'!K722</f>
        <v>0.11</v>
      </c>
      <c r="J722" s="11">
        <f>IF('Raw Orders'!J722,"",(YEAR('Raw Orders'!I722)-YEAR('Raw Orders'!H722))*12+MONTH('Raw Orders'!I722)-MONTH('Raw Orders'!H722))</f>
        <v>0</v>
      </c>
      <c r="K722" t="str">
        <f>IF('Raw Orders'!J722,"Cancelled",IF('Raw Orders'!K722&gt;=2,"Slipped","On plan"))</f>
        <v>On plan</v>
      </c>
      <c r="L722" s="12">
        <f t="shared" si="11"/>
        <v>0</v>
      </c>
    </row>
    <row r="723" spans="1:12" x14ac:dyDescent="0.3">
      <c r="A723" t="str">
        <f>'Raw Orders'!A723</f>
        <v>NX-00719</v>
      </c>
      <c r="B723" t="str">
        <f>'Raw Orders'!B723</f>
        <v>North America</v>
      </c>
      <c r="C723" t="str">
        <f>'Raw Orders'!C723</f>
        <v>US / Canada</v>
      </c>
      <c r="D723" s="11">
        <f>'Raw Orders'!E723</f>
        <v>21.2</v>
      </c>
      <c r="E723" s="12">
        <f>'Raw Orders'!F723</f>
        <v>1759600</v>
      </c>
      <c r="F723" s="12">
        <f>'Raw Orders'!F723*0.75</f>
        <v>1319700</v>
      </c>
      <c r="G723" s="10">
        <f>'Raw Orders'!H723</f>
        <v>46143</v>
      </c>
      <c r="H723" s="10">
        <f>'Raw Orders'!I723</f>
        <v>46143</v>
      </c>
      <c r="I723" s="11">
        <f>'Raw Orders'!K723</f>
        <v>0.08</v>
      </c>
      <c r="J723" s="11">
        <f>IF('Raw Orders'!J723,"",(YEAR('Raw Orders'!I723)-YEAR('Raw Orders'!H723))*12+MONTH('Raw Orders'!I723)-MONTH('Raw Orders'!H723))</f>
        <v>0</v>
      </c>
      <c r="K723" t="str">
        <f>IF('Raw Orders'!J723,"Cancelled",IF('Raw Orders'!K723&gt;=2,"Slipped","On plan"))</f>
        <v>On plan</v>
      </c>
      <c r="L723" s="12">
        <f t="shared" si="11"/>
        <v>0</v>
      </c>
    </row>
    <row r="724" spans="1:12" x14ac:dyDescent="0.3">
      <c r="A724" t="str">
        <f>'Raw Orders'!A724</f>
        <v>NX-00720</v>
      </c>
      <c r="B724" t="str">
        <f>'Raw Orders'!B724</f>
        <v>North America</v>
      </c>
      <c r="C724" t="str">
        <f>'Raw Orders'!C724</f>
        <v>US / Canada</v>
      </c>
      <c r="D724" s="11">
        <f>'Raw Orders'!E724</f>
        <v>27.2</v>
      </c>
      <c r="E724" s="12">
        <f>'Raw Orders'!F724</f>
        <v>2257600</v>
      </c>
      <c r="F724" s="12">
        <f>'Raw Orders'!F724*0.75</f>
        <v>1693200</v>
      </c>
      <c r="G724" s="10">
        <f>'Raw Orders'!H724</f>
        <v>46082</v>
      </c>
      <c r="H724" s="10">
        <f>'Raw Orders'!I724</f>
        <v>46082</v>
      </c>
      <c r="I724" s="11">
        <f>'Raw Orders'!K724</f>
        <v>0.02</v>
      </c>
      <c r="J724" s="11">
        <f>IF('Raw Orders'!J724,"",(YEAR('Raw Orders'!I724)-YEAR('Raw Orders'!H724))*12+MONTH('Raw Orders'!I724)-MONTH('Raw Orders'!H724))</f>
        <v>0</v>
      </c>
      <c r="K724" t="str">
        <f>IF('Raw Orders'!J724,"Cancelled",IF('Raw Orders'!K724&gt;=2,"Slipped","On plan"))</f>
        <v>On plan</v>
      </c>
      <c r="L724" s="12">
        <f t="shared" si="11"/>
        <v>0</v>
      </c>
    </row>
    <row r="725" spans="1:12" x14ac:dyDescent="0.3">
      <c r="A725" t="str">
        <f>'Raw Orders'!A725</f>
        <v>NX-00721</v>
      </c>
      <c r="B725" t="str">
        <f>'Raw Orders'!B725</f>
        <v>EMEA</v>
      </c>
      <c r="C725" t="str">
        <f>'Raw Orders'!C725</f>
        <v>Europe</v>
      </c>
      <c r="D725" s="11">
        <f>'Raw Orders'!E725</f>
        <v>29.9</v>
      </c>
      <c r="E725" s="12">
        <f>'Raw Orders'!F725</f>
        <v>2631200</v>
      </c>
      <c r="F725" s="12">
        <f>'Raw Orders'!F725*0.75</f>
        <v>1973400</v>
      </c>
      <c r="G725" s="10">
        <f>'Raw Orders'!H725</f>
        <v>46204</v>
      </c>
      <c r="H725" s="10">
        <f>'Raw Orders'!I725</f>
        <v>46204</v>
      </c>
      <c r="I725" s="11">
        <f>'Raw Orders'!K725</f>
        <v>0.34</v>
      </c>
      <c r="J725" s="11">
        <f>IF('Raw Orders'!J725,"",(YEAR('Raw Orders'!I725)-YEAR('Raw Orders'!H725))*12+MONTH('Raw Orders'!I725)-MONTH('Raw Orders'!H725))</f>
        <v>0</v>
      </c>
      <c r="K725" t="str">
        <f>IF('Raw Orders'!J725,"Cancelled",IF('Raw Orders'!K725&gt;=2,"Slipped","On plan"))</f>
        <v>On plan</v>
      </c>
      <c r="L725" s="12">
        <f t="shared" si="11"/>
        <v>0</v>
      </c>
    </row>
    <row r="726" spans="1:12" x14ac:dyDescent="0.3">
      <c r="A726" t="str">
        <f>'Raw Orders'!A726</f>
        <v>NX-00722</v>
      </c>
      <c r="B726" t="str">
        <f>'Raw Orders'!B726</f>
        <v>EMEA</v>
      </c>
      <c r="C726" t="str">
        <f>'Raw Orders'!C726</f>
        <v>Europe</v>
      </c>
      <c r="D726" s="11">
        <f>'Raw Orders'!E726</f>
        <v>2.2000000000000002</v>
      </c>
      <c r="E726" s="12">
        <f>'Raw Orders'!F726</f>
        <v>193600</v>
      </c>
      <c r="F726" s="12">
        <f>'Raw Orders'!F726*0.75</f>
        <v>145200</v>
      </c>
      <c r="G726" s="10">
        <f>'Raw Orders'!H726</f>
        <v>46204</v>
      </c>
      <c r="H726" s="10">
        <f>'Raw Orders'!I726</f>
        <v>46204</v>
      </c>
      <c r="I726" s="11">
        <f>'Raw Orders'!K726</f>
        <v>0.38</v>
      </c>
      <c r="J726" s="11">
        <f>IF('Raw Orders'!J726,"",(YEAR('Raw Orders'!I726)-YEAR('Raw Orders'!H726))*12+MONTH('Raw Orders'!I726)-MONTH('Raw Orders'!H726))</f>
        <v>0</v>
      </c>
      <c r="K726" t="str">
        <f>IF('Raw Orders'!J726,"Cancelled",IF('Raw Orders'!K726&gt;=2,"Slipped","On plan"))</f>
        <v>On plan</v>
      </c>
      <c r="L726" s="12">
        <f t="shared" si="11"/>
        <v>0</v>
      </c>
    </row>
    <row r="727" spans="1:12" x14ac:dyDescent="0.3">
      <c r="A727" t="str">
        <f>'Raw Orders'!A727</f>
        <v>NX-00723</v>
      </c>
      <c r="B727" t="str">
        <f>'Raw Orders'!B727</f>
        <v>EMEA</v>
      </c>
      <c r="C727" t="str">
        <f>'Raw Orders'!C727</f>
        <v>Europe</v>
      </c>
      <c r="D727" s="11">
        <f>'Raw Orders'!E727</f>
        <v>10.6</v>
      </c>
      <c r="E727" s="12">
        <f>'Raw Orders'!F727</f>
        <v>932800</v>
      </c>
      <c r="F727" s="12">
        <f>'Raw Orders'!F727*0.75</f>
        <v>699600</v>
      </c>
      <c r="G727" s="10">
        <f>'Raw Orders'!H727</f>
        <v>46054</v>
      </c>
      <c r="H727" s="10">
        <f>'Raw Orders'!I727</f>
        <v>46447</v>
      </c>
      <c r="I727" s="11">
        <f>'Raw Orders'!K727</f>
        <v>13.25</v>
      </c>
      <c r="J727" s="11">
        <f>IF('Raw Orders'!J727,"",(YEAR('Raw Orders'!I727)-YEAR('Raw Orders'!H727))*12+MONTH('Raw Orders'!I727)-MONTH('Raw Orders'!H727))</f>
        <v>13</v>
      </c>
      <c r="K727" t="str">
        <f>IF('Raw Orders'!J727,"Cancelled",IF('Raw Orders'!K727&gt;=2,"Slipped","On plan"))</f>
        <v>Slipped</v>
      </c>
      <c r="L727" s="12">
        <f t="shared" si="11"/>
        <v>699600</v>
      </c>
    </row>
    <row r="728" spans="1:12" x14ac:dyDescent="0.3">
      <c r="A728" t="str">
        <f>'Raw Orders'!A728</f>
        <v>NX-00724</v>
      </c>
      <c r="B728" t="str">
        <f>'Raw Orders'!B728</f>
        <v>EMEA</v>
      </c>
      <c r="C728" t="str">
        <f>'Raw Orders'!C728</f>
        <v>Europe</v>
      </c>
      <c r="D728" s="11">
        <f>'Raw Orders'!E728</f>
        <v>23.8</v>
      </c>
      <c r="E728" s="12">
        <f>'Raw Orders'!F728</f>
        <v>2094400</v>
      </c>
      <c r="F728" s="12">
        <f>'Raw Orders'!F728*0.75</f>
        <v>1570800</v>
      </c>
      <c r="G728" s="10">
        <f>'Raw Orders'!H728</f>
        <v>46204</v>
      </c>
      <c r="H728" s="10">
        <f>'Raw Orders'!I728</f>
        <v>46296</v>
      </c>
      <c r="I728" s="11">
        <f>'Raw Orders'!K728</f>
        <v>3.23</v>
      </c>
      <c r="J728" s="11">
        <f>IF('Raw Orders'!J728,"",(YEAR('Raw Orders'!I728)-YEAR('Raw Orders'!H728))*12+MONTH('Raw Orders'!I728)-MONTH('Raw Orders'!H728))</f>
        <v>3</v>
      </c>
      <c r="K728" t="str">
        <f>IF('Raw Orders'!J728,"Cancelled",IF('Raw Orders'!K728&gt;=2,"Slipped","On plan"))</f>
        <v>Slipped</v>
      </c>
      <c r="L728" s="12">
        <f t="shared" si="11"/>
        <v>1570800</v>
      </c>
    </row>
    <row r="729" spans="1:12" x14ac:dyDescent="0.3">
      <c r="A729" t="str">
        <f>'Raw Orders'!A729</f>
        <v>NX-00725</v>
      </c>
      <c r="B729" t="str">
        <f>'Raw Orders'!B729</f>
        <v>EMEA</v>
      </c>
      <c r="C729" t="str">
        <f>'Raw Orders'!C729</f>
        <v>MENA</v>
      </c>
      <c r="D729" s="11">
        <f>'Raw Orders'!E729</f>
        <v>18.5</v>
      </c>
      <c r="E729" s="12">
        <f>'Raw Orders'!F729</f>
        <v>1498500</v>
      </c>
      <c r="F729" s="12">
        <f>'Raw Orders'!F729*0.75</f>
        <v>1123875</v>
      </c>
      <c r="G729" s="10">
        <f>'Raw Orders'!H729</f>
        <v>46082</v>
      </c>
      <c r="H729" s="10">
        <f>'Raw Orders'!I729</f>
        <v>46113</v>
      </c>
      <c r="I729" s="11">
        <f>'Raw Orders'!K729</f>
        <v>1.06</v>
      </c>
      <c r="J729" s="11">
        <f>IF('Raw Orders'!J729,"",(YEAR('Raw Orders'!I729)-YEAR('Raw Orders'!H729))*12+MONTH('Raw Orders'!I729)-MONTH('Raw Orders'!H729))</f>
        <v>1</v>
      </c>
      <c r="K729" t="str">
        <f>IF('Raw Orders'!J729,"Cancelled",IF('Raw Orders'!K729&gt;=2,"Slipped","On plan"))</f>
        <v>On plan</v>
      </c>
      <c r="L729" s="12">
        <f t="shared" si="11"/>
        <v>0</v>
      </c>
    </row>
    <row r="730" spans="1:12" x14ac:dyDescent="0.3">
      <c r="A730" t="str">
        <f>'Raw Orders'!A730</f>
        <v>NX-00726</v>
      </c>
      <c r="B730" t="str">
        <f>'Raw Orders'!B730</f>
        <v>EMEA</v>
      </c>
      <c r="C730" t="str">
        <f>'Raw Orders'!C730</f>
        <v>MENA</v>
      </c>
      <c r="D730" s="11">
        <f>'Raw Orders'!E730</f>
        <v>23</v>
      </c>
      <c r="E730" s="12">
        <f>'Raw Orders'!F730</f>
        <v>1863000</v>
      </c>
      <c r="F730" s="12">
        <f>'Raw Orders'!F730*0.75</f>
        <v>1397250</v>
      </c>
      <c r="G730" s="10">
        <f>'Raw Orders'!H730</f>
        <v>46054</v>
      </c>
      <c r="H730" s="10">
        <f>'Raw Orders'!I730</f>
        <v>46082</v>
      </c>
      <c r="I730" s="11">
        <f>'Raw Orders'!K730</f>
        <v>0.53</v>
      </c>
      <c r="J730" s="11">
        <f>IF('Raw Orders'!J730,"",(YEAR('Raw Orders'!I730)-YEAR('Raw Orders'!H730))*12+MONTH('Raw Orders'!I730)-MONTH('Raw Orders'!H730))</f>
        <v>1</v>
      </c>
      <c r="K730" t="str">
        <f>IF('Raw Orders'!J730,"Cancelled",IF('Raw Orders'!K730&gt;=2,"Slipped","On plan"))</f>
        <v>On plan</v>
      </c>
      <c r="L730" s="12">
        <f t="shared" si="11"/>
        <v>0</v>
      </c>
    </row>
    <row r="731" spans="1:12" x14ac:dyDescent="0.3">
      <c r="A731" t="str">
        <f>'Raw Orders'!A731</f>
        <v>NX-00727</v>
      </c>
      <c r="B731" t="str">
        <f>'Raw Orders'!B731</f>
        <v>EMEA</v>
      </c>
      <c r="C731" t="str">
        <f>'Raw Orders'!C731</f>
        <v>MENA</v>
      </c>
      <c r="D731" s="11">
        <f>'Raw Orders'!E731</f>
        <v>9.3000000000000007</v>
      </c>
      <c r="E731" s="12">
        <f>'Raw Orders'!F731</f>
        <v>753300</v>
      </c>
      <c r="F731" s="12">
        <f>'Raw Orders'!F731*0.75</f>
        <v>564975</v>
      </c>
      <c r="G731" s="10">
        <f>'Raw Orders'!H731</f>
        <v>46204</v>
      </c>
      <c r="H731" s="10">
        <f>'Raw Orders'!I731</f>
        <v>46235</v>
      </c>
      <c r="I731" s="11">
        <f>'Raw Orders'!K731</f>
        <v>0.91</v>
      </c>
      <c r="J731" s="11">
        <f>IF('Raw Orders'!J731,"",(YEAR('Raw Orders'!I731)-YEAR('Raw Orders'!H731))*12+MONTH('Raw Orders'!I731)-MONTH('Raw Orders'!H731))</f>
        <v>1</v>
      </c>
      <c r="K731" t="str">
        <f>IF('Raw Orders'!J731,"Cancelled",IF('Raw Orders'!K731&gt;=2,"Slipped","On plan"))</f>
        <v>On plan</v>
      </c>
      <c r="L731" s="12">
        <f t="shared" si="11"/>
        <v>0</v>
      </c>
    </row>
    <row r="732" spans="1:12" x14ac:dyDescent="0.3">
      <c r="A732" t="str">
        <f>'Raw Orders'!A732</f>
        <v>NX-00728</v>
      </c>
      <c r="B732" t="str">
        <f>'Raw Orders'!B732</f>
        <v>EMEA</v>
      </c>
      <c r="C732" t="str">
        <f>'Raw Orders'!C732</f>
        <v>MENA</v>
      </c>
      <c r="D732" s="11">
        <f>'Raw Orders'!E732</f>
        <v>83.9</v>
      </c>
      <c r="E732" s="12">
        <f>'Raw Orders'!F732</f>
        <v>6795900</v>
      </c>
      <c r="F732" s="12">
        <f>'Raw Orders'!F732*0.75</f>
        <v>5096925</v>
      </c>
      <c r="G732" s="10">
        <f>'Raw Orders'!H732</f>
        <v>46082</v>
      </c>
      <c r="H732" s="10">
        <f>'Raw Orders'!I732</f>
        <v>46082</v>
      </c>
      <c r="I732" s="11">
        <f>'Raw Orders'!K732</f>
        <v>0.42</v>
      </c>
      <c r="J732" s="11">
        <f>IF('Raw Orders'!J732,"",(YEAR('Raw Orders'!I732)-YEAR('Raw Orders'!H732))*12+MONTH('Raw Orders'!I732)-MONTH('Raw Orders'!H732))</f>
        <v>0</v>
      </c>
      <c r="K732" t="str">
        <f>IF('Raw Orders'!J732,"Cancelled",IF('Raw Orders'!K732&gt;=2,"Slipped","On plan"))</f>
        <v>On plan</v>
      </c>
      <c r="L732" s="12">
        <f t="shared" si="11"/>
        <v>0</v>
      </c>
    </row>
    <row r="733" spans="1:12" x14ac:dyDescent="0.3">
      <c r="A733" t="str">
        <f>'Raw Orders'!A733</f>
        <v>NX-00729</v>
      </c>
      <c r="B733" t="str">
        <f>'Raw Orders'!B733</f>
        <v>EMEA</v>
      </c>
      <c r="C733" t="str">
        <f>'Raw Orders'!C733</f>
        <v>MENA</v>
      </c>
      <c r="D733" s="11">
        <f>'Raw Orders'!E733</f>
        <v>8.6999999999999993</v>
      </c>
      <c r="E733" s="12">
        <f>'Raw Orders'!F733</f>
        <v>704700</v>
      </c>
      <c r="F733" s="12">
        <f>'Raw Orders'!F733*0.75</f>
        <v>528525</v>
      </c>
      <c r="G733" s="10">
        <f>'Raw Orders'!H733</f>
        <v>46143</v>
      </c>
      <c r="H733" s="10">
        <f>'Raw Orders'!I733</f>
        <v>46174</v>
      </c>
      <c r="I733" s="11">
        <f>'Raw Orders'!K733</f>
        <v>0.52</v>
      </c>
      <c r="J733" s="11">
        <f>IF('Raw Orders'!J733,"",(YEAR('Raw Orders'!I733)-YEAR('Raw Orders'!H733))*12+MONTH('Raw Orders'!I733)-MONTH('Raw Orders'!H733))</f>
        <v>1</v>
      </c>
      <c r="K733" t="str">
        <f>IF('Raw Orders'!J733,"Cancelled",IF('Raw Orders'!K733&gt;=2,"Slipped","On plan"))</f>
        <v>On plan</v>
      </c>
      <c r="L733" s="12">
        <f t="shared" si="11"/>
        <v>0</v>
      </c>
    </row>
    <row r="734" spans="1:12" x14ac:dyDescent="0.3">
      <c r="A734" t="str">
        <f>'Raw Orders'!A734</f>
        <v>NX-00730</v>
      </c>
      <c r="B734" t="str">
        <f>'Raw Orders'!B734</f>
        <v>APAC</v>
      </c>
      <c r="C734" t="str">
        <f>'Raw Orders'!C734</f>
        <v>Australia/SEA</v>
      </c>
      <c r="D734" s="11">
        <f>'Raw Orders'!E734</f>
        <v>17.600000000000001</v>
      </c>
      <c r="E734" s="12">
        <f>'Raw Orders'!F734</f>
        <v>1478400</v>
      </c>
      <c r="F734" s="12">
        <f>'Raw Orders'!F734*0.75</f>
        <v>1108800</v>
      </c>
      <c r="G734" s="10">
        <f>'Raw Orders'!H734</f>
        <v>46082</v>
      </c>
      <c r="H734" s="10">
        <f>'Raw Orders'!I734</f>
        <v>46143</v>
      </c>
      <c r="I734" s="11">
        <f>'Raw Orders'!K734</f>
        <v>1.51</v>
      </c>
      <c r="J734" s="11">
        <f>IF('Raw Orders'!J734,"",(YEAR('Raw Orders'!I734)-YEAR('Raw Orders'!H734))*12+MONTH('Raw Orders'!I734)-MONTH('Raw Orders'!H734))</f>
        <v>2</v>
      </c>
      <c r="K734" t="str">
        <f>IF('Raw Orders'!J734,"Cancelled",IF('Raw Orders'!K734&gt;=2,"Slipped","On plan"))</f>
        <v>On plan</v>
      </c>
      <c r="L734" s="12">
        <f t="shared" si="11"/>
        <v>0</v>
      </c>
    </row>
    <row r="735" spans="1:12" x14ac:dyDescent="0.3">
      <c r="A735" t="str">
        <f>'Raw Orders'!A735</f>
        <v>NX-00731</v>
      </c>
      <c r="B735" t="str">
        <f>'Raw Orders'!B735</f>
        <v>LATAM</v>
      </c>
      <c r="C735" t="str">
        <f>'Raw Orders'!C735</f>
        <v>LATAM</v>
      </c>
      <c r="D735" s="11">
        <f>'Raw Orders'!E735</f>
        <v>9.6</v>
      </c>
      <c r="E735" s="12">
        <f>'Raw Orders'!F735</f>
        <v>758400</v>
      </c>
      <c r="F735" s="12">
        <f>'Raw Orders'!F735*0.75</f>
        <v>568800</v>
      </c>
      <c r="G735" s="10">
        <f>'Raw Orders'!H735</f>
        <v>46174</v>
      </c>
      <c r="H735" s="10">
        <f>'Raw Orders'!I735</f>
        <v>46174</v>
      </c>
      <c r="I735" s="11">
        <f>'Raw Orders'!K735</f>
        <v>0.44</v>
      </c>
      <c r="J735" s="11">
        <f>IF('Raw Orders'!J735,"",(YEAR('Raw Orders'!I735)-YEAR('Raw Orders'!H735))*12+MONTH('Raw Orders'!I735)-MONTH('Raw Orders'!H735))</f>
        <v>0</v>
      </c>
      <c r="K735" t="str">
        <f>IF('Raw Orders'!J735,"Cancelled",IF('Raw Orders'!K735&gt;=2,"Slipped","On plan"))</f>
        <v>On plan</v>
      </c>
      <c r="L735" s="12">
        <f t="shared" si="11"/>
        <v>0</v>
      </c>
    </row>
    <row r="736" spans="1:12" x14ac:dyDescent="0.3">
      <c r="A736" t="str">
        <f>'Raw Orders'!A736</f>
        <v>NX-00732</v>
      </c>
      <c r="B736" t="str">
        <f>'Raw Orders'!B736</f>
        <v>LATAM</v>
      </c>
      <c r="C736" t="str">
        <f>'Raw Orders'!C736</f>
        <v>LATAM</v>
      </c>
      <c r="D736" s="11">
        <f>'Raw Orders'!E736</f>
        <v>22.7</v>
      </c>
      <c r="E736" s="12">
        <f>'Raw Orders'!F736</f>
        <v>1793300</v>
      </c>
      <c r="F736" s="12">
        <f>'Raw Orders'!F736*0.75</f>
        <v>1344975</v>
      </c>
      <c r="G736" s="10">
        <f>'Raw Orders'!H736</f>
        <v>46204</v>
      </c>
      <c r="H736" s="10">
        <f>'Raw Orders'!I736</f>
        <v>46235</v>
      </c>
      <c r="I736" s="11">
        <f>'Raw Orders'!K736</f>
        <v>1.25</v>
      </c>
      <c r="J736" s="11">
        <f>IF('Raw Orders'!J736,"",(YEAR('Raw Orders'!I736)-YEAR('Raw Orders'!H736))*12+MONTH('Raw Orders'!I736)-MONTH('Raw Orders'!H736))</f>
        <v>1</v>
      </c>
      <c r="K736" t="str">
        <f>IF('Raw Orders'!J736,"Cancelled",IF('Raw Orders'!K736&gt;=2,"Slipped","On plan"))</f>
        <v>On plan</v>
      </c>
      <c r="L736" s="12">
        <f t="shared" si="11"/>
        <v>0</v>
      </c>
    </row>
    <row r="737" spans="1:12" x14ac:dyDescent="0.3">
      <c r="A737" t="str">
        <f>'Raw Orders'!A737</f>
        <v>NX-00733</v>
      </c>
      <c r="B737" t="str">
        <f>'Raw Orders'!B737</f>
        <v>LATAM</v>
      </c>
      <c r="C737" t="str">
        <f>'Raw Orders'!C737</f>
        <v>LATAM</v>
      </c>
      <c r="D737" s="11">
        <f>'Raw Orders'!E737</f>
        <v>58.2</v>
      </c>
      <c r="E737" s="12">
        <f>'Raw Orders'!F737</f>
        <v>4597800</v>
      </c>
      <c r="F737" s="12">
        <f>'Raw Orders'!F737*0.75</f>
        <v>3448350</v>
      </c>
      <c r="G737" s="10">
        <f>'Raw Orders'!H737</f>
        <v>46174</v>
      </c>
      <c r="H737" s="10">
        <f>'Raw Orders'!I737</f>
        <v>46296</v>
      </c>
      <c r="I737" s="11">
        <f>'Raw Orders'!K737</f>
        <v>4.24</v>
      </c>
      <c r="J737" s="11">
        <f>IF('Raw Orders'!J737,"",(YEAR('Raw Orders'!I737)-YEAR('Raw Orders'!H737))*12+MONTH('Raw Orders'!I737)-MONTH('Raw Orders'!H737))</f>
        <v>4</v>
      </c>
      <c r="K737" t="str">
        <f>IF('Raw Orders'!J737,"Cancelled",IF('Raw Orders'!K737&gt;=2,"Slipped","On plan"))</f>
        <v>Slipped</v>
      </c>
      <c r="L737" s="12">
        <f t="shared" si="11"/>
        <v>3448350</v>
      </c>
    </row>
    <row r="738" spans="1:12" x14ac:dyDescent="0.3">
      <c r="A738" t="str">
        <f>'Raw Orders'!A738</f>
        <v>NX-00734</v>
      </c>
      <c r="B738" t="str">
        <f>'Raw Orders'!B738</f>
        <v>North America</v>
      </c>
      <c r="C738" t="str">
        <f>'Raw Orders'!C738</f>
        <v>US / Canada</v>
      </c>
      <c r="D738" s="11">
        <f>'Raw Orders'!E738</f>
        <v>36.5</v>
      </c>
      <c r="E738" s="12">
        <f>'Raw Orders'!F738</f>
        <v>3029500</v>
      </c>
      <c r="F738" s="12">
        <f>'Raw Orders'!F738*0.75</f>
        <v>2272125</v>
      </c>
      <c r="G738" s="10">
        <f>'Raw Orders'!H738</f>
        <v>46204</v>
      </c>
      <c r="H738" s="10">
        <f>'Raw Orders'!I738</f>
        <v>46204</v>
      </c>
      <c r="I738" s="11">
        <f>'Raw Orders'!K738</f>
        <v>0.01</v>
      </c>
      <c r="J738" s="11">
        <f>IF('Raw Orders'!J738,"",(YEAR('Raw Orders'!I738)-YEAR('Raw Orders'!H738))*12+MONTH('Raw Orders'!I738)-MONTH('Raw Orders'!H738))</f>
        <v>0</v>
      </c>
      <c r="K738" t="str">
        <f>IF('Raw Orders'!J738,"Cancelled",IF('Raw Orders'!K738&gt;=2,"Slipped","On plan"))</f>
        <v>On plan</v>
      </c>
      <c r="L738" s="12">
        <f t="shared" si="11"/>
        <v>0</v>
      </c>
    </row>
    <row r="739" spans="1:12" x14ac:dyDescent="0.3">
      <c r="A739" t="str">
        <f>'Raw Orders'!A739</f>
        <v>NX-00735</v>
      </c>
      <c r="B739" t="str">
        <f>'Raw Orders'!B739</f>
        <v>North America</v>
      </c>
      <c r="C739" t="str">
        <f>'Raw Orders'!C739</f>
        <v>US / Canada</v>
      </c>
      <c r="D739" s="11">
        <f>'Raw Orders'!E739</f>
        <v>23.1</v>
      </c>
      <c r="E739" s="12">
        <f>'Raw Orders'!F739</f>
        <v>1917300</v>
      </c>
      <c r="F739" s="12">
        <f>'Raw Orders'!F739*0.75</f>
        <v>1437975</v>
      </c>
      <c r="G739" s="10">
        <f>'Raw Orders'!H739</f>
        <v>46113</v>
      </c>
      <c r="H739" s="10">
        <f>'Raw Orders'!I739</f>
        <v>46143</v>
      </c>
      <c r="I739" s="11">
        <f>'Raw Orders'!K739</f>
        <v>0.87</v>
      </c>
      <c r="J739" s="11">
        <f>IF('Raw Orders'!J739,"",(YEAR('Raw Orders'!I739)-YEAR('Raw Orders'!H739))*12+MONTH('Raw Orders'!I739)-MONTH('Raw Orders'!H739))</f>
        <v>1</v>
      </c>
      <c r="K739" t="str">
        <f>IF('Raw Orders'!J739,"Cancelled",IF('Raw Orders'!K739&gt;=2,"Slipped","On plan"))</f>
        <v>On plan</v>
      </c>
      <c r="L739" s="12">
        <f t="shared" si="11"/>
        <v>0</v>
      </c>
    </row>
    <row r="740" spans="1:12" x14ac:dyDescent="0.3">
      <c r="A740" t="str">
        <f>'Raw Orders'!A740</f>
        <v>NX-00736</v>
      </c>
      <c r="B740" t="str">
        <f>'Raw Orders'!B740</f>
        <v>North America</v>
      </c>
      <c r="C740" t="str">
        <f>'Raw Orders'!C740</f>
        <v>US / Canada</v>
      </c>
      <c r="D740" s="11">
        <f>'Raw Orders'!E740</f>
        <v>27.3</v>
      </c>
      <c r="E740" s="12">
        <f>'Raw Orders'!F740</f>
        <v>2265900</v>
      </c>
      <c r="F740" s="12">
        <f>'Raw Orders'!F740*0.75</f>
        <v>1699425</v>
      </c>
      <c r="G740" s="10">
        <f>'Raw Orders'!H740</f>
        <v>46113</v>
      </c>
      <c r="H740" s="10">
        <f>'Raw Orders'!I740</f>
        <v>46113</v>
      </c>
      <c r="I740" s="11">
        <f>'Raw Orders'!K740</f>
        <v>0</v>
      </c>
      <c r="J740" s="11">
        <f>IF('Raw Orders'!J740,"",(YEAR('Raw Orders'!I740)-YEAR('Raw Orders'!H740))*12+MONTH('Raw Orders'!I740)-MONTH('Raw Orders'!H740))</f>
        <v>0</v>
      </c>
      <c r="K740" t="str">
        <f>IF('Raw Orders'!J740,"Cancelled",IF('Raw Orders'!K740&gt;=2,"Slipped","On plan"))</f>
        <v>On plan</v>
      </c>
      <c r="L740" s="12">
        <f t="shared" si="11"/>
        <v>0</v>
      </c>
    </row>
    <row r="741" spans="1:12" x14ac:dyDescent="0.3">
      <c r="A741" t="str">
        <f>'Raw Orders'!A741</f>
        <v>NX-00737</v>
      </c>
      <c r="B741" t="str">
        <f>'Raw Orders'!B741</f>
        <v>North America</v>
      </c>
      <c r="C741" t="str">
        <f>'Raw Orders'!C741</f>
        <v>US / Canada</v>
      </c>
      <c r="D741" s="11">
        <f>'Raw Orders'!E741</f>
        <v>23.3</v>
      </c>
      <c r="E741" s="12">
        <f>'Raw Orders'!F741</f>
        <v>1933900</v>
      </c>
      <c r="F741" s="12">
        <f>'Raw Orders'!F741*0.75</f>
        <v>1450425</v>
      </c>
      <c r="G741" s="10">
        <f>'Raw Orders'!H741</f>
        <v>46082</v>
      </c>
      <c r="H741" s="10">
        <f>'Raw Orders'!I741</f>
        <v>46082</v>
      </c>
      <c r="I741" s="11">
        <f>'Raw Orders'!K741</f>
        <v>0.08</v>
      </c>
      <c r="J741" s="11">
        <f>IF('Raw Orders'!J741,"",(YEAR('Raw Orders'!I741)-YEAR('Raw Orders'!H741))*12+MONTH('Raw Orders'!I741)-MONTH('Raw Orders'!H741))</f>
        <v>0</v>
      </c>
      <c r="K741" t="str">
        <f>IF('Raw Orders'!J741,"Cancelled",IF('Raw Orders'!K741&gt;=2,"Slipped","On plan"))</f>
        <v>On plan</v>
      </c>
      <c r="L741" s="12">
        <f t="shared" si="11"/>
        <v>0</v>
      </c>
    </row>
    <row r="742" spans="1:12" x14ac:dyDescent="0.3">
      <c r="A742" t="str">
        <f>'Raw Orders'!A742</f>
        <v>NX-00738</v>
      </c>
      <c r="B742" t="str">
        <f>'Raw Orders'!B742</f>
        <v>North America</v>
      </c>
      <c r="C742" t="str">
        <f>'Raw Orders'!C742</f>
        <v>US / Canada</v>
      </c>
      <c r="D742" s="11">
        <f>'Raw Orders'!E742</f>
        <v>11.6</v>
      </c>
      <c r="E742" s="12">
        <f>'Raw Orders'!F742</f>
        <v>962800</v>
      </c>
      <c r="F742" s="12">
        <f>'Raw Orders'!F742*0.75</f>
        <v>722100</v>
      </c>
      <c r="G742" s="10">
        <f>'Raw Orders'!H742</f>
        <v>46113</v>
      </c>
      <c r="H742" s="10">
        <f>'Raw Orders'!I742</f>
        <v>46204</v>
      </c>
      <c r="I742" s="11">
        <f>'Raw Orders'!K742</f>
        <v>3</v>
      </c>
      <c r="J742" s="11">
        <f>IF('Raw Orders'!J742,"",(YEAR('Raw Orders'!I742)-YEAR('Raw Orders'!H742))*12+MONTH('Raw Orders'!I742)-MONTH('Raw Orders'!H742))</f>
        <v>3</v>
      </c>
      <c r="K742" t="str">
        <f>IF('Raw Orders'!J742,"Cancelled",IF('Raw Orders'!K742&gt;=2,"Slipped","On plan"))</f>
        <v>Slipped</v>
      </c>
      <c r="L742" s="12">
        <f t="shared" si="11"/>
        <v>722100</v>
      </c>
    </row>
    <row r="743" spans="1:12" x14ac:dyDescent="0.3">
      <c r="A743" t="str">
        <f>'Raw Orders'!A743</f>
        <v>NX-00739</v>
      </c>
      <c r="B743" t="str">
        <f>'Raw Orders'!B743</f>
        <v>North America</v>
      </c>
      <c r="C743" t="str">
        <f>'Raw Orders'!C743</f>
        <v>US / Canada</v>
      </c>
      <c r="D743" s="11">
        <f>'Raw Orders'!E743</f>
        <v>15.3</v>
      </c>
      <c r="E743" s="12">
        <f>'Raw Orders'!F743</f>
        <v>1269900</v>
      </c>
      <c r="F743" s="12">
        <f>'Raw Orders'!F743*0.75</f>
        <v>952425</v>
      </c>
      <c r="G743" s="10">
        <f>'Raw Orders'!H743</f>
        <v>46235</v>
      </c>
      <c r="H743" s="10">
        <f>'Raw Orders'!I743</f>
        <v>46235</v>
      </c>
      <c r="I743" s="11">
        <f>'Raw Orders'!K743</f>
        <v>0.01</v>
      </c>
      <c r="J743" s="11">
        <f>IF('Raw Orders'!J743,"",(YEAR('Raw Orders'!I743)-YEAR('Raw Orders'!H743))*12+MONTH('Raw Orders'!I743)-MONTH('Raw Orders'!H743))</f>
        <v>0</v>
      </c>
      <c r="K743" t="str">
        <f>IF('Raw Orders'!J743,"Cancelled",IF('Raw Orders'!K743&gt;=2,"Slipped","On plan"))</f>
        <v>On plan</v>
      </c>
      <c r="L743" s="12">
        <f t="shared" si="11"/>
        <v>0</v>
      </c>
    </row>
    <row r="744" spans="1:12" x14ac:dyDescent="0.3">
      <c r="A744" t="str">
        <f>'Raw Orders'!A744</f>
        <v>NX-00740</v>
      </c>
      <c r="B744" t="str">
        <f>'Raw Orders'!B744</f>
        <v>North America</v>
      </c>
      <c r="C744" t="str">
        <f>'Raw Orders'!C744</f>
        <v>US / Canada</v>
      </c>
      <c r="D744" s="11">
        <f>'Raw Orders'!E744</f>
        <v>27.1</v>
      </c>
      <c r="E744" s="12">
        <f>'Raw Orders'!F744</f>
        <v>2249300</v>
      </c>
      <c r="F744" s="12">
        <f>'Raw Orders'!F744*0.75</f>
        <v>1686975</v>
      </c>
      <c r="G744" s="10">
        <f>'Raw Orders'!H744</f>
        <v>46113</v>
      </c>
      <c r="H744" s="10">
        <f>'Raw Orders'!I744</f>
        <v>46113</v>
      </c>
      <c r="I744" s="11">
        <f>'Raw Orders'!K744</f>
        <v>0.2</v>
      </c>
      <c r="J744" s="11">
        <f>IF('Raw Orders'!J744,"",(YEAR('Raw Orders'!I744)-YEAR('Raw Orders'!H744))*12+MONTH('Raw Orders'!I744)-MONTH('Raw Orders'!H744))</f>
        <v>0</v>
      </c>
      <c r="K744" t="str">
        <f>IF('Raw Orders'!J744,"Cancelled",IF('Raw Orders'!K744&gt;=2,"Slipped","On plan"))</f>
        <v>On plan</v>
      </c>
      <c r="L744" s="12">
        <f t="shared" si="11"/>
        <v>0</v>
      </c>
    </row>
    <row r="745" spans="1:12" x14ac:dyDescent="0.3">
      <c r="A745" t="str">
        <f>'Raw Orders'!A745</f>
        <v>NX-00741</v>
      </c>
      <c r="B745" t="str">
        <f>'Raw Orders'!B745</f>
        <v>North America</v>
      </c>
      <c r="C745" t="str">
        <f>'Raw Orders'!C745</f>
        <v>US / Canada</v>
      </c>
      <c r="D745" s="11">
        <f>'Raw Orders'!E745</f>
        <v>3.8</v>
      </c>
      <c r="E745" s="12">
        <f>'Raw Orders'!F745</f>
        <v>315400</v>
      </c>
      <c r="F745" s="12">
        <f>'Raw Orders'!F745*0.75</f>
        <v>236550</v>
      </c>
      <c r="G745" s="10">
        <f>'Raw Orders'!H745</f>
        <v>46054</v>
      </c>
      <c r="H745" s="10">
        <f>'Raw Orders'!I745</f>
        <v>46054</v>
      </c>
      <c r="I745" s="11">
        <f>'Raw Orders'!K745</f>
        <v>0</v>
      </c>
      <c r="J745" s="11">
        <f>IF('Raw Orders'!J745,"",(YEAR('Raw Orders'!I745)-YEAR('Raw Orders'!H745))*12+MONTH('Raw Orders'!I745)-MONTH('Raw Orders'!H745))</f>
        <v>0</v>
      </c>
      <c r="K745" t="str">
        <f>IF('Raw Orders'!J745,"Cancelled",IF('Raw Orders'!K745&gt;=2,"Slipped","On plan"))</f>
        <v>On plan</v>
      </c>
      <c r="L745" s="12">
        <f t="shared" si="11"/>
        <v>0</v>
      </c>
    </row>
    <row r="746" spans="1:12" x14ac:dyDescent="0.3">
      <c r="A746" t="str">
        <f>'Raw Orders'!A746</f>
        <v>NX-00742</v>
      </c>
      <c r="B746" t="str">
        <f>'Raw Orders'!B746</f>
        <v>North America</v>
      </c>
      <c r="C746" t="str">
        <f>'Raw Orders'!C746</f>
        <v>US / Canada</v>
      </c>
      <c r="D746" s="11">
        <f>'Raw Orders'!E746</f>
        <v>6.2</v>
      </c>
      <c r="E746" s="12">
        <f>'Raw Orders'!F746</f>
        <v>514600</v>
      </c>
      <c r="F746" s="12">
        <f>'Raw Orders'!F746*0.75</f>
        <v>385950</v>
      </c>
      <c r="G746" s="10">
        <f>'Raw Orders'!H746</f>
        <v>46113</v>
      </c>
      <c r="H746" s="10">
        <f>'Raw Orders'!I746</f>
        <v>46113</v>
      </c>
      <c r="I746" s="11">
        <f>'Raw Orders'!K746</f>
        <v>0.38</v>
      </c>
      <c r="J746" s="11">
        <f>IF('Raw Orders'!J746,"",(YEAR('Raw Orders'!I746)-YEAR('Raw Orders'!H746))*12+MONTH('Raw Orders'!I746)-MONTH('Raw Orders'!H746))</f>
        <v>0</v>
      </c>
      <c r="K746" t="str">
        <f>IF('Raw Orders'!J746,"Cancelled",IF('Raw Orders'!K746&gt;=2,"Slipped","On plan"))</f>
        <v>On plan</v>
      </c>
      <c r="L746" s="12">
        <f t="shared" si="11"/>
        <v>0</v>
      </c>
    </row>
    <row r="747" spans="1:12" x14ac:dyDescent="0.3">
      <c r="A747" t="str">
        <f>'Raw Orders'!A747</f>
        <v>NX-00743</v>
      </c>
      <c r="B747" t="str">
        <f>'Raw Orders'!B747</f>
        <v>North America</v>
      </c>
      <c r="C747" t="str">
        <f>'Raw Orders'!C747</f>
        <v>US / Canada</v>
      </c>
      <c r="D747" s="11">
        <f>'Raw Orders'!E747</f>
        <v>11.8</v>
      </c>
      <c r="E747" s="12">
        <f>'Raw Orders'!F747</f>
        <v>979400</v>
      </c>
      <c r="F747" s="12">
        <f>'Raw Orders'!F747*0.75</f>
        <v>734550</v>
      </c>
      <c r="G747" s="10">
        <f>'Raw Orders'!H747</f>
        <v>46174</v>
      </c>
      <c r="H747" s="10">
        <f>'Raw Orders'!I747</f>
        <v>46174</v>
      </c>
      <c r="I747" s="11">
        <f>'Raw Orders'!K747</f>
        <v>0</v>
      </c>
      <c r="J747" s="11">
        <f>IF('Raw Orders'!J747,"",(YEAR('Raw Orders'!I747)-YEAR('Raw Orders'!H747))*12+MONTH('Raw Orders'!I747)-MONTH('Raw Orders'!H747))</f>
        <v>0</v>
      </c>
      <c r="K747" t="str">
        <f>IF('Raw Orders'!J747,"Cancelled",IF('Raw Orders'!K747&gt;=2,"Slipped","On plan"))</f>
        <v>On plan</v>
      </c>
      <c r="L747" s="12">
        <f t="shared" si="11"/>
        <v>0</v>
      </c>
    </row>
    <row r="748" spans="1:12" x14ac:dyDescent="0.3">
      <c r="A748" t="str">
        <f>'Raw Orders'!A748</f>
        <v>NX-00744</v>
      </c>
      <c r="B748" t="str">
        <f>'Raw Orders'!B748</f>
        <v>North America</v>
      </c>
      <c r="C748" t="str">
        <f>'Raw Orders'!C748</f>
        <v>US / Canada</v>
      </c>
      <c r="D748" s="11">
        <f>'Raw Orders'!E748</f>
        <v>18.600000000000001</v>
      </c>
      <c r="E748" s="12">
        <f>'Raw Orders'!F748</f>
        <v>1543800</v>
      </c>
      <c r="F748" s="12">
        <f>'Raw Orders'!F748*0.75</f>
        <v>1157850</v>
      </c>
      <c r="G748" s="10">
        <f>'Raw Orders'!H748</f>
        <v>46235</v>
      </c>
      <c r="H748" s="10">
        <f>'Raw Orders'!I748</f>
        <v>46235</v>
      </c>
      <c r="I748" s="11">
        <f>'Raw Orders'!K748</f>
        <v>0.31</v>
      </c>
      <c r="J748" s="11">
        <f>IF('Raw Orders'!J748,"",(YEAR('Raw Orders'!I748)-YEAR('Raw Orders'!H748))*12+MONTH('Raw Orders'!I748)-MONTH('Raw Orders'!H748))</f>
        <v>0</v>
      </c>
      <c r="K748" t="str">
        <f>IF('Raw Orders'!J748,"Cancelled",IF('Raw Orders'!K748&gt;=2,"Slipped","On plan"))</f>
        <v>On plan</v>
      </c>
      <c r="L748" s="12">
        <f t="shared" si="11"/>
        <v>0</v>
      </c>
    </row>
    <row r="749" spans="1:12" x14ac:dyDescent="0.3">
      <c r="A749" t="str">
        <f>'Raw Orders'!A749</f>
        <v>NX-00745</v>
      </c>
      <c r="B749" t="str">
        <f>'Raw Orders'!B749</f>
        <v>North America</v>
      </c>
      <c r="C749" t="str">
        <f>'Raw Orders'!C749</f>
        <v>US / Canada</v>
      </c>
      <c r="D749" s="11">
        <f>'Raw Orders'!E749</f>
        <v>3.2</v>
      </c>
      <c r="E749" s="12">
        <f>'Raw Orders'!F749</f>
        <v>265600</v>
      </c>
      <c r="F749" s="12">
        <f>'Raw Orders'!F749*0.75</f>
        <v>199200</v>
      </c>
      <c r="G749" s="10">
        <f>'Raw Orders'!H749</f>
        <v>46235</v>
      </c>
      <c r="H749" s="10">
        <f>'Raw Orders'!I749</f>
        <v>46235</v>
      </c>
      <c r="I749" s="11">
        <f>'Raw Orders'!K749</f>
        <v>0.03</v>
      </c>
      <c r="J749" s="11">
        <f>IF('Raw Orders'!J749,"",(YEAR('Raw Orders'!I749)-YEAR('Raw Orders'!H749))*12+MONTH('Raw Orders'!I749)-MONTH('Raw Orders'!H749))</f>
        <v>0</v>
      </c>
      <c r="K749" t="str">
        <f>IF('Raw Orders'!J749,"Cancelled",IF('Raw Orders'!K749&gt;=2,"Slipped","On plan"))</f>
        <v>On plan</v>
      </c>
      <c r="L749" s="12">
        <f t="shared" si="11"/>
        <v>0</v>
      </c>
    </row>
    <row r="750" spans="1:12" x14ac:dyDescent="0.3">
      <c r="A750" t="str">
        <f>'Raw Orders'!A750</f>
        <v>NX-00746</v>
      </c>
      <c r="B750" t="str">
        <f>'Raw Orders'!B750</f>
        <v>North America</v>
      </c>
      <c r="C750" t="str">
        <f>'Raw Orders'!C750</f>
        <v>US / Canada</v>
      </c>
      <c r="D750" s="11">
        <f>'Raw Orders'!E750</f>
        <v>14.2</v>
      </c>
      <c r="E750" s="12">
        <f>'Raw Orders'!F750</f>
        <v>1178600</v>
      </c>
      <c r="F750" s="12">
        <f>'Raw Orders'!F750*0.75</f>
        <v>883950</v>
      </c>
      <c r="G750" s="10">
        <f>'Raw Orders'!H750</f>
        <v>46235</v>
      </c>
      <c r="H750" s="10">
        <f>'Raw Orders'!I750</f>
        <v>46235</v>
      </c>
      <c r="I750" s="11">
        <f>'Raw Orders'!K750</f>
        <v>0.01</v>
      </c>
      <c r="J750" s="11">
        <f>IF('Raw Orders'!J750,"",(YEAR('Raw Orders'!I750)-YEAR('Raw Orders'!H750))*12+MONTH('Raw Orders'!I750)-MONTH('Raw Orders'!H750))</f>
        <v>0</v>
      </c>
      <c r="K750" t="str">
        <f>IF('Raw Orders'!J750,"Cancelled",IF('Raw Orders'!K750&gt;=2,"Slipped","On plan"))</f>
        <v>On plan</v>
      </c>
      <c r="L750" s="12">
        <f t="shared" si="11"/>
        <v>0</v>
      </c>
    </row>
    <row r="751" spans="1:12" x14ac:dyDescent="0.3">
      <c r="A751" t="str">
        <f>'Raw Orders'!A751</f>
        <v>NX-00747</v>
      </c>
      <c r="B751" t="str">
        <f>'Raw Orders'!B751</f>
        <v>North America</v>
      </c>
      <c r="C751" t="str">
        <f>'Raw Orders'!C751</f>
        <v>US / Canada</v>
      </c>
      <c r="D751" s="11">
        <f>'Raw Orders'!E751</f>
        <v>17.600000000000001</v>
      </c>
      <c r="E751" s="12">
        <f>'Raw Orders'!F751</f>
        <v>1460800</v>
      </c>
      <c r="F751" s="12">
        <f>'Raw Orders'!F751*0.75</f>
        <v>1095600</v>
      </c>
      <c r="G751" s="10">
        <f>'Raw Orders'!H751</f>
        <v>46174</v>
      </c>
      <c r="H751" s="10">
        <f>'Raw Orders'!I751</f>
        <v>46174</v>
      </c>
      <c r="I751" s="11">
        <f>'Raw Orders'!K751</f>
        <v>0</v>
      </c>
      <c r="J751" s="11">
        <f>IF('Raw Orders'!J751,"",(YEAR('Raw Orders'!I751)-YEAR('Raw Orders'!H751))*12+MONTH('Raw Orders'!I751)-MONTH('Raw Orders'!H751))</f>
        <v>0</v>
      </c>
      <c r="K751" t="str">
        <f>IF('Raw Orders'!J751,"Cancelled",IF('Raw Orders'!K751&gt;=2,"Slipped","On plan"))</f>
        <v>On plan</v>
      </c>
      <c r="L751" s="12">
        <f t="shared" si="11"/>
        <v>0</v>
      </c>
    </row>
    <row r="752" spans="1:12" x14ac:dyDescent="0.3">
      <c r="A752" t="str">
        <f>'Raw Orders'!A752</f>
        <v>NX-00748</v>
      </c>
      <c r="B752" t="str">
        <f>'Raw Orders'!B752</f>
        <v>North America</v>
      </c>
      <c r="C752" t="str">
        <f>'Raw Orders'!C752</f>
        <v>US / Canada</v>
      </c>
      <c r="D752" s="11">
        <f>'Raw Orders'!E752</f>
        <v>11.8</v>
      </c>
      <c r="E752" s="12">
        <f>'Raw Orders'!F752</f>
        <v>979400</v>
      </c>
      <c r="F752" s="12">
        <f>'Raw Orders'!F752*0.75</f>
        <v>734550</v>
      </c>
      <c r="G752" s="10">
        <f>'Raw Orders'!H752</f>
        <v>46235</v>
      </c>
      <c r="H752" s="10">
        <f>'Raw Orders'!I752</f>
        <v>46235</v>
      </c>
      <c r="I752" s="11">
        <f>'Raw Orders'!K752</f>
        <v>0.3</v>
      </c>
      <c r="J752" s="11">
        <f>IF('Raw Orders'!J752,"",(YEAR('Raw Orders'!I752)-YEAR('Raw Orders'!H752))*12+MONTH('Raw Orders'!I752)-MONTH('Raw Orders'!H752))</f>
        <v>0</v>
      </c>
      <c r="K752" t="str">
        <f>IF('Raw Orders'!J752,"Cancelled",IF('Raw Orders'!K752&gt;=2,"Slipped","On plan"))</f>
        <v>On plan</v>
      </c>
      <c r="L752" s="12">
        <f t="shared" si="11"/>
        <v>0</v>
      </c>
    </row>
    <row r="753" spans="1:12" x14ac:dyDescent="0.3">
      <c r="A753" t="str">
        <f>'Raw Orders'!A753</f>
        <v>NX-00749</v>
      </c>
      <c r="B753" t="str">
        <f>'Raw Orders'!B753</f>
        <v>North America</v>
      </c>
      <c r="C753" t="str">
        <f>'Raw Orders'!C753</f>
        <v>US / Canada</v>
      </c>
      <c r="D753" s="11">
        <f>'Raw Orders'!E753</f>
        <v>17.7</v>
      </c>
      <c r="E753" s="12">
        <f>'Raw Orders'!F753</f>
        <v>1469100</v>
      </c>
      <c r="F753" s="12">
        <f>'Raw Orders'!F753*0.75</f>
        <v>1101825</v>
      </c>
      <c r="G753" s="10">
        <f>'Raw Orders'!H753</f>
        <v>46082</v>
      </c>
      <c r="H753" s="10">
        <f>'Raw Orders'!I753</f>
        <v>46082</v>
      </c>
      <c r="I753" s="11">
        <f>'Raw Orders'!K753</f>
        <v>0</v>
      </c>
      <c r="J753" s="11">
        <f>IF('Raw Orders'!J753,"",(YEAR('Raw Orders'!I753)-YEAR('Raw Orders'!H753))*12+MONTH('Raw Orders'!I753)-MONTH('Raw Orders'!H753))</f>
        <v>0</v>
      </c>
      <c r="K753" t="str">
        <f>IF('Raw Orders'!J753,"Cancelled",IF('Raw Orders'!K753&gt;=2,"Slipped","On plan"))</f>
        <v>On plan</v>
      </c>
      <c r="L753" s="12">
        <f t="shared" si="11"/>
        <v>0</v>
      </c>
    </row>
    <row r="754" spans="1:12" x14ac:dyDescent="0.3">
      <c r="A754" t="str">
        <f>'Raw Orders'!A754</f>
        <v>NX-00750</v>
      </c>
      <c r="B754" t="str">
        <f>'Raw Orders'!B754</f>
        <v>North America</v>
      </c>
      <c r="C754" t="str">
        <f>'Raw Orders'!C754</f>
        <v>US / Canada</v>
      </c>
      <c r="D754" s="11">
        <f>'Raw Orders'!E754</f>
        <v>5.3</v>
      </c>
      <c r="E754" s="12">
        <f>'Raw Orders'!F754</f>
        <v>439900</v>
      </c>
      <c r="F754" s="12">
        <f>'Raw Orders'!F754*0.75</f>
        <v>329925</v>
      </c>
      <c r="G754" s="10">
        <f>'Raw Orders'!H754</f>
        <v>46235</v>
      </c>
      <c r="H754" s="10">
        <f>'Raw Orders'!I754</f>
        <v>46266</v>
      </c>
      <c r="I754" s="11">
        <f>'Raw Orders'!K754</f>
        <v>1.48</v>
      </c>
      <c r="J754" s="11">
        <f>IF('Raw Orders'!J754,"",(YEAR('Raw Orders'!I754)-YEAR('Raw Orders'!H754))*12+MONTH('Raw Orders'!I754)-MONTH('Raw Orders'!H754))</f>
        <v>1</v>
      </c>
      <c r="K754" t="str">
        <f>IF('Raw Orders'!J754,"Cancelled",IF('Raw Orders'!K754&gt;=2,"Slipped","On plan"))</f>
        <v>On plan</v>
      </c>
      <c r="L754" s="12">
        <f t="shared" si="11"/>
        <v>0</v>
      </c>
    </row>
    <row r="755" spans="1:12" x14ac:dyDescent="0.3">
      <c r="A755" t="str">
        <f>'Raw Orders'!A755</f>
        <v>NX-00751</v>
      </c>
      <c r="B755" t="str">
        <f>'Raw Orders'!B755</f>
        <v>North America</v>
      </c>
      <c r="C755" t="str">
        <f>'Raw Orders'!C755</f>
        <v>US / Canada</v>
      </c>
      <c r="D755" s="11">
        <f>'Raw Orders'!E755</f>
        <v>34.9</v>
      </c>
      <c r="E755" s="12">
        <f>'Raw Orders'!F755</f>
        <v>2896700</v>
      </c>
      <c r="F755" s="12">
        <f>'Raw Orders'!F755*0.75</f>
        <v>2172525</v>
      </c>
      <c r="G755" s="10">
        <f>'Raw Orders'!H755</f>
        <v>46143</v>
      </c>
      <c r="H755" s="10">
        <f>'Raw Orders'!I755</f>
        <v>46143</v>
      </c>
      <c r="I755" s="11">
        <f>'Raw Orders'!K755</f>
        <v>0.36</v>
      </c>
      <c r="J755" s="11">
        <f>IF('Raw Orders'!J755,"",(YEAR('Raw Orders'!I755)-YEAR('Raw Orders'!H755))*12+MONTH('Raw Orders'!I755)-MONTH('Raw Orders'!H755))</f>
        <v>0</v>
      </c>
      <c r="K755" t="str">
        <f>IF('Raw Orders'!J755,"Cancelled",IF('Raw Orders'!K755&gt;=2,"Slipped","On plan"))</f>
        <v>On plan</v>
      </c>
      <c r="L755" s="12">
        <f t="shared" si="11"/>
        <v>0</v>
      </c>
    </row>
    <row r="756" spans="1:12" x14ac:dyDescent="0.3">
      <c r="A756" t="str">
        <f>'Raw Orders'!A756</f>
        <v>NX-00752</v>
      </c>
      <c r="B756" t="str">
        <f>'Raw Orders'!B756</f>
        <v>North America</v>
      </c>
      <c r="C756" t="str">
        <f>'Raw Orders'!C756</f>
        <v>US / Canada</v>
      </c>
      <c r="D756" s="11">
        <f>'Raw Orders'!E756</f>
        <v>11.9</v>
      </c>
      <c r="E756" s="12">
        <f>'Raw Orders'!F756</f>
        <v>987700</v>
      </c>
      <c r="F756" s="12">
        <f>'Raw Orders'!F756*0.75</f>
        <v>740775</v>
      </c>
      <c r="G756" s="10">
        <f>'Raw Orders'!H756</f>
        <v>46082</v>
      </c>
      <c r="H756" s="10">
        <f>'Raw Orders'!I756</f>
        <v>46082</v>
      </c>
      <c r="I756" s="11">
        <f>'Raw Orders'!K756</f>
        <v>0</v>
      </c>
      <c r="J756" s="11">
        <f>IF('Raw Orders'!J756,"",(YEAR('Raw Orders'!I756)-YEAR('Raw Orders'!H756))*12+MONTH('Raw Orders'!I756)-MONTH('Raw Orders'!H756))</f>
        <v>0</v>
      </c>
      <c r="K756" t="str">
        <f>IF('Raw Orders'!J756,"Cancelled",IF('Raw Orders'!K756&gt;=2,"Slipped","On plan"))</f>
        <v>On plan</v>
      </c>
      <c r="L756" s="12">
        <f t="shared" si="11"/>
        <v>0</v>
      </c>
    </row>
    <row r="757" spans="1:12" x14ac:dyDescent="0.3">
      <c r="A757" t="str">
        <f>'Raw Orders'!A757</f>
        <v>NX-00753</v>
      </c>
      <c r="B757" t="str">
        <f>'Raw Orders'!B757</f>
        <v>North America</v>
      </c>
      <c r="C757" t="str">
        <f>'Raw Orders'!C757</f>
        <v>US / Canada</v>
      </c>
      <c r="D757" s="11">
        <f>'Raw Orders'!E757</f>
        <v>8</v>
      </c>
      <c r="E757" s="12">
        <f>'Raw Orders'!F757</f>
        <v>664000</v>
      </c>
      <c r="F757" s="12">
        <f>'Raw Orders'!F757*0.75</f>
        <v>498000</v>
      </c>
      <c r="G757" s="10">
        <f>'Raw Orders'!H757</f>
        <v>46204</v>
      </c>
      <c r="H757" s="10">
        <f>'Raw Orders'!I757</f>
        <v>46204</v>
      </c>
      <c r="I757" s="11">
        <f>'Raw Orders'!K757</f>
        <v>0</v>
      </c>
      <c r="J757" s="11">
        <f>IF('Raw Orders'!J757,"",(YEAR('Raw Orders'!I757)-YEAR('Raw Orders'!H757))*12+MONTH('Raw Orders'!I757)-MONTH('Raw Orders'!H757))</f>
        <v>0</v>
      </c>
      <c r="K757" t="str">
        <f>IF('Raw Orders'!J757,"Cancelled",IF('Raw Orders'!K757&gt;=2,"Slipped","On plan"))</f>
        <v>On plan</v>
      </c>
      <c r="L757" s="12">
        <f t="shared" si="11"/>
        <v>0</v>
      </c>
    </row>
    <row r="758" spans="1:12" x14ac:dyDescent="0.3">
      <c r="A758" t="str">
        <f>'Raw Orders'!A758</f>
        <v>NX-00754</v>
      </c>
      <c r="B758" t="str">
        <f>'Raw Orders'!B758</f>
        <v>North America</v>
      </c>
      <c r="C758" t="str">
        <f>'Raw Orders'!C758</f>
        <v>US / Canada</v>
      </c>
      <c r="D758" s="11">
        <f>'Raw Orders'!E758</f>
        <v>8</v>
      </c>
      <c r="E758" s="12">
        <f>'Raw Orders'!F758</f>
        <v>664000</v>
      </c>
      <c r="F758" s="12">
        <f>'Raw Orders'!F758*0.75</f>
        <v>498000</v>
      </c>
      <c r="G758" s="10">
        <f>'Raw Orders'!H758</f>
        <v>46082</v>
      </c>
      <c r="H758" s="10">
        <f>'Raw Orders'!I758</f>
        <v>46113</v>
      </c>
      <c r="I758" s="11">
        <f>'Raw Orders'!K758</f>
        <v>0.8</v>
      </c>
      <c r="J758" s="11">
        <f>IF('Raw Orders'!J758,"",(YEAR('Raw Orders'!I758)-YEAR('Raw Orders'!H758))*12+MONTH('Raw Orders'!I758)-MONTH('Raw Orders'!H758))</f>
        <v>1</v>
      </c>
      <c r="K758" t="str">
        <f>IF('Raw Orders'!J758,"Cancelled",IF('Raw Orders'!K758&gt;=2,"Slipped","On plan"))</f>
        <v>On plan</v>
      </c>
      <c r="L758" s="12">
        <f t="shared" si="11"/>
        <v>0</v>
      </c>
    </row>
    <row r="759" spans="1:12" x14ac:dyDescent="0.3">
      <c r="A759" t="str">
        <f>'Raw Orders'!A759</f>
        <v>NX-00755</v>
      </c>
      <c r="B759" t="str">
        <f>'Raw Orders'!B759</f>
        <v>North America</v>
      </c>
      <c r="C759" t="str">
        <f>'Raw Orders'!C759</f>
        <v>US / Canada</v>
      </c>
      <c r="D759" s="11">
        <f>'Raw Orders'!E759</f>
        <v>4.2</v>
      </c>
      <c r="E759" s="12">
        <f>'Raw Orders'!F759</f>
        <v>348600</v>
      </c>
      <c r="F759" s="12">
        <f>'Raw Orders'!F759*0.75</f>
        <v>261450</v>
      </c>
      <c r="G759" s="10">
        <f>'Raw Orders'!H759</f>
        <v>46235</v>
      </c>
      <c r="H759" s="10">
        <f>'Raw Orders'!I759</f>
        <v>46235</v>
      </c>
      <c r="I759" s="11">
        <f>'Raw Orders'!K759</f>
        <v>0.05</v>
      </c>
      <c r="J759" s="11">
        <f>IF('Raw Orders'!J759,"",(YEAR('Raw Orders'!I759)-YEAR('Raw Orders'!H759))*12+MONTH('Raw Orders'!I759)-MONTH('Raw Orders'!H759))</f>
        <v>0</v>
      </c>
      <c r="K759" t="str">
        <f>IF('Raw Orders'!J759,"Cancelled",IF('Raw Orders'!K759&gt;=2,"Slipped","On plan"))</f>
        <v>On plan</v>
      </c>
      <c r="L759" s="12">
        <f t="shared" si="11"/>
        <v>0</v>
      </c>
    </row>
    <row r="760" spans="1:12" x14ac:dyDescent="0.3">
      <c r="A760" t="str">
        <f>'Raw Orders'!A760</f>
        <v>NX-00756</v>
      </c>
      <c r="B760" t="str">
        <f>'Raw Orders'!B760</f>
        <v>North America</v>
      </c>
      <c r="C760" t="str">
        <f>'Raw Orders'!C760</f>
        <v>US / Canada</v>
      </c>
      <c r="D760" s="11">
        <f>'Raw Orders'!E760</f>
        <v>13</v>
      </c>
      <c r="E760" s="12">
        <f>'Raw Orders'!F760</f>
        <v>1079000</v>
      </c>
      <c r="F760" s="12">
        <f>'Raw Orders'!F760*0.75</f>
        <v>809250</v>
      </c>
      <c r="G760" s="10">
        <f>'Raw Orders'!H760</f>
        <v>46204</v>
      </c>
      <c r="H760" s="10">
        <f>'Raw Orders'!I760</f>
        <v>46204</v>
      </c>
      <c r="I760" s="11">
        <f>'Raw Orders'!K760</f>
        <v>0</v>
      </c>
      <c r="J760" s="11">
        <f>IF('Raw Orders'!J760,"",(YEAR('Raw Orders'!I760)-YEAR('Raw Orders'!H760))*12+MONTH('Raw Orders'!I760)-MONTH('Raw Orders'!H760))</f>
        <v>0</v>
      </c>
      <c r="K760" t="str">
        <f>IF('Raw Orders'!J760,"Cancelled",IF('Raw Orders'!K760&gt;=2,"Slipped","On plan"))</f>
        <v>On plan</v>
      </c>
      <c r="L760" s="12">
        <f t="shared" si="11"/>
        <v>0</v>
      </c>
    </row>
    <row r="761" spans="1:12" x14ac:dyDescent="0.3">
      <c r="A761" t="str">
        <f>'Raw Orders'!A761</f>
        <v>NX-00757</v>
      </c>
      <c r="B761" t="str">
        <f>'Raw Orders'!B761</f>
        <v>North America</v>
      </c>
      <c r="C761" t="str">
        <f>'Raw Orders'!C761</f>
        <v>US / Canada</v>
      </c>
      <c r="D761" s="11">
        <f>'Raw Orders'!E761</f>
        <v>72.7</v>
      </c>
      <c r="E761" s="12">
        <f>'Raw Orders'!F761</f>
        <v>6034100</v>
      </c>
      <c r="F761" s="12">
        <f>'Raw Orders'!F761*0.75</f>
        <v>4525575</v>
      </c>
      <c r="G761" s="10">
        <f>'Raw Orders'!H761</f>
        <v>46204</v>
      </c>
      <c r="H761" s="10">
        <f>'Raw Orders'!I761</f>
        <v>46204</v>
      </c>
      <c r="I761" s="11">
        <f>'Raw Orders'!K761</f>
        <v>0.02</v>
      </c>
      <c r="J761" s="11">
        <f>IF('Raw Orders'!J761,"",(YEAR('Raw Orders'!I761)-YEAR('Raw Orders'!H761))*12+MONTH('Raw Orders'!I761)-MONTH('Raw Orders'!H761))</f>
        <v>0</v>
      </c>
      <c r="K761" t="str">
        <f>IF('Raw Orders'!J761,"Cancelled",IF('Raw Orders'!K761&gt;=2,"Slipped","On plan"))</f>
        <v>On plan</v>
      </c>
      <c r="L761" s="12">
        <f t="shared" si="11"/>
        <v>0</v>
      </c>
    </row>
    <row r="762" spans="1:12" x14ac:dyDescent="0.3">
      <c r="A762" t="str">
        <f>'Raw Orders'!A762</f>
        <v>NX-00758</v>
      </c>
      <c r="B762" t="str">
        <f>'Raw Orders'!B762</f>
        <v>North America</v>
      </c>
      <c r="C762" t="str">
        <f>'Raw Orders'!C762</f>
        <v>US / Canada</v>
      </c>
      <c r="D762" s="11">
        <f>'Raw Orders'!E762</f>
        <v>5.4</v>
      </c>
      <c r="E762" s="12">
        <f>'Raw Orders'!F762</f>
        <v>448200.00000000012</v>
      </c>
      <c r="F762" s="12">
        <f>'Raw Orders'!F762*0.75</f>
        <v>336150.00000000012</v>
      </c>
      <c r="G762" s="10">
        <f>'Raw Orders'!H762</f>
        <v>46143</v>
      </c>
      <c r="H762" s="10">
        <f>'Raw Orders'!I762</f>
        <v>46143</v>
      </c>
      <c r="I762" s="11">
        <f>'Raw Orders'!K762</f>
        <v>0.04</v>
      </c>
      <c r="J762" s="11">
        <f>IF('Raw Orders'!J762,"",(YEAR('Raw Orders'!I762)-YEAR('Raw Orders'!H762))*12+MONTH('Raw Orders'!I762)-MONTH('Raw Orders'!H762))</f>
        <v>0</v>
      </c>
      <c r="K762" t="str">
        <f>IF('Raw Orders'!J762,"Cancelled",IF('Raw Orders'!K762&gt;=2,"Slipped","On plan"))</f>
        <v>On plan</v>
      </c>
      <c r="L762" s="12">
        <f t="shared" si="11"/>
        <v>0</v>
      </c>
    </row>
    <row r="763" spans="1:12" x14ac:dyDescent="0.3">
      <c r="A763" t="str">
        <f>'Raw Orders'!A763</f>
        <v>NX-00759</v>
      </c>
      <c r="B763" t="str">
        <f>'Raw Orders'!B763</f>
        <v>North America</v>
      </c>
      <c r="C763" t="str">
        <f>'Raw Orders'!C763</f>
        <v>US / Canada</v>
      </c>
      <c r="D763" s="11">
        <f>'Raw Orders'!E763</f>
        <v>6.4</v>
      </c>
      <c r="E763" s="12">
        <f>'Raw Orders'!F763</f>
        <v>531200</v>
      </c>
      <c r="F763" s="12">
        <f>'Raw Orders'!F763*0.75</f>
        <v>398400</v>
      </c>
      <c r="G763" s="10">
        <f>'Raw Orders'!H763</f>
        <v>46082</v>
      </c>
      <c r="H763" s="10">
        <f>'Raw Orders'!I763</f>
        <v>46082</v>
      </c>
      <c r="I763" s="11">
        <f>'Raw Orders'!K763</f>
        <v>0.09</v>
      </c>
      <c r="J763" s="11">
        <f>IF('Raw Orders'!J763,"",(YEAR('Raw Orders'!I763)-YEAR('Raw Orders'!H763))*12+MONTH('Raw Orders'!I763)-MONTH('Raw Orders'!H763))</f>
        <v>0</v>
      </c>
      <c r="K763" t="str">
        <f>IF('Raw Orders'!J763,"Cancelled",IF('Raw Orders'!K763&gt;=2,"Slipped","On plan"))</f>
        <v>On plan</v>
      </c>
      <c r="L763" s="12">
        <f t="shared" si="11"/>
        <v>0</v>
      </c>
    </row>
    <row r="764" spans="1:12" x14ac:dyDescent="0.3">
      <c r="A764" t="str">
        <f>'Raw Orders'!A764</f>
        <v>NX-00760</v>
      </c>
      <c r="B764" t="str">
        <f>'Raw Orders'!B764</f>
        <v>North America</v>
      </c>
      <c r="C764" t="str">
        <f>'Raw Orders'!C764</f>
        <v>US / Canada</v>
      </c>
      <c r="D764" s="11">
        <f>'Raw Orders'!E764</f>
        <v>17.5</v>
      </c>
      <c r="E764" s="12">
        <f>'Raw Orders'!F764</f>
        <v>1452500</v>
      </c>
      <c r="F764" s="12">
        <f>'Raw Orders'!F764*0.75</f>
        <v>1089375</v>
      </c>
      <c r="G764" s="10">
        <f>'Raw Orders'!H764</f>
        <v>46204</v>
      </c>
      <c r="H764" s="10">
        <f>'Raw Orders'!I764</f>
        <v>46204</v>
      </c>
      <c r="I764" s="11">
        <f>'Raw Orders'!K764</f>
        <v>0.2</v>
      </c>
      <c r="J764" s="11">
        <f>IF('Raw Orders'!J764,"",(YEAR('Raw Orders'!I764)-YEAR('Raw Orders'!H764))*12+MONTH('Raw Orders'!I764)-MONTH('Raw Orders'!H764))</f>
        <v>0</v>
      </c>
      <c r="K764" t="str">
        <f>IF('Raw Orders'!J764,"Cancelled",IF('Raw Orders'!K764&gt;=2,"Slipped","On plan"))</f>
        <v>On plan</v>
      </c>
      <c r="L764" s="12">
        <f t="shared" si="11"/>
        <v>0</v>
      </c>
    </row>
    <row r="765" spans="1:12" x14ac:dyDescent="0.3">
      <c r="A765" t="str">
        <f>'Raw Orders'!A765</f>
        <v>NX-00761</v>
      </c>
      <c r="B765" t="str">
        <f>'Raw Orders'!B765</f>
        <v>North America</v>
      </c>
      <c r="C765" t="str">
        <f>'Raw Orders'!C765</f>
        <v>US / Canada</v>
      </c>
      <c r="D765" s="11">
        <f>'Raw Orders'!E765</f>
        <v>11.6</v>
      </c>
      <c r="E765" s="12">
        <f>'Raw Orders'!F765</f>
        <v>962800</v>
      </c>
      <c r="F765" s="12">
        <f>'Raw Orders'!F765*0.75</f>
        <v>722100</v>
      </c>
      <c r="G765" s="10">
        <f>'Raw Orders'!H765</f>
        <v>46054</v>
      </c>
      <c r="H765" s="10">
        <f>'Raw Orders'!I765</f>
        <v>46054</v>
      </c>
      <c r="I765" s="11">
        <f>'Raw Orders'!K765</f>
        <v>0.48</v>
      </c>
      <c r="J765" s="11">
        <f>IF('Raw Orders'!J765,"",(YEAR('Raw Orders'!I765)-YEAR('Raw Orders'!H765))*12+MONTH('Raw Orders'!I765)-MONTH('Raw Orders'!H765))</f>
        <v>0</v>
      </c>
      <c r="K765" t="str">
        <f>IF('Raw Orders'!J765,"Cancelled",IF('Raw Orders'!K765&gt;=2,"Slipped","On plan"))</f>
        <v>On plan</v>
      </c>
      <c r="L765" s="12">
        <f t="shared" si="11"/>
        <v>0</v>
      </c>
    </row>
    <row r="766" spans="1:12" x14ac:dyDescent="0.3">
      <c r="A766" t="str">
        <f>'Raw Orders'!A766</f>
        <v>NX-00762</v>
      </c>
      <c r="B766" t="str">
        <f>'Raw Orders'!B766</f>
        <v>North America</v>
      </c>
      <c r="C766" t="str">
        <f>'Raw Orders'!C766</f>
        <v>US / Canada</v>
      </c>
      <c r="D766" s="11">
        <f>'Raw Orders'!E766</f>
        <v>11.6</v>
      </c>
      <c r="E766" s="12">
        <f>'Raw Orders'!F766</f>
        <v>962800</v>
      </c>
      <c r="F766" s="12">
        <f>'Raw Orders'!F766*0.75</f>
        <v>722100</v>
      </c>
      <c r="G766" s="10">
        <f>'Raw Orders'!H766</f>
        <v>46143</v>
      </c>
      <c r="H766" s="10">
        <f>'Raw Orders'!I766</f>
        <v>46143</v>
      </c>
      <c r="I766" s="11">
        <f>'Raw Orders'!K766</f>
        <v>0.45</v>
      </c>
      <c r="J766" s="11">
        <f>IF('Raw Orders'!J766,"",(YEAR('Raw Orders'!I766)-YEAR('Raw Orders'!H766))*12+MONTH('Raw Orders'!I766)-MONTH('Raw Orders'!H766))</f>
        <v>0</v>
      </c>
      <c r="K766" t="str">
        <f>IF('Raw Orders'!J766,"Cancelled",IF('Raw Orders'!K766&gt;=2,"Slipped","On plan"))</f>
        <v>On plan</v>
      </c>
      <c r="L766" s="12">
        <f t="shared" si="11"/>
        <v>0</v>
      </c>
    </row>
    <row r="767" spans="1:12" x14ac:dyDescent="0.3">
      <c r="A767" t="str">
        <f>'Raw Orders'!A767</f>
        <v>NX-00763</v>
      </c>
      <c r="B767" t="str">
        <f>'Raw Orders'!B767</f>
        <v>North America</v>
      </c>
      <c r="C767" t="str">
        <f>'Raw Orders'!C767</f>
        <v>US / Canada</v>
      </c>
      <c r="D767" s="11">
        <f>'Raw Orders'!E767</f>
        <v>19.2</v>
      </c>
      <c r="E767" s="12">
        <f>'Raw Orders'!F767</f>
        <v>1593600</v>
      </c>
      <c r="F767" s="12">
        <f>'Raw Orders'!F767*0.75</f>
        <v>1195200</v>
      </c>
      <c r="G767" s="10">
        <f>'Raw Orders'!H767</f>
        <v>46113</v>
      </c>
      <c r="H767" s="10">
        <f>'Raw Orders'!I767</f>
        <v>46113</v>
      </c>
      <c r="I767" s="11">
        <f>'Raw Orders'!K767</f>
        <v>0.28000000000000003</v>
      </c>
      <c r="J767" s="11">
        <f>IF('Raw Orders'!J767,"",(YEAR('Raw Orders'!I767)-YEAR('Raw Orders'!H767))*12+MONTH('Raw Orders'!I767)-MONTH('Raw Orders'!H767))</f>
        <v>0</v>
      </c>
      <c r="K767" t="str">
        <f>IF('Raw Orders'!J767,"Cancelled",IF('Raw Orders'!K767&gt;=2,"Slipped","On plan"))</f>
        <v>On plan</v>
      </c>
      <c r="L767" s="12">
        <f t="shared" si="11"/>
        <v>0</v>
      </c>
    </row>
    <row r="768" spans="1:12" x14ac:dyDescent="0.3">
      <c r="A768" t="str">
        <f>'Raw Orders'!A768</f>
        <v>NX-00764</v>
      </c>
      <c r="B768" t="str">
        <f>'Raw Orders'!B768</f>
        <v>North America</v>
      </c>
      <c r="C768" t="str">
        <f>'Raw Orders'!C768</f>
        <v>US / Canada</v>
      </c>
      <c r="D768" s="11">
        <f>'Raw Orders'!E768</f>
        <v>9.1</v>
      </c>
      <c r="E768" s="12">
        <f>'Raw Orders'!F768</f>
        <v>755300</v>
      </c>
      <c r="F768" s="12">
        <f>'Raw Orders'!F768*0.75</f>
        <v>566475</v>
      </c>
      <c r="G768" s="10">
        <f>'Raw Orders'!H768</f>
        <v>46143</v>
      </c>
      <c r="H768" s="10">
        <f>'Raw Orders'!I768</f>
        <v>46143</v>
      </c>
      <c r="I768" s="11">
        <f>'Raw Orders'!K768</f>
        <v>0</v>
      </c>
      <c r="J768" s="11">
        <f>IF('Raw Orders'!J768,"",(YEAR('Raw Orders'!I768)-YEAR('Raw Orders'!H768))*12+MONTH('Raw Orders'!I768)-MONTH('Raw Orders'!H768))</f>
        <v>0</v>
      </c>
      <c r="K768" t="str">
        <f>IF('Raw Orders'!J768,"Cancelled",IF('Raw Orders'!K768&gt;=2,"Slipped","On plan"))</f>
        <v>On plan</v>
      </c>
      <c r="L768" s="12">
        <f t="shared" si="11"/>
        <v>0</v>
      </c>
    </row>
    <row r="769" spans="1:12" x14ac:dyDescent="0.3">
      <c r="A769" t="str">
        <f>'Raw Orders'!A769</f>
        <v>NX-00765</v>
      </c>
      <c r="B769" t="str">
        <f>'Raw Orders'!B769</f>
        <v>EMEA</v>
      </c>
      <c r="C769" t="str">
        <f>'Raw Orders'!C769</f>
        <v>Europe</v>
      </c>
      <c r="D769" s="11">
        <f>'Raw Orders'!E769</f>
        <v>15.6</v>
      </c>
      <c r="E769" s="12">
        <f>'Raw Orders'!F769</f>
        <v>1372800</v>
      </c>
      <c r="F769" s="12">
        <f>'Raw Orders'!F769*0.75</f>
        <v>1029600</v>
      </c>
      <c r="G769" s="10">
        <f>'Raw Orders'!H769</f>
        <v>46143</v>
      </c>
      <c r="H769" s="10">
        <f>'Raw Orders'!I769</f>
        <v>46143</v>
      </c>
      <c r="I769" s="11">
        <f>'Raw Orders'!K769</f>
        <v>0</v>
      </c>
      <c r="J769" s="11">
        <f>IF('Raw Orders'!J769,"",(YEAR('Raw Orders'!I769)-YEAR('Raw Orders'!H769))*12+MONTH('Raw Orders'!I769)-MONTH('Raw Orders'!H769))</f>
        <v>0</v>
      </c>
      <c r="K769" t="str">
        <f>IF('Raw Orders'!J769,"Cancelled",IF('Raw Orders'!K769&gt;=2,"Slipped","On plan"))</f>
        <v>On plan</v>
      </c>
      <c r="L769" s="12">
        <f t="shared" si="11"/>
        <v>0</v>
      </c>
    </row>
    <row r="770" spans="1:12" x14ac:dyDescent="0.3">
      <c r="A770" t="str">
        <f>'Raw Orders'!A770</f>
        <v>NX-00766</v>
      </c>
      <c r="B770" t="str">
        <f>'Raw Orders'!B770</f>
        <v>EMEA</v>
      </c>
      <c r="C770" t="str">
        <f>'Raw Orders'!C770</f>
        <v>Europe</v>
      </c>
      <c r="D770" s="11">
        <f>'Raw Orders'!E770</f>
        <v>8</v>
      </c>
      <c r="E770" s="12">
        <f>'Raw Orders'!F770</f>
        <v>704000</v>
      </c>
      <c r="F770" s="12">
        <f>'Raw Orders'!F770*0.75</f>
        <v>528000</v>
      </c>
      <c r="G770" s="10">
        <f>'Raw Orders'!H770</f>
        <v>46113</v>
      </c>
      <c r="H770" s="10">
        <f>'Raw Orders'!I770</f>
        <v>46143</v>
      </c>
      <c r="I770" s="11">
        <f>'Raw Orders'!K770</f>
        <v>1.43</v>
      </c>
      <c r="J770" s="11">
        <f>IF('Raw Orders'!J770,"",(YEAR('Raw Orders'!I770)-YEAR('Raw Orders'!H770))*12+MONTH('Raw Orders'!I770)-MONTH('Raw Orders'!H770))</f>
        <v>1</v>
      </c>
      <c r="K770" t="str">
        <f>IF('Raw Orders'!J770,"Cancelled",IF('Raw Orders'!K770&gt;=2,"Slipped","On plan"))</f>
        <v>On plan</v>
      </c>
      <c r="L770" s="12">
        <f t="shared" si="11"/>
        <v>0</v>
      </c>
    </row>
    <row r="771" spans="1:12" x14ac:dyDescent="0.3">
      <c r="A771" t="str">
        <f>'Raw Orders'!A771</f>
        <v>NX-00767</v>
      </c>
      <c r="B771" t="str">
        <f>'Raw Orders'!B771</f>
        <v>EMEA</v>
      </c>
      <c r="C771" t="str">
        <f>'Raw Orders'!C771</f>
        <v>Europe</v>
      </c>
      <c r="D771" s="11">
        <f>'Raw Orders'!E771</f>
        <v>30.5</v>
      </c>
      <c r="E771" s="12">
        <f>'Raw Orders'!F771</f>
        <v>2684000</v>
      </c>
      <c r="F771" s="12">
        <f>'Raw Orders'!F771*0.75</f>
        <v>2013000</v>
      </c>
      <c r="G771" s="10">
        <f>'Raw Orders'!H771</f>
        <v>46143</v>
      </c>
      <c r="H771" s="10">
        <f>'Raw Orders'!I771</f>
        <v>46143</v>
      </c>
      <c r="I771" s="11">
        <f>'Raw Orders'!K771</f>
        <v>0</v>
      </c>
      <c r="J771" s="11">
        <f>IF('Raw Orders'!J771,"",(YEAR('Raw Orders'!I771)-YEAR('Raw Orders'!H771))*12+MONTH('Raw Orders'!I771)-MONTH('Raw Orders'!H771))</f>
        <v>0</v>
      </c>
      <c r="K771" t="str">
        <f>IF('Raw Orders'!J771,"Cancelled",IF('Raw Orders'!K771&gt;=2,"Slipped","On plan"))</f>
        <v>On plan</v>
      </c>
      <c r="L771" s="12">
        <f t="shared" si="11"/>
        <v>0</v>
      </c>
    </row>
    <row r="772" spans="1:12" x14ac:dyDescent="0.3">
      <c r="A772" t="str">
        <f>'Raw Orders'!A772</f>
        <v>NX-00768</v>
      </c>
      <c r="B772" t="str">
        <f>'Raw Orders'!B772</f>
        <v>EMEA</v>
      </c>
      <c r="C772" t="str">
        <f>'Raw Orders'!C772</f>
        <v>Europe</v>
      </c>
      <c r="D772" s="11">
        <f>'Raw Orders'!E772</f>
        <v>21.6</v>
      </c>
      <c r="E772" s="12">
        <f>'Raw Orders'!F772</f>
        <v>1900800</v>
      </c>
      <c r="F772" s="12">
        <f>'Raw Orders'!F772*0.75</f>
        <v>1425600</v>
      </c>
      <c r="G772" s="10">
        <f>'Raw Orders'!H772</f>
        <v>46174</v>
      </c>
      <c r="H772" s="10">
        <f>'Raw Orders'!I772</f>
        <v>46174</v>
      </c>
      <c r="I772" s="11">
        <f>'Raw Orders'!K772</f>
        <v>0.18</v>
      </c>
      <c r="J772" s="11">
        <f>IF('Raw Orders'!J772,"",(YEAR('Raw Orders'!I772)-YEAR('Raw Orders'!H772))*12+MONTH('Raw Orders'!I772)-MONTH('Raw Orders'!H772))</f>
        <v>0</v>
      </c>
      <c r="K772" t="str">
        <f>IF('Raw Orders'!J772,"Cancelled",IF('Raw Orders'!K772&gt;=2,"Slipped","On plan"))</f>
        <v>On plan</v>
      </c>
      <c r="L772" s="12">
        <f t="shared" si="11"/>
        <v>0</v>
      </c>
    </row>
    <row r="773" spans="1:12" x14ac:dyDescent="0.3">
      <c r="A773" t="str">
        <f>'Raw Orders'!A773</f>
        <v>NX-00769</v>
      </c>
      <c r="B773" t="str">
        <f>'Raw Orders'!B773</f>
        <v>EMEA</v>
      </c>
      <c r="C773" t="str">
        <f>'Raw Orders'!C773</f>
        <v>Europe</v>
      </c>
      <c r="D773" s="11">
        <f>'Raw Orders'!E773</f>
        <v>9.1999999999999993</v>
      </c>
      <c r="E773" s="12">
        <f>'Raw Orders'!F773</f>
        <v>809599.99999999988</v>
      </c>
      <c r="F773" s="12">
        <f>'Raw Orders'!F773*0.75</f>
        <v>607199.99999999988</v>
      </c>
      <c r="G773" s="10">
        <f>'Raw Orders'!H773</f>
        <v>46204</v>
      </c>
      <c r="H773" s="10">
        <f>'Raw Orders'!I773</f>
        <v>46204</v>
      </c>
      <c r="I773" s="11">
        <f>'Raw Orders'!K773</f>
        <v>0.03</v>
      </c>
      <c r="J773" s="11">
        <f>IF('Raw Orders'!J773,"",(YEAR('Raw Orders'!I773)-YEAR('Raw Orders'!H773))*12+MONTH('Raw Orders'!I773)-MONTH('Raw Orders'!H773))</f>
        <v>0</v>
      </c>
      <c r="K773" t="str">
        <f>IF('Raw Orders'!J773,"Cancelled",IF('Raw Orders'!K773&gt;=2,"Slipped","On plan"))</f>
        <v>On plan</v>
      </c>
      <c r="L773" s="12">
        <f t="shared" ref="L773:L836" si="12">IF(K773="On plan",0,F773)</f>
        <v>0</v>
      </c>
    </row>
    <row r="774" spans="1:12" x14ac:dyDescent="0.3">
      <c r="A774" t="str">
        <f>'Raw Orders'!A774</f>
        <v>NX-00770</v>
      </c>
      <c r="B774" t="str">
        <f>'Raw Orders'!B774</f>
        <v>EMEA</v>
      </c>
      <c r="C774" t="str">
        <f>'Raw Orders'!C774</f>
        <v>MENA</v>
      </c>
      <c r="D774" s="11">
        <f>'Raw Orders'!E774</f>
        <v>12</v>
      </c>
      <c r="E774" s="12">
        <f>'Raw Orders'!F774</f>
        <v>972000</v>
      </c>
      <c r="F774" s="12">
        <f>'Raw Orders'!F774*0.75</f>
        <v>729000</v>
      </c>
      <c r="G774" s="10">
        <f>'Raw Orders'!H774</f>
        <v>46054</v>
      </c>
      <c r="H774" s="10">
        <f>'Raw Orders'!I774</f>
        <v>46082</v>
      </c>
      <c r="I774" s="11">
        <f>'Raw Orders'!K774</f>
        <v>0.6</v>
      </c>
      <c r="J774" s="11">
        <f>IF('Raw Orders'!J774,"",(YEAR('Raw Orders'!I774)-YEAR('Raw Orders'!H774))*12+MONTH('Raw Orders'!I774)-MONTH('Raw Orders'!H774))</f>
        <v>1</v>
      </c>
      <c r="K774" t="str">
        <f>IF('Raw Orders'!J774,"Cancelled",IF('Raw Orders'!K774&gt;=2,"Slipped","On plan"))</f>
        <v>On plan</v>
      </c>
      <c r="L774" s="12">
        <f t="shared" si="12"/>
        <v>0</v>
      </c>
    </row>
    <row r="775" spans="1:12" x14ac:dyDescent="0.3">
      <c r="A775" t="str">
        <f>'Raw Orders'!A775</f>
        <v>NX-00771</v>
      </c>
      <c r="B775" t="str">
        <f>'Raw Orders'!B775</f>
        <v>EMEA</v>
      </c>
      <c r="C775" t="str">
        <f>'Raw Orders'!C775</f>
        <v>MENA</v>
      </c>
      <c r="D775" s="11">
        <f>'Raw Orders'!E775</f>
        <v>73.5</v>
      </c>
      <c r="E775" s="12">
        <f>'Raw Orders'!F775</f>
        <v>5953500</v>
      </c>
      <c r="F775" s="12">
        <f>'Raw Orders'!F775*0.75</f>
        <v>4465125</v>
      </c>
      <c r="G775" s="10">
        <f>'Raw Orders'!H775</f>
        <v>46113</v>
      </c>
      <c r="H775" s="10">
        <f>'Raw Orders'!I775</f>
        <v>46113</v>
      </c>
      <c r="I775" s="11">
        <f>'Raw Orders'!K775</f>
        <v>0.38</v>
      </c>
      <c r="J775" s="11">
        <f>IF('Raw Orders'!J775,"",(YEAR('Raw Orders'!I775)-YEAR('Raw Orders'!H775))*12+MONTH('Raw Orders'!I775)-MONTH('Raw Orders'!H775))</f>
        <v>0</v>
      </c>
      <c r="K775" t="str">
        <f>IF('Raw Orders'!J775,"Cancelled",IF('Raw Orders'!K775&gt;=2,"Slipped","On plan"))</f>
        <v>On plan</v>
      </c>
      <c r="L775" s="12">
        <f t="shared" si="12"/>
        <v>0</v>
      </c>
    </row>
    <row r="776" spans="1:12" x14ac:dyDescent="0.3">
      <c r="A776" t="str">
        <f>'Raw Orders'!A776</f>
        <v>NX-00772</v>
      </c>
      <c r="B776" t="str">
        <f>'Raw Orders'!B776</f>
        <v>EMEA</v>
      </c>
      <c r="C776" t="str">
        <f>'Raw Orders'!C776</f>
        <v>MENA</v>
      </c>
      <c r="D776" s="11">
        <f>'Raw Orders'!E776</f>
        <v>21.7</v>
      </c>
      <c r="E776" s="12">
        <f>'Raw Orders'!F776</f>
        <v>1757700</v>
      </c>
      <c r="F776" s="12">
        <f>'Raw Orders'!F776*0.75</f>
        <v>1318275</v>
      </c>
      <c r="G776" s="10">
        <f>'Raw Orders'!H776</f>
        <v>46235</v>
      </c>
      <c r="H776" s="10">
        <f>'Raw Orders'!I776</f>
        <v>46235</v>
      </c>
      <c r="I776" s="11">
        <f>'Raw Orders'!K776</f>
        <v>0</v>
      </c>
      <c r="J776" s="11">
        <f>IF('Raw Orders'!J776,"",(YEAR('Raw Orders'!I776)-YEAR('Raw Orders'!H776))*12+MONTH('Raw Orders'!I776)-MONTH('Raw Orders'!H776))</f>
        <v>0</v>
      </c>
      <c r="K776" t="str">
        <f>IF('Raw Orders'!J776,"Cancelled",IF('Raw Orders'!K776&gt;=2,"Slipped","On plan"))</f>
        <v>On plan</v>
      </c>
      <c r="L776" s="12">
        <f t="shared" si="12"/>
        <v>0</v>
      </c>
    </row>
    <row r="777" spans="1:12" x14ac:dyDescent="0.3">
      <c r="A777" t="str">
        <f>'Raw Orders'!A777</f>
        <v>NX-00773</v>
      </c>
      <c r="B777" t="str">
        <f>'Raw Orders'!B777</f>
        <v>EMEA</v>
      </c>
      <c r="C777" t="str">
        <f>'Raw Orders'!C777</f>
        <v>MENA</v>
      </c>
      <c r="D777" s="11">
        <f>'Raw Orders'!E777</f>
        <v>7.2</v>
      </c>
      <c r="E777" s="12">
        <f>'Raw Orders'!F777</f>
        <v>583200</v>
      </c>
      <c r="F777" s="12">
        <f>'Raw Orders'!F777*0.75</f>
        <v>437400</v>
      </c>
      <c r="G777" s="10">
        <f>'Raw Orders'!H777</f>
        <v>46143</v>
      </c>
      <c r="H777" s="10">
        <f>'Raw Orders'!I777</f>
        <v>46204</v>
      </c>
      <c r="I777" s="11">
        <f>'Raw Orders'!K777</f>
        <v>1.96</v>
      </c>
      <c r="J777" s="11">
        <f>IF('Raw Orders'!J777,"",(YEAR('Raw Orders'!I777)-YEAR('Raw Orders'!H777))*12+MONTH('Raw Orders'!I777)-MONTH('Raw Orders'!H777))</f>
        <v>2</v>
      </c>
      <c r="K777" t="str">
        <f>IF('Raw Orders'!J777,"Cancelled",IF('Raw Orders'!K777&gt;=2,"Slipped","On plan"))</f>
        <v>On plan</v>
      </c>
      <c r="L777" s="12">
        <f t="shared" si="12"/>
        <v>0</v>
      </c>
    </row>
    <row r="778" spans="1:12" x14ac:dyDescent="0.3">
      <c r="A778" t="str">
        <f>'Raw Orders'!A778</f>
        <v>NX-00774</v>
      </c>
      <c r="B778" t="str">
        <f>'Raw Orders'!B778</f>
        <v>APAC</v>
      </c>
      <c r="C778" t="str">
        <f>'Raw Orders'!C778</f>
        <v>India</v>
      </c>
      <c r="D778" s="11">
        <f>'Raw Orders'!E778</f>
        <v>9.9</v>
      </c>
      <c r="E778" s="12">
        <f>'Raw Orders'!F778</f>
        <v>702900</v>
      </c>
      <c r="F778" s="12">
        <f>'Raw Orders'!F778*0.75</f>
        <v>527175</v>
      </c>
      <c r="G778" s="10">
        <f>'Raw Orders'!H778</f>
        <v>46235</v>
      </c>
      <c r="H778" s="10">
        <f>'Raw Orders'!I778</f>
        <v>46327</v>
      </c>
      <c r="I778" s="11">
        <f>'Raw Orders'!K778</f>
        <v>3.11</v>
      </c>
      <c r="J778" s="11">
        <f>IF('Raw Orders'!J778,"",(YEAR('Raw Orders'!I778)-YEAR('Raw Orders'!H778))*12+MONTH('Raw Orders'!I778)-MONTH('Raw Orders'!H778))</f>
        <v>3</v>
      </c>
      <c r="K778" t="str">
        <f>IF('Raw Orders'!J778,"Cancelled",IF('Raw Orders'!K778&gt;=2,"Slipped","On plan"))</f>
        <v>Slipped</v>
      </c>
      <c r="L778" s="12">
        <f t="shared" si="12"/>
        <v>527175</v>
      </c>
    </row>
    <row r="779" spans="1:12" x14ac:dyDescent="0.3">
      <c r="A779" t="str">
        <f>'Raw Orders'!A779</f>
        <v>NX-00775</v>
      </c>
      <c r="B779" t="str">
        <f>'Raw Orders'!B779</f>
        <v>APAC</v>
      </c>
      <c r="C779" t="str">
        <f>'Raw Orders'!C779</f>
        <v>India</v>
      </c>
      <c r="D779" s="11">
        <f>'Raw Orders'!E779</f>
        <v>7.8</v>
      </c>
      <c r="E779" s="12">
        <f>'Raw Orders'!F779</f>
        <v>553800</v>
      </c>
      <c r="F779" s="12">
        <f>'Raw Orders'!F779*0.75</f>
        <v>415350</v>
      </c>
      <c r="G779" s="10">
        <f>'Raw Orders'!H779</f>
        <v>46082</v>
      </c>
      <c r="H779" s="10">
        <f>'Raw Orders'!I779</f>
        <v>46082</v>
      </c>
      <c r="I779" s="11">
        <f>'Raw Orders'!K779</f>
        <v>0.22</v>
      </c>
      <c r="J779" s="11">
        <f>IF('Raw Orders'!J779,"",(YEAR('Raw Orders'!I779)-YEAR('Raw Orders'!H779))*12+MONTH('Raw Orders'!I779)-MONTH('Raw Orders'!H779))</f>
        <v>0</v>
      </c>
      <c r="K779" t="str">
        <f>IF('Raw Orders'!J779,"Cancelled",IF('Raw Orders'!K779&gt;=2,"Slipped","On plan"))</f>
        <v>On plan</v>
      </c>
      <c r="L779" s="12">
        <f t="shared" si="12"/>
        <v>0</v>
      </c>
    </row>
    <row r="780" spans="1:12" x14ac:dyDescent="0.3">
      <c r="A780" t="str">
        <f>'Raw Orders'!A780</f>
        <v>NX-00776</v>
      </c>
      <c r="B780" t="str">
        <f>'Raw Orders'!B780</f>
        <v>LATAM</v>
      </c>
      <c r="C780" t="str">
        <f>'Raw Orders'!C780</f>
        <v>LATAM</v>
      </c>
      <c r="D780" s="11">
        <f>'Raw Orders'!E780</f>
        <v>15.5</v>
      </c>
      <c r="E780" s="12">
        <f>'Raw Orders'!F780</f>
        <v>1224500</v>
      </c>
      <c r="F780" s="12">
        <f>'Raw Orders'!F780*0.75</f>
        <v>918375</v>
      </c>
      <c r="G780" s="10">
        <f>'Raw Orders'!H780</f>
        <v>46143</v>
      </c>
      <c r="H780" s="10">
        <f>'Raw Orders'!I780</f>
        <v>46235</v>
      </c>
      <c r="I780" s="11">
        <f>'Raw Orders'!K780</f>
        <v>3.02</v>
      </c>
      <c r="J780" s="11">
        <f>IF('Raw Orders'!J780,"",(YEAR('Raw Orders'!I780)-YEAR('Raw Orders'!H780))*12+MONTH('Raw Orders'!I780)-MONTH('Raw Orders'!H780))</f>
        <v>3</v>
      </c>
      <c r="K780" t="str">
        <f>IF('Raw Orders'!J780,"Cancelled",IF('Raw Orders'!K780&gt;=2,"Slipped","On plan"))</f>
        <v>Slipped</v>
      </c>
      <c r="L780" s="12">
        <f t="shared" si="12"/>
        <v>918375</v>
      </c>
    </row>
    <row r="781" spans="1:12" x14ac:dyDescent="0.3">
      <c r="A781" t="str">
        <f>'Raw Orders'!A781</f>
        <v>NX-00777</v>
      </c>
      <c r="B781" t="str">
        <f>'Raw Orders'!B781</f>
        <v>LATAM</v>
      </c>
      <c r="C781" t="str">
        <f>'Raw Orders'!C781</f>
        <v>LATAM</v>
      </c>
      <c r="D781" s="11">
        <f>'Raw Orders'!E781</f>
        <v>2.5</v>
      </c>
      <c r="E781" s="12">
        <f>'Raw Orders'!F781</f>
        <v>197500</v>
      </c>
      <c r="F781" s="12">
        <f>'Raw Orders'!F781*0.75</f>
        <v>148125</v>
      </c>
      <c r="G781" s="10">
        <f>'Raw Orders'!H781</f>
        <v>46054</v>
      </c>
      <c r="H781" s="10">
        <f>'Raw Orders'!I781</f>
        <v>46054</v>
      </c>
      <c r="I781" s="11">
        <f>'Raw Orders'!K781</f>
        <v>0.08</v>
      </c>
      <c r="J781" s="11">
        <f>IF('Raw Orders'!J781,"",(YEAR('Raw Orders'!I781)-YEAR('Raw Orders'!H781))*12+MONTH('Raw Orders'!I781)-MONTH('Raw Orders'!H781))</f>
        <v>0</v>
      </c>
      <c r="K781" t="str">
        <f>IF('Raw Orders'!J781,"Cancelled",IF('Raw Orders'!K781&gt;=2,"Slipped","On plan"))</f>
        <v>On plan</v>
      </c>
      <c r="L781" s="12">
        <f t="shared" si="12"/>
        <v>0</v>
      </c>
    </row>
    <row r="782" spans="1:12" x14ac:dyDescent="0.3">
      <c r="A782" t="str">
        <f>'Raw Orders'!A782</f>
        <v>NX-00778</v>
      </c>
      <c r="B782" t="str">
        <f>'Raw Orders'!B782</f>
        <v>LATAM</v>
      </c>
      <c r="C782" t="str">
        <f>'Raw Orders'!C782</f>
        <v>LATAM</v>
      </c>
      <c r="D782" s="11">
        <f>'Raw Orders'!E782</f>
        <v>8.3000000000000007</v>
      </c>
      <c r="E782" s="12">
        <f>'Raw Orders'!F782</f>
        <v>655700</v>
      </c>
      <c r="F782" s="12">
        <f>'Raw Orders'!F782*0.75</f>
        <v>491775</v>
      </c>
      <c r="G782" s="10">
        <f>'Raw Orders'!H782</f>
        <v>46082</v>
      </c>
      <c r="H782" s="10">
        <f>'Raw Orders'!I782</f>
        <v>46082</v>
      </c>
      <c r="I782" s="11">
        <f>'Raw Orders'!K782</f>
        <v>0</v>
      </c>
      <c r="J782" s="11">
        <f>IF('Raw Orders'!J782,"",(YEAR('Raw Orders'!I782)-YEAR('Raw Orders'!H782))*12+MONTH('Raw Orders'!I782)-MONTH('Raw Orders'!H782))</f>
        <v>0</v>
      </c>
      <c r="K782" t="str">
        <f>IF('Raw Orders'!J782,"Cancelled",IF('Raw Orders'!K782&gt;=2,"Slipped","On plan"))</f>
        <v>On plan</v>
      </c>
      <c r="L782" s="12">
        <f t="shared" si="12"/>
        <v>0</v>
      </c>
    </row>
    <row r="783" spans="1:12" x14ac:dyDescent="0.3">
      <c r="A783" t="str">
        <f>'Raw Orders'!A783</f>
        <v>NX-00779</v>
      </c>
      <c r="B783" t="str">
        <f>'Raw Orders'!B783</f>
        <v>LATAM</v>
      </c>
      <c r="C783" t="str">
        <f>'Raw Orders'!C783</f>
        <v>LATAM</v>
      </c>
      <c r="D783" s="11">
        <f>'Raw Orders'!E783</f>
        <v>9</v>
      </c>
      <c r="E783" s="12">
        <f>'Raw Orders'!F783</f>
        <v>711000</v>
      </c>
      <c r="F783" s="12">
        <f>'Raw Orders'!F783*0.75</f>
        <v>533250</v>
      </c>
      <c r="G783" s="10">
        <f>'Raw Orders'!H783</f>
        <v>46113</v>
      </c>
      <c r="H783" s="10">
        <f>'Raw Orders'!I783</f>
        <v>46569</v>
      </c>
      <c r="I783" s="11">
        <f>'Raw Orders'!K783</f>
        <v>15.37</v>
      </c>
      <c r="J783" s="11">
        <f>IF('Raw Orders'!J783,"",(YEAR('Raw Orders'!I783)-YEAR('Raw Orders'!H783))*12+MONTH('Raw Orders'!I783)-MONTH('Raw Orders'!H783))</f>
        <v>15</v>
      </c>
      <c r="K783" t="str">
        <f>IF('Raw Orders'!J783,"Cancelled",IF('Raw Orders'!K783&gt;=2,"Slipped","On plan"))</f>
        <v>Slipped</v>
      </c>
      <c r="L783" s="12">
        <f t="shared" si="12"/>
        <v>533250</v>
      </c>
    </row>
    <row r="784" spans="1:12" x14ac:dyDescent="0.3">
      <c r="A784" t="str">
        <f>'Raw Orders'!A784</f>
        <v>NX-00780</v>
      </c>
      <c r="B784" t="str">
        <f>'Raw Orders'!B784</f>
        <v>North America</v>
      </c>
      <c r="C784" t="str">
        <f>'Raw Orders'!C784</f>
        <v>US / Canada</v>
      </c>
      <c r="D784" s="11">
        <f>'Raw Orders'!E784</f>
        <v>36.299999999999997</v>
      </c>
      <c r="E784" s="12">
        <f>'Raw Orders'!F784</f>
        <v>3012900</v>
      </c>
      <c r="F784" s="12">
        <f>'Raw Orders'!F784*0.75</f>
        <v>2259675</v>
      </c>
      <c r="G784" s="10">
        <f>'Raw Orders'!H784</f>
        <v>46235</v>
      </c>
      <c r="H784" s="10">
        <f>'Raw Orders'!I784</f>
        <v>46266</v>
      </c>
      <c r="I784" s="11">
        <f>'Raw Orders'!K784</f>
        <v>0.57999999999999996</v>
      </c>
      <c r="J784" s="11">
        <f>IF('Raw Orders'!J784,"",(YEAR('Raw Orders'!I784)-YEAR('Raw Orders'!H784))*12+MONTH('Raw Orders'!I784)-MONTH('Raw Orders'!H784))</f>
        <v>1</v>
      </c>
      <c r="K784" t="str">
        <f>IF('Raw Orders'!J784,"Cancelled",IF('Raw Orders'!K784&gt;=2,"Slipped","On plan"))</f>
        <v>On plan</v>
      </c>
      <c r="L784" s="12">
        <f t="shared" si="12"/>
        <v>0</v>
      </c>
    </row>
    <row r="785" spans="1:12" x14ac:dyDescent="0.3">
      <c r="A785" t="str">
        <f>'Raw Orders'!A785</f>
        <v>NX-00781</v>
      </c>
      <c r="B785" t="str">
        <f>'Raw Orders'!B785</f>
        <v>North America</v>
      </c>
      <c r="C785" t="str">
        <f>'Raw Orders'!C785</f>
        <v>US / Canada</v>
      </c>
      <c r="D785" s="11">
        <f>'Raw Orders'!E785</f>
        <v>8.4</v>
      </c>
      <c r="E785" s="12">
        <f>'Raw Orders'!F785</f>
        <v>697200</v>
      </c>
      <c r="F785" s="12">
        <f>'Raw Orders'!F785*0.75</f>
        <v>522900</v>
      </c>
      <c r="G785" s="10">
        <f>'Raw Orders'!H785</f>
        <v>46143</v>
      </c>
      <c r="H785" s="10">
        <f>'Raw Orders'!I785</f>
        <v>46143</v>
      </c>
      <c r="I785" s="11">
        <f>'Raw Orders'!K785</f>
        <v>0.02</v>
      </c>
      <c r="J785" s="11">
        <f>IF('Raw Orders'!J785,"",(YEAR('Raw Orders'!I785)-YEAR('Raw Orders'!H785))*12+MONTH('Raw Orders'!I785)-MONTH('Raw Orders'!H785))</f>
        <v>0</v>
      </c>
      <c r="K785" t="str">
        <f>IF('Raw Orders'!J785,"Cancelled",IF('Raw Orders'!K785&gt;=2,"Slipped","On plan"))</f>
        <v>On plan</v>
      </c>
      <c r="L785" s="12">
        <f t="shared" si="12"/>
        <v>0</v>
      </c>
    </row>
    <row r="786" spans="1:12" x14ac:dyDescent="0.3">
      <c r="A786" t="str">
        <f>'Raw Orders'!A786</f>
        <v>NX-00782</v>
      </c>
      <c r="B786" t="str">
        <f>'Raw Orders'!B786</f>
        <v>North America</v>
      </c>
      <c r="C786" t="str">
        <f>'Raw Orders'!C786</f>
        <v>US / Canada</v>
      </c>
      <c r="D786" s="11">
        <f>'Raw Orders'!E786</f>
        <v>8.6999999999999993</v>
      </c>
      <c r="E786" s="12">
        <f>'Raw Orders'!F786</f>
        <v>722099.99999999988</v>
      </c>
      <c r="F786" s="12">
        <f>'Raw Orders'!F786*0.75</f>
        <v>541574.99999999988</v>
      </c>
      <c r="G786" s="10">
        <f>'Raw Orders'!H786</f>
        <v>46113</v>
      </c>
      <c r="H786" s="10">
        <f>'Raw Orders'!I786</f>
        <v>46174</v>
      </c>
      <c r="I786" s="11">
        <f>'Raw Orders'!K786</f>
        <v>1.54</v>
      </c>
      <c r="J786" s="11">
        <f>IF('Raw Orders'!J786,"",(YEAR('Raw Orders'!I786)-YEAR('Raw Orders'!H786))*12+MONTH('Raw Orders'!I786)-MONTH('Raw Orders'!H786))</f>
        <v>2</v>
      </c>
      <c r="K786" t="str">
        <f>IF('Raw Orders'!J786,"Cancelled",IF('Raw Orders'!K786&gt;=2,"Slipped","On plan"))</f>
        <v>On plan</v>
      </c>
      <c r="L786" s="12">
        <f t="shared" si="12"/>
        <v>0</v>
      </c>
    </row>
    <row r="787" spans="1:12" x14ac:dyDescent="0.3">
      <c r="A787" t="str">
        <f>'Raw Orders'!A787</f>
        <v>NX-00783</v>
      </c>
      <c r="B787" t="str">
        <f>'Raw Orders'!B787</f>
        <v>North America</v>
      </c>
      <c r="C787" t="str">
        <f>'Raw Orders'!C787</f>
        <v>US / Canada</v>
      </c>
      <c r="D787" s="11">
        <f>'Raw Orders'!E787</f>
        <v>26.4</v>
      </c>
      <c r="E787" s="12">
        <f>'Raw Orders'!F787</f>
        <v>2191200</v>
      </c>
      <c r="F787" s="12">
        <f>'Raw Orders'!F787*0.75</f>
        <v>1643400</v>
      </c>
      <c r="G787" s="10">
        <f>'Raw Orders'!H787</f>
        <v>46266</v>
      </c>
      <c r="H787" s="10">
        <f>'Raw Orders'!I787</f>
        <v>46296</v>
      </c>
      <c r="I787" s="11">
        <f>'Raw Orders'!K787</f>
        <v>0.56999999999999995</v>
      </c>
      <c r="J787" s="11">
        <f>IF('Raw Orders'!J787,"",(YEAR('Raw Orders'!I787)-YEAR('Raw Orders'!H787))*12+MONTH('Raw Orders'!I787)-MONTH('Raw Orders'!H787))</f>
        <v>1</v>
      </c>
      <c r="K787" t="str">
        <f>IF('Raw Orders'!J787,"Cancelled",IF('Raw Orders'!K787&gt;=2,"Slipped","On plan"))</f>
        <v>On plan</v>
      </c>
      <c r="L787" s="12">
        <f t="shared" si="12"/>
        <v>0</v>
      </c>
    </row>
    <row r="788" spans="1:12" x14ac:dyDescent="0.3">
      <c r="A788" t="str">
        <f>'Raw Orders'!A788</f>
        <v>NX-00784</v>
      </c>
      <c r="B788" t="str">
        <f>'Raw Orders'!B788</f>
        <v>North America</v>
      </c>
      <c r="C788" t="str">
        <f>'Raw Orders'!C788</f>
        <v>US / Canada</v>
      </c>
      <c r="D788" s="11">
        <f>'Raw Orders'!E788</f>
        <v>13.9</v>
      </c>
      <c r="E788" s="12">
        <f>'Raw Orders'!F788</f>
        <v>1153700</v>
      </c>
      <c r="F788" s="12">
        <f>'Raw Orders'!F788*0.75</f>
        <v>865275</v>
      </c>
      <c r="G788" s="10">
        <f>'Raw Orders'!H788</f>
        <v>46113</v>
      </c>
      <c r="H788" s="10">
        <f>'Raw Orders'!I788</f>
        <v>46113</v>
      </c>
      <c r="I788" s="11">
        <f>'Raw Orders'!K788</f>
        <v>0.04</v>
      </c>
      <c r="J788" s="11">
        <f>IF('Raw Orders'!J788,"",(YEAR('Raw Orders'!I788)-YEAR('Raw Orders'!H788))*12+MONTH('Raw Orders'!I788)-MONTH('Raw Orders'!H788))</f>
        <v>0</v>
      </c>
      <c r="K788" t="str">
        <f>IF('Raw Orders'!J788,"Cancelled",IF('Raw Orders'!K788&gt;=2,"Slipped","On plan"))</f>
        <v>On plan</v>
      </c>
      <c r="L788" s="12">
        <f t="shared" si="12"/>
        <v>0</v>
      </c>
    </row>
    <row r="789" spans="1:12" x14ac:dyDescent="0.3">
      <c r="A789" t="str">
        <f>'Raw Orders'!A789</f>
        <v>NX-00785</v>
      </c>
      <c r="B789" t="str">
        <f>'Raw Orders'!B789</f>
        <v>North America</v>
      </c>
      <c r="C789" t="str">
        <f>'Raw Orders'!C789</f>
        <v>US / Canada</v>
      </c>
      <c r="D789" s="11">
        <f>'Raw Orders'!E789</f>
        <v>47.6</v>
      </c>
      <c r="E789" s="12">
        <f>'Raw Orders'!F789</f>
        <v>3950800</v>
      </c>
      <c r="F789" s="12">
        <f>'Raw Orders'!F789*0.75</f>
        <v>2963100</v>
      </c>
      <c r="G789" s="10">
        <f>'Raw Orders'!H789</f>
        <v>46174</v>
      </c>
      <c r="H789" s="10">
        <f>'Raw Orders'!I789</f>
        <v>46174</v>
      </c>
      <c r="I789" s="11">
        <f>'Raw Orders'!K789</f>
        <v>0.15</v>
      </c>
      <c r="J789" s="11">
        <f>IF('Raw Orders'!J789,"",(YEAR('Raw Orders'!I789)-YEAR('Raw Orders'!H789))*12+MONTH('Raw Orders'!I789)-MONTH('Raw Orders'!H789))</f>
        <v>0</v>
      </c>
      <c r="K789" t="str">
        <f>IF('Raw Orders'!J789,"Cancelled",IF('Raw Orders'!K789&gt;=2,"Slipped","On plan"))</f>
        <v>On plan</v>
      </c>
      <c r="L789" s="12">
        <f t="shared" si="12"/>
        <v>0</v>
      </c>
    </row>
    <row r="790" spans="1:12" x14ac:dyDescent="0.3">
      <c r="A790" t="str">
        <f>'Raw Orders'!A790</f>
        <v>NX-00786</v>
      </c>
      <c r="B790" t="str">
        <f>'Raw Orders'!B790</f>
        <v>North America</v>
      </c>
      <c r="C790" t="str">
        <f>'Raw Orders'!C790</f>
        <v>US / Canada</v>
      </c>
      <c r="D790" s="11">
        <f>'Raw Orders'!E790</f>
        <v>12.7</v>
      </c>
      <c r="E790" s="12">
        <f>'Raw Orders'!F790</f>
        <v>1054100</v>
      </c>
      <c r="F790" s="12">
        <f>'Raw Orders'!F790*0.75</f>
        <v>790575</v>
      </c>
      <c r="G790" s="10">
        <f>'Raw Orders'!H790</f>
        <v>46082</v>
      </c>
      <c r="H790" s="10">
        <f>'Raw Orders'!I790</f>
        <v>46174</v>
      </c>
      <c r="I790" s="11">
        <f>'Raw Orders'!K790</f>
        <v>3.19</v>
      </c>
      <c r="J790" s="11">
        <f>IF('Raw Orders'!J790,"",(YEAR('Raw Orders'!I790)-YEAR('Raw Orders'!H790))*12+MONTH('Raw Orders'!I790)-MONTH('Raw Orders'!H790))</f>
        <v>3</v>
      </c>
      <c r="K790" t="str">
        <f>IF('Raw Orders'!J790,"Cancelled",IF('Raw Orders'!K790&gt;=2,"Slipped","On plan"))</f>
        <v>Slipped</v>
      </c>
      <c r="L790" s="12">
        <f t="shared" si="12"/>
        <v>790575</v>
      </c>
    </row>
    <row r="791" spans="1:12" x14ac:dyDescent="0.3">
      <c r="A791" t="str">
        <f>'Raw Orders'!A791</f>
        <v>NX-00787</v>
      </c>
      <c r="B791" t="str">
        <f>'Raw Orders'!B791</f>
        <v>North America</v>
      </c>
      <c r="C791" t="str">
        <f>'Raw Orders'!C791</f>
        <v>US / Canada</v>
      </c>
      <c r="D791" s="11">
        <f>'Raw Orders'!E791</f>
        <v>7.5</v>
      </c>
      <c r="E791" s="12">
        <f>'Raw Orders'!F791</f>
        <v>622500</v>
      </c>
      <c r="F791" s="12">
        <f>'Raw Orders'!F791*0.75</f>
        <v>466875</v>
      </c>
      <c r="G791" s="10">
        <f>'Raw Orders'!H791</f>
        <v>46143</v>
      </c>
      <c r="H791" s="10">
        <f>'Raw Orders'!I791</f>
        <v>46143</v>
      </c>
      <c r="I791" s="11">
        <f>'Raw Orders'!K791</f>
        <v>0.01</v>
      </c>
      <c r="J791" s="11">
        <f>IF('Raw Orders'!J791,"",(YEAR('Raw Orders'!I791)-YEAR('Raw Orders'!H791))*12+MONTH('Raw Orders'!I791)-MONTH('Raw Orders'!H791))</f>
        <v>0</v>
      </c>
      <c r="K791" t="str">
        <f>IF('Raw Orders'!J791,"Cancelled",IF('Raw Orders'!K791&gt;=2,"Slipped","On plan"))</f>
        <v>On plan</v>
      </c>
      <c r="L791" s="12">
        <f t="shared" si="12"/>
        <v>0</v>
      </c>
    </row>
    <row r="792" spans="1:12" x14ac:dyDescent="0.3">
      <c r="A792" t="str">
        <f>'Raw Orders'!A792</f>
        <v>NX-00788</v>
      </c>
      <c r="B792" t="str">
        <f>'Raw Orders'!B792</f>
        <v>North America</v>
      </c>
      <c r="C792" t="str">
        <f>'Raw Orders'!C792</f>
        <v>US / Canada</v>
      </c>
      <c r="D792" s="11">
        <f>'Raw Orders'!E792</f>
        <v>10.9</v>
      </c>
      <c r="E792" s="12">
        <f>'Raw Orders'!F792</f>
        <v>904700</v>
      </c>
      <c r="F792" s="12">
        <f>'Raw Orders'!F792*0.75</f>
        <v>678525</v>
      </c>
      <c r="G792" s="10">
        <f>'Raw Orders'!H792</f>
        <v>46113</v>
      </c>
      <c r="H792" s="10">
        <f>'Raw Orders'!I792</f>
        <v>46113</v>
      </c>
      <c r="I792" s="11">
        <f>'Raw Orders'!K792</f>
        <v>0</v>
      </c>
      <c r="J792" s="11">
        <f>IF('Raw Orders'!J792,"",(YEAR('Raw Orders'!I792)-YEAR('Raw Orders'!H792))*12+MONTH('Raw Orders'!I792)-MONTH('Raw Orders'!H792))</f>
        <v>0</v>
      </c>
      <c r="K792" t="str">
        <f>IF('Raw Orders'!J792,"Cancelled",IF('Raw Orders'!K792&gt;=2,"Slipped","On plan"))</f>
        <v>On plan</v>
      </c>
      <c r="L792" s="12">
        <f t="shared" si="12"/>
        <v>0</v>
      </c>
    </row>
    <row r="793" spans="1:12" x14ac:dyDescent="0.3">
      <c r="A793" t="str">
        <f>'Raw Orders'!A793</f>
        <v>NX-00789</v>
      </c>
      <c r="B793" t="str">
        <f>'Raw Orders'!B793</f>
        <v>North America</v>
      </c>
      <c r="C793" t="str">
        <f>'Raw Orders'!C793</f>
        <v>US / Canada</v>
      </c>
      <c r="D793" s="11">
        <f>'Raw Orders'!E793</f>
        <v>17.7</v>
      </c>
      <c r="E793" s="12">
        <f>'Raw Orders'!F793</f>
        <v>1469100</v>
      </c>
      <c r="F793" s="12">
        <f>'Raw Orders'!F793*0.75</f>
        <v>1101825</v>
      </c>
      <c r="G793" s="10">
        <f>'Raw Orders'!H793</f>
        <v>46143</v>
      </c>
      <c r="H793" s="10">
        <f>'Raw Orders'!I793</f>
        <v>46174</v>
      </c>
      <c r="I793" s="11">
        <f>'Raw Orders'!K793</f>
        <v>0.52</v>
      </c>
      <c r="J793" s="11">
        <f>IF('Raw Orders'!J793,"",(YEAR('Raw Orders'!I793)-YEAR('Raw Orders'!H793))*12+MONTH('Raw Orders'!I793)-MONTH('Raw Orders'!H793))</f>
        <v>1</v>
      </c>
      <c r="K793" t="str">
        <f>IF('Raw Orders'!J793,"Cancelled",IF('Raw Orders'!K793&gt;=2,"Slipped","On plan"))</f>
        <v>On plan</v>
      </c>
      <c r="L793" s="12">
        <f t="shared" si="12"/>
        <v>0</v>
      </c>
    </row>
    <row r="794" spans="1:12" x14ac:dyDescent="0.3">
      <c r="A794" t="str">
        <f>'Raw Orders'!A794</f>
        <v>NX-00790</v>
      </c>
      <c r="B794" t="str">
        <f>'Raw Orders'!B794</f>
        <v>North America</v>
      </c>
      <c r="C794" t="str">
        <f>'Raw Orders'!C794</f>
        <v>US / Canada</v>
      </c>
      <c r="D794" s="11">
        <f>'Raw Orders'!E794</f>
        <v>65</v>
      </c>
      <c r="E794" s="12">
        <f>'Raw Orders'!F794</f>
        <v>5395000</v>
      </c>
      <c r="F794" s="12">
        <f>'Raw Orders'!F794*0.75</f>
        <v>4046250</v>
      </c>
      <c r="G794" s="10">
        <f>'Raw Orders'!H794</f>
        <v>46082</v>
      </c>
      <c r="H794" s="10">
        <f>'Raw Orders'!I794</f>
        <v>46235</v>
      </c>
      <c r="I794" s="11">
        <f>'Raw Orders'!K794</f>
        <v>5.14</v>
      </c>
      <c r="J794" s="11">
        <f>IF('Raw Orders'!J794,"",(YEAR('Raw Orders'!I794)-YEAR('Raw Orders'!H794))*12+MONTH('Raw Orders'!I794)-MONTH('Raw Orders'!H794))</f>
        <v>5</v>
      </c>
      <c r="K794" t="str">
        <f>IF('Raw Orders'!J794,"Cancelled",IF('Raw Orders'!K794&gt;=2,"Slipped","On plan"))</f>
        <v>Slipped</v>
      </c>
      <c r="L794" s="12">
        <f t="shared" si="12"/>
        <v>4046250</v>
      </c>
    </row>
    <row r="795" spans="1:12" x14ac:dyDescent="0.3">
      <c r="A795" t="str">
        <f>'Raw Orders'!A795</f>
        <v>NX-00791</v>
      </c>
      <c r="B795" t="str">
        <f>'Raw Orders'!B795</f>
        <v>North America</v>
      </c>
      <c r="C795" t="str">
        <f>'Raw Orders'!C795</f>
        <v>US / Canada</v>
      </c>
      <c r="D795" s="11">
        <f>'Raw Orders'!E795</f>
        <v>15.7</v>
      </c>
      <c r="E795" s="12">
        <f>'Raw Orders'!F795</f>
        <v>1303100</v>
      </c>
      <c r="F795" s="12">
        <f>'Raw Orders'!F795*0.75</f>
        <v>977325</v>
      </c>
      <c r="G795" s="10">
        <f>'Raw Orders'!H795</f>
        <v>46082</v>
      </c>
      <c r="H795" s="10">
        <f>'Raw Orders'!I795</f>
        <v>46082</v>
      </c>
      <c r="I795" s="11">
        <f>'Raw Orders'!K795</f>
        <v>0</v>
      </c>
      <c r="J795" s="11">
        <f>IF('Raw Orders'!J795,"",(YEAR('Raw Orders'!I795)-YEAR('Raw Orders'!H795))*12+MONTH('Raw Orders'!I795)-MONTH('Raw Orders'!H795))</f>
        <v>0</v>
      </c>
      <c r="K795" t="str">
        <f>IF('Raw Orders'!J795,"Cancelled",IF('Raw Orders'!K795&gt;=2,"Slipped","On plan"))</f>
        <v>On plan</v>
      </c>
      <c r="L795" s="12">
        <f t="shared" si="12"/>
        <v>0</v>
      </c>
    </row>
    <row r="796" spans="1:12" x14ac:dyDescent="0.3">
      <c r="A796" t="str">
        <f>'Raw Orders'!A796</f>
        <v>NX-00792</v>
      </c>
      <c r="B796" t="str">
        <f>'Raw Orders'!B796</f>
        <v>North America</v>
      </c>
      <c r="C796" t="str">
        <f>'Raw Orders'!C796</f>
        <v>US / Canada</v>
      </c>
      <c r="D796" s="11">
        <f>'Raw Orders'!E796</f>
        <v>2.7</v>
      </c>
      <c r="E796" s="12">
        <f>'Raw Orders'!F796</f>
        <v>224100</v>
      </c>
      <c r="F796" s="12">
        <f>'Raw Orders'!F796*0.75</f>
        <v>168075</v>
      </c>
      <c r="G796" s="10">
        <f>'Raw Orders'!H796</f>
        <v>46113</v>
      </c>
      <c r="H796" s="10">
        <f>'Raw Orders'!I796</f>
        <v>46113</v>
      </c>
      <c r="I796" s="11">
        <f>'Raw Orders'!K796</f>
        <v>0.01</v>
      </c>
      <c r="J796" s="11">
        <f>IF('Raw Orders'!J796,"",(YEAR('Raw Orders'!I796)-YEAR('Raw Orders'!H796))*12+MONTH('Raw Orders'!I796)-MONTH('Raw Orders'!H796))</f>
        <v>0</v>
      </c>
      <c r="K796" t="str">
        <f>IF('Raw Orders'!J796,"Cancelled",IF('Raw Orders'!K796&gt;=2,"Slipped","On plan"))</f>
        <v>On plan</v>
      </c>
      <c r="L796" s="12">
        <f t="shared" si="12"/>
        <v>0</v>
      </c>
    </row>
    <row r="797" spans="1:12" x14ac:dyDescent="0.3">
      <c r="A797" t="str">
        <f>'Raw Orders'!A797</f>
        <v>NX-00793</v>
      </c>
      <c r="B797" t="str">
        <f>'Raw Orders'!B797</f>
        <v>North America</v>
      </c>
      <c r="C797" t="str">
        <f>'Raw Orders'!C797</f>
        <v>US / Canada</v>
      </c>
      <c r="D797" s="11">
        <f>'Raw Orders'!E797</f>
        <v>2.2999999999999998</v>
      </c>
      <c r="E797" s="12">
        <f>'Raw Orders'!F797</f>
        <v>190900</v>
      </c>
      <c r="F797" s="12">
        <f>'Raw Orders'!F797*0.75</f>
        <v>143175</v>
      </c>
      <c r="G797" s="10">
        <f>'Raw Orders'!H797</f>
        <v>46235</v>
      </c>
      <c r="H797" s="10">
        <f>'Raw Orders'!I797</f>
        <v>46235</v>
      </c>
      <c r="I797" s="11">
        <f>'Raw Orders'!K797</f>
        <v>0</v>
      </c>
      <c r="J797" s="11">
        <f>IF('Raw Orders'!J797,"",(YEAR('Raw Orders'!I797)-YEAR('Raw Orders'!H797))*12+MONTH('Raw Orders'!I797)-MONTH('Raw Orders'!H797))</f>
        <v>0</v>
      </c>
      <c r="K797" t="str">
        <f>IF('Raw Orders'!J797,"Cancelled",IF('Raw Orders'!K797&gt;=2,"Slipped","On plan"))</f>
        <v>On plan</v>
      </c>
      <c r="L797" s="12">
        <f t="shared" si="12"/>
        <v>0</v>
      </c>
    </row>
    <row r="798" spans="1:12" x14ac:dyDescent="0.3">
      <c r="A798" t="str">
        <f>'Raw Orders'!A798</f>
        <v>NX-00794</v>
      </c>
      <c r="B798" t="str">
        <f>'Raw Orders'!B798</f>
        <v>North America</v>
      </c>
      <c r="C798" t="str">
        <f>'Raw Orders'!C798</f>
        <v>US / Canada</v>
      </c>
      <c r="D798" s="11">
        <f>'Raw Orders'!E798</f>
        <v>16.3</v>
      </c>
      <c r="E798" s="12">
        <f>'Raw Orders'!F798</f>
        <v>1352900</v>
      </c>
      <c r="F798" s="12">
        <f>'Raw Orders'!F798*0.75</f>
        <v>1014675</v>
      </c>
      <c r="G798" s="10">
        <f>'Raw Orders'!H798</f>
        <v>46174</v>
      </c>
      <c r="H798" s="10">
        <f>'Raw Orders'!I798</f>
        <v>46174</v>
      </c>
      <c r="I798" s="11">
        <f>'Raw Orders'!K798</f>
        <v>0.01</v>
      </c>
      <c r="J798" s="11">
        <f>IF('Raw Orders'!J798,"",(YEAR('Raw Orders'!I798)-YEAR('Raw Orders'!H798))*12+MONTH('Raw Orders'!I798)-MONTH('Raw Orders'!H798))</f>
        <v>0</v>
      </c>
      <c r="K798" t="str">
        <f>IF('Raw Orders'!J798,"Cancelled",IF('Raw Orders'!K798&gt;=2,"Slipped","On plan"))</f>
        <v>On plan</v>
      </c>
      <c r="L798" s="12">
        <f t="shared" si="12"/>
        <v>0</v>
      </c>
    </row>
    <row r="799" spans="1:12" x14ac:dyDescent="0.3">
      <c r="A799" t="str">
        <f>'Raw Orders'!A799</f>
        <v>NX-00795</v>
      </c>
      <c r="B799" t="str">
        <f>'Raw Orders'!B799</f>
        <v>North America</v>
      </c>
      <c r="C799" t="str">
        <f>'Raw Orders'!C799</f>
        <v>US / Canada</v>
      </c>
      <c r="D799" s="11">
        <f>'Raw Orders'!E799</f>
        <v>8.6999999999999993</v>
      </c>
      <c r="E799" s="12">
        <f>'Raw Orders'!F799</f>
        <v>722099.99999999988</v>
      </c>
      <c r="F799" s="12">
        <f>'Raw Orders'!F799*0.75</f>
        <v>541574.99999999988</v>
      </c>
      <c r="G799" s="10">
        <f>'Raw Orders'!H799</f>
        <v>46204</v>
      </c>
      <c r="H799" s="10">
        <f>'Raw Orders'!I799</f>
        <v>46235</v>
      </c>
      <c r="I799" s="11">
        <f>'Raw Orders'!K799</f>
        <v>1.22</v>
      </c>
      <c r="J799" s="11">
        <f>IF('Raw Orders'!J799,"",(YEAR('Raw Orders'!I799)-YEAR('Raw Orders'!H799))*12+MONTH('Raw Orders'!I799)-MONTH('Raw Orders'!H799))</f>
        <v>1</v>
      </c>
      <c r="K799" t="str">
        <f>IF('Raw Orders'!J799,"Cancelled",IF('Raw Orders'!K799&gt;=2,"Slipped","On plan"))</f>
        <v>On plan</v>
      </c>
      <c r="L799" s="12">
        <f t="shared" si="12"/>
        <v>0</v>
      </c>
    </row>
    <row r="800" spans="1:12" x14ac:dyDescent="0.3">
      <c r="A800" t="str">
        <f>'Raw Orders'!A800</f>
        <v>NX-00796</v>
      </c>
      <c r="B800" t="str">
        <f>'Raw Orders'!B800</f>
        <v>North America</v>
      </c>
      <c r="C800" t="str">
        <f>'Raw Orders'!C800</f>
        <v>US / Canada</v>
      </c>
      <c r="D800" s="11">
        <f>'Raw Orders'!E800</f>
        <v>7.8</v>
      </c>
      <c r="E800" s="12">
        <f>'Raw Orders'!F800</f>
        <v>647400</v>
      </c>
      <c r="F800" s="12">
        <f>'Raw Orders'!F800*0.75</f>
        <v>485550</v>
      </c>
      <c r="G800" s="10">
        <f>'Raw Orders'!H800</f>
        <v>46113</v>
      </c>
      <c r="H800" s="10">
        <f>'Raw Orders'!I800</f>
        <v>46174</v>
      </c>
      <c r="I800" s="11">
        <f>'Raw Orders'!K800</f>
        <v>1.99</v>
      </c>
      <c r="J800" s="11">
        <f>IF('Raw Orders'!J800,"",(YEAR('Raw Orders'!I800)-YEAR('Raw Orders'!H800))*12+MONTH('Raw Orders'!I800)-MONTH('Raw Orders'!H800))</f>
        <v>2</v>
      </c>
      <c r="K800" t="str">
        <f>IF('Raw Orders'!J800,"Cancelled",IF('Raw Orders'!K800&gt;=2,"Slipped","On plan"))</f>
        <v>On plan</v>
      </c>
      <c r="L800" s="12">
        <f t="shared" si="12"/>
        <v>0</v>
      </c>
    </row>
    <row r="801" spans="1:12" x14ac:dyDescent="0.3">
      <c r="A801" t="str">
        <f>'Raw Orders'!A801</f>
        <v>NX-00797</v>
      </c>
      <c r="B801" t="str">
        <f>'Raw Orders'!B801</f>
        <v>EMEA</v>
      </c>
      <c r="C801" t="str">
        <f>'Raw Orders'!C801</f>
        <v>Europe</v>
      </c>
      <c r="D801" s="11">
        <f>'Raw Orders'!E801</f>
        <v>28.4</v>
      </c>
      <c r="E801" s="12">
        <f>'Raw Orders'!F801</f>
        <v>2499200</v>
      </c>
      <c r="F801" s="12">
        <f>'Raw Orders'!F801*0.75</f>
        <v>1874400</v>
      </c>
      <c r="G801" s="10">
        <f>'Raw Orders'!H801</f>
        <v>46174</v>
      </c>
      <c r="H801" s="10">
        <f>'Raw Orders'!I801</f>
        <v>46266</v>
      </c>
      <c r="I801" s="11">
        <f>'Raw Orders'!K801</f>
        <v>2.84</v>
      </c>
      <c r="J801" s="11">
        <f>IF('Raw Orders'!J801,"",(YEAR('Raw Orders'!I801)-YEAR('Raw Orders'!H801))*12+MONTH('Raw Orders'!I801)-MONTH('Raw Orders'!H801))</f>
        <v>3</v>
      </c>
      <c r="K801" t="str">
        <f>IF('Raw Orders'!J801,"Cancelled",IF('Raw Orders'!K801&gt;=2,"Slipped","On plan"))</f>
        <v>Slipped</v>
      </c>
      <c r="L801" s="12">
        <f t="shared" si="12"/>
        <v>1874400</v>
      </c>
    </row>
    <row r="802" spans="1:12" x14ac:dyDescent="0.3">
      <c r="A802" t="str">
        <f>'Raw Orders'!A802</f>
        <v>NX-00798</v>
      </c>
      <c r="B802" t="str">
        <f>'Raw Orders'!B802</f>
        <v>EMEA</v>
      </c>
      <c r="C802" t="str">
        <f>'Raw Orders'!C802</f>
        <v>MENA</v>
      </c>
      <c r="D802" s="11">
        <f>'Raw Orders'!E802</f>
        <v>18.7</v>
      </c>
      <c r="E802" s="12">
        <f>'Raw Orders'!F802</f>
        <v>1514700</v>
      </c>
      <c r="F802" s="12">
        <f>'Raw Orders'!F802*0.75</f>
        <v>1136025</v>
      </c>
      <c r="G802" s="10">
        <f>'Raw Orders'!H802</f>
        <v>46174</v>
      </c>
      <c r="H802" s="10">
        <f>'Raw Orders'!I802</f>
        <v>46174</v>
      </c>
      <c r="I802" s="11">
        <f>'Raw Orders'!K802</f>
        <v>0</v>
      </c>
      <c r="J802" s="11">
        <f>IF('Raw Orders'!J802,"",(YEAR('Raw Orders'!I802)-YEAR('Raw Orders'!H802))*12+MONTH('Raw Orders'!I802)-MONTH('Raw Orders'!H802))</f>
        <v>0</v>
      </c>
      <c r="K802" t="str">
        <f>IF('Raw Orders'!J802,"Cancelled",IF('Raw Orders'!K802&gt;=2,"Slipped","On plan"))</f>
        <v>On plan</v>
      </c>
      <c r="L802" s="12">
        <f t="shared" si="12"/>
        <v>0</v>
      </c>
    </row>
    <row r="803" spans="1:12" x14ac:dyDescent="0.3">
      <c r="A803" t="str">
        <f>'Raw Orders'!A803</f>
        <v>NX-00799</v>
      </c>
      <c r="B803" t="str">
        <f>'Raw Orders'!B803</f>
        <v>EMEA</v>
      </c>
      <c r="C803" t="str">
        <f>'Raw Orders'!C803</f>
        <v>MENA</v>
      </c>
      <c r="D803" s="11">
        <f>'Raw Orders'!E803</f>
        <v>11.6</v>
      </c>
      <c r="E803" s="12">
        <f>'Raw Orders'!F803</f>
        <v>939600</v>
      </c>
      <c r="F803" s="12">
        <f>'Raw Orders'!F803*0.75</f>
        <v>704700</v>
      </c>
      <c r="G803" s="10">
        <f>'Raw Orders'!H803</f>
        <v>46082</v>
      </c>
      <c r="H803" s="10">
        <f>'Raw Orders'!I803</f>
        <v>46113</v>
      </c>
      <c r="I803" s="11">
        <f>'Raw Orders'!K803</f>
        <v>1.01</v>
      </c>
      <c r="J803" s="11">
        <f>IF('Raw Orders'!J803,"",(YEAR('Raw Orders'!I803)-YEAR('Raw Orders'!H803))*12+MONTH('Raw Orders'!I803)-MONTH('Raw Orders'!H803))</f>
        <v>1</v>
      </c>
      <c r="K803" t="str">
        <f>IF('Raw Orders'!J803,"Cancelled",IF('Raw Orders'!K803&gt;=2,"Slipped","On plan"))</f>
        <v>On plan</v>
      </c>
      <c r="L803" s="12">
        <f t="shared" si="12"/>
        <v>0</v>
      </c>
    </row>
    <row r="804" spans="1:12" x14ac:dyDescent="0.3">
      <c r="A804" t="str">
        <f>'Raw Orders'!A804</f>
        <v>NX-00800</v>
      </c>
      <c r="B804" t="str">
        <f>'Raw Orders'!B804</f>
        <v>EMEA</v>
      </c>
      <c r="C804" t="str">
        <f>'Raw Orders'!C804</f>
        <v>MENA</v>
      </c>
      <c r="D804" s="11">
        <f>'Raw Orders'!E804</f>
        <v>13.8</v>
      </c>
      <c r="E804" s="12">
        <f>'Raw Orders'!F804</f>
        <v>1117800</v>
      </c>
      <c r="F804" s="12">
        <f>'Raw Orders'!F804*0.75</f>
        <v>838350</v>
      </c>
      <c r="G804" s="10">
        <f>'Raw Orders'!H804</f>
        <v>46082</v>
      </c>
      <c r="H804" s="10">
        <f>'Raw Orders'!I804</f>
        <v>46082</v>
      </c>
      <c r="I804" s="11">
        <f>'Raw Orders'!K804</f>
        <v>0.01</v>
      </c>
      <c r="J804" s="11">
        <f>IF('Raw Orders'!J804,"",(YEAR('Raw Orders'!I804)-YEAR('Raw Orders'!H804))*12+MONTH('Raw Orders'!I804)-MONTH('Raw Orders'!H804))</f>
        <v>0</v>
      </c>
      <c r="K804" t="str">
        <f>IF('Raw Orders'!J804,"Cancelled",IF('Raw Orders'!K804&gt;=2,"Slipped","On plan"))</f>
        <v>On plan</v>
      </c>
      <c r="L804" s="12">
        <f t="shared" si="12"/>
        <v>0</v>
      </c>
    </row>
    <row r="805" spans="1:12" x14ac:dyDescent="0.3">
      <c r="A805" t="str">
        <f>'Raw Orders'!A805</f>
        <v>NX-00801</v>
      </c>
      <c r="B805" t="str">
        <f>'Raw Orders'!B805</f>
        <v>APAC</v>
      </c>
      <c r="C805" t="str">
        <f>'Raw Orders'!C805</f>
        <v>India</v>
      </c>
      <c r="D805" s="11">
        <f>'Raw Orders'!E805</f>
        <v>6.6</v>
      </c>
      <c r="E805" s="12">
        <f>'Raw Orders'!F805</f>
        <v>468600</v>
      </c>
      <c r="F805" s="12">
        <f>'Raw Orders'!F805*0.75</f>
        <v>351450</v>
      </c>
      <c r="G805" s="10">
        <f>'Raw Orders'!H805</f>
        <v>46266</v>
      </c>
      <c r="H805" s="10">
        <f>'Raw Orders'!I805</f>
        <v>46357</v>
      </c>
      <c r="I805" s="11">
        <f>'Raw Orders'!K805</f>
        <v>3.03</v>
      </c>
      <c r="J805" s="11">
        <f>IF('Raw Orders'!J805,"",(YEAR('Raw Orders'!I805)-YEAR('Raw Orders'!H805))*12+MONTH('Raw Orders'!I805)-MONTH('Raw Orders'!H805))</f>
        <v>3</v>
      </c>
      <c r="K805" t="str">
        <f>IF('Raw Orders'!J805,"Cancelled",IF('Raw Orders'!K805&gt;=2,"Slipped","On plan"))</f>
        <v>Slipped</v>
      </c>
      <c r="L805" s="12">
        <f t="shared" si="12"/>
        <v>351450</v>
      </c>
    </row>
    <row r="806" spans="1:12" x14ac:dyDescent="0.3">
      <c r="A806" t="str">
        <f>'Raw Orders'!A806</f>
        <v>NX-00802</v>
      </c>
      <c r="B806" t="str">
        <f>'Raw Orders'!B806</f>
        <v>APAC</v>
      </c>
      <c r="C806" t="str">
        <f>'Raw Orders'!C806</f>
        <v>Australia/SEA</v>
      </c>
      <c r="D806" s="11">
        <f>'Raw Orders'!E806</f>
        <v>11.5</v>
      </c>
      <c r="E806" s="12">
        <f>'Raw Orders'!F806</f>
        <v>966000</v>
      </c>
      <c r="F806" s="12">
        <f>'Raw Orders'!F806*0.75</f>
        <v>724500</v>
      </c>
      <c r="G806" s="10">
        <f>'Raw Orders'!H806</f>
        <v>46113</v>
      </c>
      <c r="H806" s="10">
        <f>'Raw Orders'!I806</f>
        <v>46113</v>
      </c>
      <c r="I806" s="11">
        <f>'Raw Orders'!K806</f>
        <v>0.14000000000000001</v>
      </c>
      <c r="J806" s="11">
        <f>IF('Raw Orders'!J806,"",(YEAR('Raw Orders'!I806)-YEAR('Raw Orders'!H806))*12+MONTH('Raw Orders'!I806)-MONTH('Raw Orders'!H806))</f>
        <v>0</v>
      </c>
      <c r="K806" t="str">
        <f>IF('Raw Orders'!J806,"Cancelled",IF('Raw Orders'!K806&gt;=2,"Slipped","On plan"))</f>
        <v>On plan</v>
      </c>
      <c r="L806" s="12">
        <f t="shared" si="12"/>
        <v>0</v>
      </c>
    </row>
    <row r="807" spans="1:12" x14ac:dyDescent="0.3">
      <c r="A807" t="str">
        <f>'Raw Orders'!A807</f>
        <v>NX-00803</v>
      </c>
      <c r="B807" t="str">
        <f>'Raw Orders'!B807</f>
        <v>APAC</v>
      </c>
      <c r="C807" t="str">
        <f>'Raw Orders'!C807</f>
        <v>Australia/SEA</v>
      </c>
      <c r="D807" s="11">
        <f>'Raw Orders'!E807</f>
        <v>8.9</v>
      </c>
      <c r="E807" s="12">
        <f>'Raw Orders'!F807</f>
        <v>747600</v>
      </c>
      <c r="F807" s="12">
        <f>'Raw Orders'!F807*0.75</f>
        <v>560700</v>
      </c>
      <c r="G807" s="10">
        <f>'Raw Orders'!H807</f>
        <v>46113</v>
      </c>
      <c r="H807" s="10">
        <f>'Raw Orders'!I807</f>
        <v>46143</v>
      </c>
      <c r="I807" s="11">
        <f>'Raw Orders'!K807</f>
        <v>0.67</v>
      </c>
      <c r="J807" s="11">
        <f>IF('Raw Orders'!J807,"",(YEAR('Raw Orders'!I807)-YEAR('Raw Orders'!H807))*12+MONTH('Raw Orders'!I807)-MONTH('Raw Orders'!H807))</f>
        <v>1</v>
      </c>
      <c r="K807" t="str">
        <f>IF('Raw Orders'!J807,"Cancelled",IF('Raw Orders'!K807&gt;=2,"Slipped","On plan"))</f>
        <v>On plan</v>
      </c>
      <c r="L807" s="12">
        <f t="shared" si="12"/>
        <v>0</v>
      </c>
    </row>
    <row r="808" spans="1:12" x14ac:dyDescent="0.3">
      <c r="A808" t="str">
        <f>'Raw Orders'!A808</f>
        <v>NX-00804</v>
      </c>
      <c r="B808" t="str">
        <f>'Raw Orders'!B808</f>
        <v>LATAM</v>
      </c>
      <c r="C808" t="str">
        <f>'Raw Orders'!C808</f>
        <v>LATAM</v>
      </c>
      <c r="D808" s="11">
        <f>'Raw Orders'!E808</f>
        <v>8.1999999999999993</v>
      </c>
      <c r="E808" s="12">
        <f>'Raw Orders'!F808</f>
        <v>647800</v>
      </c>
      <c r="F808" s="12">
        <f>'Raw Orders'!F808*0.75</f>
        <v>485850</v>
      </c>
      <c r="G808" s="10">
        <f>'Raw Orders'!H808</f>
        <v>46174</v>
      </c>
      <c r="H808" s="10">
        <f>'Raw Orders'!I808</f>
        <v>46204</v>
      </c>
      <c r="I808" s="11">
        <f>'Raw Orders'!K808</f>
        <v>0.77</v>
      </c>
      <c r="J808" s="11">
        <f>IF('Raw Orders'!J808,"",(YEAR('Raw Orders'!I808)-YEAR('Raw Orders'!H808))*12+MONTH('Raw Orders'!I808)-MONTH('Raw Orders'!H808))</f>
        <v>1</v>
      </c>
      <c r="K808" t="str">
        <f>IF('Raw Orders'!J808,"Cancelled",IF('Raw Orders'!K808&gt;=2,"Slipped","On plan"))</f>
        <v>On plan</v>
      </c>
      <c r="L808" s="12">
        <f t="shared" si="12"/>
        <v>0</v>
      </c>
    </row>
    <row r="809" spans="1:12" x14ac:dyDescent="0.3">
      <c r="A809" t="str">
        <f>'Raw Orders'!A809</f>
        <v>NX-00805</v>
      </c>
      <c r="B809" t="str">
        <f>'Raw Orders'!B809</f>
        <v>LATAM</v>
      </c>
      <c r="C809" t="str">
        <f>'Raw Orders'!C809</f>
        <v>LATAM</v>
      </c>
      <c r="D809" s="11">
        <f>'Raw Orders'!E809</f>
        <v>16.5</v>
      </c>
      <c r="E809" s="12">
        <f>'Raw Orders'!F809</f>
        <v>1303500</v>
      </c>
      <c r="F809" s="12">
        <f>'Raw Orders'!F809*0.75</f>
        <v>977625</v>
      </c>
      <c r="G809" s="10">
        <f>'Raw Orders'!H809</f>
        <v>46266</v>
      </c>
      <c r="H809" s="10">
        <f>'Raw Orders'!I809</f>
        <v>46388</v>
      </c>
      <c r="I809" s="11">
        <f>'Raw Orders'!K809</f>
        <v>3.9</v>
      </c>
      <c r="J809" s="11">
        <f>IF('Raw Orders'!J809,"",(YEAR('Raw Orders'!I809)-YEAR('Raw Orders'!H809))*12+MONTH('Raw Orders'!I809)-MONTH('Raw Orders'!H809))</f>
        <v>4</v>
      </c>
      <c r="K809" t="str">
        <f>IF('Raw Orders'!J809,"Cancelled",IF('Raw Orders'!K809&gt;=2,"Slipped","On plan"))</f>
        <v>Slipped</v>
      </c>
      <c r="L809" s="12">
        <f t="shared" si="12"/>
        <v>977625</v>
      </c>
    </row>
    <row r="810" spans="1:12" x14ac:dyDescent="0.3">
      <c r="A810" t="str">
        <f>'Raw Orders'!A810</f>
        <v>NX-00806</v>
      </c>
      <c r="B810" t="str">
        <f>'Raw Orders'!B810</f>
        <v>North America</v>
      </c>
      <c r="C810" t="str">
        <f>'Raw Orders'!C810</f>
        <v>US / Canada</v>
      </c>
      <c r="D810" s="11">
        <f>'Raw Orders'!E810</f>
        <v>3.6</v>
      </c>
      <c r="E810" s="12">
        <f>'Raw Orders'!F810</f>
        <v>298800</v>
      </c>
      <c r="F810" s="12">
        <f>'Raw Orders'!F810*0.75</f>
        <v>224100</v>
      </c>
      <c r="G810" s="10">
        <f>'Raw Orders'!H810</f>
        <v>46143</v>
      </c>
      <c r="H810" s="10">
        <f>'Raw Orders'!I810</f>
        <v>46143</v>
      </c>
      <c r="I810" s="11">
        <f>'Raw Orders'!K810</f>
        <v>0</v>
      </c>
      <c r="J810" s="11">
        <f>IF('Raw Orders'!J810,"",(YEAR('Raw Orders'!I810)-YEAR('Raw Orders'!H810))*12+MONTH('Raw Orders'!I810)-MONTH('Raw Orders'!H810))</f>
        <v>0</v>
      </c>
      <c r="K810" t="str">
        <f>IF('Raw Orders'!J810,"Cancelled",IF('Raw Orders'!K810&gt;=2,"Slipped","On plan"))</f>
        <v>On plan</v>
      </c>
      <c r="L810" s="12">
        <f t="shared" si="12"/>
        <v>0</v>
      </c>
    </row>
    <row r="811" spans="1:12" x14ac:dyDescent="0.3">
      <c r="A811" t="str">
        <f>'Raw Orders'!A811</f>
        <v>NX-00807</v>
      </c>
      <c r="B811" t="str">
        <f>'Raw Orders'!B811</f>
        <v>North America</v>
      </c>
      <c r="C811" t="str">
        <f>'Raw Orders'!C811</f>
        <v>US / Canada</v>
      </c>
      <c r="D811" s="11">
        <f>'Raw Orders'!E811</f>
        <v>21.6</v>
      </c>
      <c r="E811" s="12">
        <f>'Raw Orders'!F811</f>
        <v>1792800</v>
      </c>
      <c r="F811" s="12">
        <f>'Raw Orders'!F811*0.75</f>
        <v>1344600</v>
      </c>
      <c r="G811" s="10">
        <f>'Raw Orders'!H811</f>
        <v>46204</v>
      </c>
      <c r="H811" s="10">
        <f>'Raw Orders'!I811</f>
        <v>46204</v>
      </c>
      <c r="I811" s="11">
        <f>'Raw Orders'!K811</f>
        <v>0</v>
      </c>
      <c r="J811" s="11">
        <f>IF('Raw Orders'!J811,"",(YEAR('Raw Orders'!I811)-YEAR('Raw Orders'!H811))*12+MONTH('Raw Orders'!I811)-MONTH('Raw Orders'!H811))</f>
        <v>0</v>
      </c>
      <c r="K811" t="str">
        <f>IF('Raw Orders'!J811,"Cancelled",IF('Raw Orders'!K811&gt;=2,"Slipped","On plan"))</f>
        <v>On plan</v>
      </c>
      <c r="L811" s="12">
        <f t="shared" si="12"/>
        <v>0</v>
      </c>
    </row>
    <row r="812" spans="1:12" x14ac:dyDescent="0.3">
      <c r="A812" t="str">
        <f>'Raw Orders'!A812</f>
        <v>NX-00808</v>
      </c>
      <c r="B812" t="str">
        <f>'Raw Orders'!B812</f>
        <v>North America</v>
      </c>
      <c r="C812" t="str">
        <f>'Raw Orders'!C812</f>
        <v>US / Canada</v>
      </c>
      <c r="D812" s="11">
        <f>'Raw Orders'!E812</f>
        <v>4.3</v>
      </c>
      <c r="E812" s="12">
        <f>'Raw Orders'!F812</f>
        <v>356900</v>
      </c>
      <c r="F812" s="12">
        <f>'Raw Orders'!F812*0.75</f>
        <v>267675</v>
      </c>
      <c r="G812" s="10">
        <f>'Raw Orders'!H812</f>
        <v>46266</v>
      </c>
      <c r="H812" s="10">
        <f>'Raw Orders'!I812</f>
        <v>46266</v>
      </c>
      <c r="I812" s="11">
        <f>'Raw Orders'!K812</f>
        <v>0</v>
      </c>
      <c r="J812" s="11">
        <f>IF('Raw Orders'!J812,"",(YEAR('Raw Orders'!I812)-YEAR('Raw Orders'!H812))*12+MONTH('Raw Orders'!I812)-MONTH('Raw Orders'!H812))</f>
        <v>0</v>
      </c>
      <c r="K812" t="str">
        <f>IF('Raw Orders'!J812,"Cancelled",IF('Raw Orders'!K812&gt;=2,"Slipped","On plan"))</f>
        <v>On plan</v>
      </c>
      <c r="L812" s="12">
        <f t="shared" si="12"/>
        <v>0</v>
      </c>
    </row>
    <row r="813" spans="1:12" x14ac:dyDescent="0.3">
      <c r="A813" t="str">
        <f>'Raw Orders'!A813</f>
        <v>NX-00809</v>
      </c>
      <c r="B813" t="str">
        <f>'Raw Orders'!B813</f>
        <v>North America</v>
      </c>
      <c r="C813" t="str">
        <f>'Raw Orders'!C813</f>
        <v>US / Canada</v>
      </c>
      <c r="D813" s="11">
        <f>'Raw Orders'!E813</f>
        <v>9.1999999999999993</v>
      </c>
      <c r="E813" s="12">
        <f>'Raw Orders'!F813</f>
        <v>763599.99999999988</v>
      </c>
      <c r="F813" s="12">
        <f>'Raw Orders'!F813*0.75</f>
        <v>572699.99999999988</v>
      </c>
      <c r="G813" s="10">
        <f>'Raw Orders'!H813</f>
        <v>46113</v>
      </c>
      <c r="H813" s="10">
        <f>'Raw Orders'!I813</f>
        <v>46113</v>
      </c>
      <c r="I813" s="11">
        <f>'Raw Orders'!K813</f>
        <v>0.17</v>
      </c>
      <c r="J813" s="11">
        <f>IF('Raw Orders'!J813,"",(YEAR('Raw Orders'!I813)-YEAR('Raw Orders'!H813))*12+MONTH('Raw Orders'!I813)-MONTH('Raw Orders'!H813))</f>
        <v>0</v>
      </c>
      <c r="K813" t="str">
        <f>IF('Raw Orders'!J813,"Cancelled",IF('Raw Orders'!K813&gt;=2,"Slipped","On plan"))</f>
        <v>On plan</v>
      </c>
      <c r="L813" s="12">
        <f t="shared" si="12"/>
        <v>0</v>
      </c>
    </row>
    <row r="814" spans="1:12" x14ac:dyDescent="0.3">
      <c r="A814" t="str">
        <f>'Raw Orders'!A814</f>
        <v>NX-00810</v>
      </c>
      <c r="B814" t="str">
        <f>'Raw Orders'!B814</f>
        <v>North America</v>
      </c>
      <c r="C814" t="str">
        <f>'Raw Orders'!C814</f>
        <v>US / Canada</v>
      </c>
      <c r="D814" s="11">
        <f>'Raw Orders'!E814</f>
        <v>6.5</v>
      </c>
      <c r="E814" s="12">
        <f>'Raw Orders'!F814</f>
        <v>539500</v>
      </c>
      <c r="F814" s="12">
        <f>'Raw Orders'!F814*0.75</f>
        <v>404625</v>
      </c>
      <c r="G814" s="10">
        <f>'Raw Orders'!H814</f>
        <v>46143</v>
      </c>
      <c r="H814" s="10">
        <f>'Raw Orders'!I814</f>
        <v>46143</v>
      </c>
      <c r="I814" s="11">
        <f>'Raw Orders'!K814</f>
        <v>0</v>
      </c>
      <c r="J814" s="11">
        <f>IF('Raw Orders'!J814,"",(YEAR('Raw Orders'!I814)-YEAR('Raw Orders'!H814))*12+MONTH('Raw Orders'!I814)-MONTH('Raw Orders'!H814))</f>
        <v>0</v>
      </c>
      <c r="K814" t="str">
        <f>IF('Raw Orders'!J814,"Cancelled",IF('Raw Orders'!K814&gt;=2,"Slipped","On plan"))</f>
        <v>On plan</v>
      </c>
      <c r="L814" s="12">
        <f t="shared" si="12"/>
        <v>0</v>
      </c>
    </row>
    <row r="815" spans="1:12" x14ac:dyDescent="0.3">
      <c r="A815" t="str">
        <f>'Raw Orders'!A815</f>
        <v>NX-00811</v>
      </c>
      <c r="B815" t="str">
        <f>'Raw Orders'!B815</f>
        <v>North America</v>
      </c>
      <c r="C815" t="str">
        <f>'Raw Orders'!C815</f>
        <v>US / Canada</v>
      </c>
      <c r="D815" s="11">
        <f>'Raw Orders'!E815</f>
        <v>5.3</v>
      </c>
      <c r="E815" s="12">
        <f>'Raw Orders'!F815</f>
        <v>439900</v>
      </c>
      <c r="F815" s="12">
        <f>'Raw Orders'!F815*0.75</f>
        <v>329925</v>
      </c>
      <c r="G815" s="10">
        <f>'Raw Orders'!H815</f>
        <v>46113</v>
      </c>
      <c r="H815" s="10">
        <f>'Raw Orders'!I815</f>
        <v>46113</v>
      </c>
      <c r="I815" s="11">
        <f>'Raw Orders'!K815</f>
        <v>0</v>
      </c>
      <c r="J815" s="11">
        <f>IF('Raw Orders'!J815,"",(YEAR('Raw Orders'!I815)-YEAR('Raw Orders'!H815))*12+MONTH('Raw Orders'!I815)-MONTH('Raw Orders'!H815))</f>
        <v>0</v>
      </c>
      <c r="K815" t="str">
        <f>IF('Raw Orders'!J815,"Cancelled",IF('Raw Orders'!K815&gt;=2,"Slipped","On plan"))</f>
        <v>On plan</v>
      </c>
      <c r="L815" s="12">
        <f t="shared" si="12"/>
        <v>0</v>
      </c>
    </row>
    <row r="816" spans="1:12" x14ac:dyDescent="0.3">
      <c r="A816" t="str">
        <f>'Raw Orders'!A816</f>
        <v>NX-00812</v>
      </c>
      <c r="B816" t="str">
        <f>'Raw Orders'!B816</f>
        <v>North America</v>
      </c>
      <c r="C816" t="str">
        <f>'Raw Orders'!C816</f>
        <v>US / Canada</v>
      </c>
      <c r="D816" s="11">
        <f>'Raw Orders'!E816</f>
        <v>16.7</v>
      </c>
      <c r="E816" s="12">
        <f>'Raw Orders'!F816</f>
        <v>1386100</v>
      </c>
      <c r="F816" s="12">
        <f>'Raw Orders'!F816*0.75</f>
        <v>1039575</v>
      </c>
      <c r="G816" s="10">
        <f>'Raw Orders'!H816</f>
        <v>46235</v>
      </c>
      <c r="H816" s="10">
        <f>'Raw Orders'!I816</f>
        <v>0</v>
      </c>
      <c r="I816" s="11">
        <f>'Raw Orders'!K816</f>
        <v>1.31</v>
      </c>
      <c r="J816" s="11" t="str">
        <f>IF('Raw Orders'!J816,"",(YEAR('Raw Orders'!I816)-YEAR('Raw Orders'!H816))*12+MONTH('Raw Orders'!I816)-MONTH('Raw Orders'!H816))</f>
        <v/>
      </c>
      <c r="K816" t="str">
        <f>IF('Raw Orders'!J816,"Cancelled",IF('Raw Orders'!K816&gt;=2,"Slipped","On plan"))</f>
        <v>Cancelled</v>
      </c>
      <c r="L816" s="12">
        <f t="shared" si="12"/>
        <v>1039575</v>
      </c>
    </row>
    <row r="817" spans="1:12" x14ac:dyDescent="0.3">
      <c r="A817" t="str">
        <f>'Raw Orders'!A817</f>
        <v>NX-00813</v>
      </c>
      <c r="B817" t="str">
        <f>'Raw Orders'!B817</f>
        <v>North America</v>
      </c>
      <c r="C817" t="str">
        <f>'Raw Orders'!C817</f>
        <v>US / Canada</v>
      </c>
      <c r="D817" s="11">
        <f>'Raw Orders'!E817</f>
        <v>10.9</v>
      </c>
      <c r="E817" s="12">
        <f>'Raw Orders'!F817</f>
        <v>904700</v>
      </c>
      <c r="F817" s="12">
        <f>'Raw Orders'!F817*0.75</f>
        <v>678525</v>
      </c>
      <c r="G817" s="10">
        <f>'Raw Orders'!H817</f>
        <v>46143</v>
      </c>
      <c r="H817" s="10">
        <f>'Raw Orders'!I817</f>
        <v>46143</v>
      </c>
      <c r="I817" s="11">
        <f>'Raw Orders'!K817</f>
        <v>0</v>
      </c>
      <c r="J817" s="11">
        <f>IF('Raw Orders'!J817,"",(YEAR('Raw Orders'!I817)-YEAR('Raw Orders'!H817))*12+MONTH('Raw Orders'!I817)-MONTH('Raw Orders'!H817))</f>
        <v>0</v>
      </c>
      <c r="K817" t="str">
        <f>IF('Raw Orders'!J817,"Cancelled",IF('Raw Orders'!K817&gt;=2,"Slipped","On plan"))</f>
        <v>On plan</v>
      </c>
      <c r="L817" s="12">
        <f t="shared" si="12"/>
        <v>0</v>
      </c>
    </row>
    <row r="818" spans="1:12" x14ac:dyDescent="0.3">
      <c r="A818" t="str">
        <f>'Raw Orders'!A818</f>
        <v>NX-00814</v>
      </c>
      <c r="B818" t="str">
        <f>'Raw Orders'!B818</f>
        <v>North America</v>
      </c>
      <c r="C818" t="str">
        <f>'Raw Orders'!C818</f>
        <v>US / Canada</v>
      </c>
      <c r="D818" s="11">
        <f>'Raw Orders'!E818</f>
        <v>6.5</v>
      </c>
      <c r="E818" s="12">
        <f>'Raw Orders'!F818</f>
        <v>539500</v>
      </c>
      <c r="F818" s="12">
        <f>'Raw Orders'!F818*0.75</f>
        <v>404625</v>
      </c>
      <c r="G818" s="10">
        <f>'Raw Orders'!H818</f>
        <v>46235</v>
      </c>
      <c r="H818" s="10">
        <f>'Raw Orders'!I818</f>
        <v>46235</v>
      </c>
      <c r="I818" s="11">
        <f>'Raw Orders'!K818</f>
        <v>0</v>
      </c>
      <c r="J818" s="11">
        <f>IF('Raw Orders'!J818,"",(YEAR('Raw Orders'!I818)-YEAR('Raw Orders'!H818))*12+MONTH('Raw Orders'!I818)-MONTH('Raw Orders'!H818))</f>
        <v>0</v>
      </c>
      <c r="K818" t="str">
        <f>IF('Raw Orders'!J818,"Cancelled",IF('Raw Orders'!K818&gt;=2,"Slipped","On plan"))</f>
        <v>On plan</v>
      </c>
      <c r="L818" s="12">
        <f t="shared" si="12"/>
        <v>0</v>
      </c>
    </row>
    <row r="819" spans="1:12" x14ac:dyDescent="0.3">
      <c r="A819" t="str">
        <f>'Raw Orders'!A819</f>
        <v>NX-00815</v>
      </c>
      <c r="B819" t="str">
        <f>'Raw Orders'!B819</f>
        <v>North America</v>
      </c>
      <c r="C819" t="str">
        <f>'Raw Orders'!C819</f>
        <v>US / Canada</v>
      </c>
      <c r="D819" s="11">
        <f>'Raw Orders'!E819</f>
        <v>11.1</v>
      </c>
      <c r="E819" s="12">
        <f>'Raw Orders'!F819</f>
        <v>921300</v>
      </c>
      <c r="F819" s="12">
        <f>'Raw Orders'!F819*0.75</f>
        <v>690975</v>
      </c>
      <c r="G819" s="10">
        <f>'Raw Orders'!H819</f>
        <v>46266</v>
      </c>
      <c r="H819" s="10">
        <f>'Raw Orders'!I819</f>
        <v>46266</v>
      </c>
      <c r="I819" s="11">
        <f>'Raw Orders'!K819</f>
        <v>0.01</v>
      </c>
      <c r="J819" s="11">
        <f>IF('Raw Orders'!J819,"",(YEAR('Raw Orders'!I819)-YEAR('Raw Orders'!H819))*12+MONTH('Raw Orders'!I819)-MONTH('Raw Orders'!H819))</f>
        <v>0</v>
      </c>
      <c r="K819" t="str">
        <f>IF('Raw Orders'!J819,"Cancelled",IF('Raw Orders'!K819&gt;=2,"Slipped","On plan"))</f>
        <v>On plan</v>
      </c>
      <c r="L819" s="12">
        <f t="shared" si="12"/>
        <v>0</v>
      </c>
    </row>
    <row r="820" spans="1:12" x14ac:dyDescent="0.3">
      <c r="A820" t="str">
        <f>'Raw Orders'!A820</f>
        <v>NX-00816</v>
      </c>
      <c r="B820" t="str">
        <f>'Raw Orders'!B820</f>
        <v>North America</v>
      </c>
      <c r="C820" t="str">
        <f>'Raw Orders'!C820</f>
        <v>US / Canada</v>
      </c>
      <c r="D820" s="11">
        <f>'Raw Orders'!E820</f>
        <v>3.3</v>
      </c>
      <c r="E820" s="12">
        <f>'Raw Orders'!F820</f>
        <v>273900</v>
      </c>
      <c r="F820" s="12">
        <f>'Raw Orders'!F820*0.75</f>
        <v>205425</v>
      </c>
      <c r="G820" s="10">
        <f>'Raw Orders'!H820</f>
        <v>46235</v>
      </c>
      <c r="H820" s="10">
        <f>'Raw Orders'!I820</f>
        <v>46235</v>
      </c>
      <c r="I820" s="11">
        <f>'Raw Orders'!K820</f>
        <v>0.26</v>
      </c>
      <c r="J820" s="11">
        <f>IF('Raw Orders'!J820,"",(YEAR('Raw Orders'!I820)-YEAR('Raw Orders'!H820))*12+MONTH('Raw Orders'!I820)-MONTH('Raw Orders'!H820))</f>
        <v>0</v>
      </c>
      <c r="K820" t="str">
        <f>IF('Raw Orders'!J820,"Cancelled",IF('Raw Orders'!K820&gt;=2,"Slipped","On plan"))</f>
        <v>On plan</v>
      </c>
      <c r="L820" s="12">
        <f t="shared" si="12"/>
        <v>0</v>
      </c>
    </row>
    <row r="821" spans="1:12" x14ac:dyDescent="0.3">
      <c r="A821" t="str">
        <f>'Raw Orders'!A821</f>
        <v>NX-00817</v>
      </c>
      <c r="B821" t="str">
        <f>'Raw Orders'!B821</f>
        <v>North America</v>
      </c>
      <c r="C821" t="str">
        <f>'Raw Orders'!C821</f>
        <v>US / Canada</v>
      </c>
      <c r="D821" s="11">
        <f>'Raw Orders'!E821</f>
        <v>9.9</v>
      </c>
      <c r="E821" s="12">
        <f>'Raw Orders'!F821</f>
        <v>821700</v>
      </c>
      <c r="F821" s="12">
        <f>'Raw Orders'!F821*0.75</f>
        <v>616275</v>
      </c>
      <c r="G821" s="10">
        <f>'Raw Orders'!H821</f>
        <v>46235</v>
      </c>
      <c r="H821" s="10">
        <f>'Raw Orders'!I821</f>
        <v>46266</v>
      </c>
      <c r="I821" s="11">
        <f>'Raw Orders'!K821</f>
        <v>1.1299999999999999</v>
      </c>
      <c r="J821" s="11">
        <f>IF('Raw Orders'!J821,"",(YEAR('Raw Orders'!I821)-YEAR('Raw Orders'!H821))*12+MONTH('Raw Orders'!I821)-MONTH('Raw Orders'!H821))</f>
        <v>1</v>
      </c>
      <c r="K821" t="str">
        <f>IF('Raw Orders'!J821,"Cancelled",IF('Raw Orders'!K821&gt;=2,"Slipped","On plan"))</f>
        <v>On plan</v>
      </c>
      <c r="L821" s="12">
        <f t="shared" si="12"/>
        <v>0</v>
      </c>
    </row>
    <row r="822" spans="1:12" x14ac:dyDescent="0.3">
      <c r="A822" t="str">
        <f>'Raw Orders'!A822</f>
        <v>NX-00818</v>
      </c>
      <c r="B822" t="str">
        <f>'Raw Orders'!B822</f>
        <v>North America</v>
      </c>
      <c r="C822" t="str">
        <f>'Raw Orders'!C822</f>
        <v>US / Canada</v>
      </c>
      <c r="D822" s="11">
        <f>'Raw Orders'!E822</f>
        <v>25</v>
      </c>
      <c r="E822" s="12">
        <f>'Raw Orders'!F822</f>
        <v>2075000</v>
      </c>
      <c r="F822" s="12">
        <f>'Raw Orders'!F822*0.75</f>
        <v>1556250</v>
      </c>
      <c r="G822" s="10">
        <f>'Raw Orders'!H822</f>
        <v>46204</v>
      </c>
      <c r="H822" s="10">
        <f>'Raw Orders'!I822</f>
        <v>46419</v>
      </c>
      <c r="I822" s="11">
        <f>'Raw Orders'!K822</f>
        <v>7.44</v>
      </c>
      <c r="J822" s="11">
        <f>IF('Raw Orders'!J822,"",(YEAR('Raw Orders'!I822)-YEAR('Raw Orders'!H822))*12+MONTH('Raw Orders'!I822)-MONTH('Raw Orders'!H822))</f>
        <v>7</v>
      </c>
      <c r="K822" t="str">
        <f>IF('Raw Orders'!J822,"Cancelled",IF('Raw Orders'!K822&gt;=2,"Slipped","On plan"))</f>
        <v>Slipped</v>
      </c>
      <c r="L822" s="12">
        <f t="shared" si="12"/>
        <v>1556250</v>
      </c>
    </row>
    <row r="823" spans="1:12" x14ac:dyDescent="0.3">
      <c r="A823" t="str">
        <f>'Raw Orders'!A823</f>
        <v>NX-00819</v>
      </c>
      <c r="B823" t="str">
        <f>'Raw Orders'!B823</f>
        <v>North America</v>
      </c>
      <c r="C823" t="str">
        <f>'Raw Orders'!C823</f>
        <v>US / Canada</v>
      </c>
      <c r="D823" s="11">
        <f>'Raw Orders'!E823</f>
        <v>20.100000000000001</v>
      </c>
      <c r="E823" s="12">
        <f>'Raw Orders'!F823</f>
        <v>1668300</v>
      </c>
      <c r="F823" s="12">
        <f>'Raw Orders'!F823*0.75</f>
        <v>1251225</v>
      </c>
      <c r="G823" s="10">
        <f>'Raw Orders'!H823</f>
        <v>46235</v>
      </c>
      <c r="H823" s="10">
        <f>'Raw Orders'!I823</f>
        <v>46235</v>
      </c>
      <c r="I823" s="11">
        <f>'Raw Orders'!K823</f>
        <v>0</v>
      </c>
      <c r="J823" s="11">
        <f>IF('Raw Orders'!J823,"",(YEAR('Raw Orders'!I823)-YEAR('Raw Orders'!H823))*12+MONTH('Raw Orders'!I823)-MONTH('Raw Orders'!H823))</f>
        <v>0</v>
      </c>
      <c r="K823" t="str">
        <f>IF('Raw Orders'!J823,"Cancelled",IF('Raw Orders'!K823&gt;=2,"Slipped","On plan"))</f>
        <v>On plan</v>
      </c>
      <c r="L823" s="12">
        <f t="shared" si="12"/>
        <v>0</v>
      </c>
    </row>
    <row r="824" spans="1:12" x14ac:dyDescent="0.3">
      <c r="A824" t="str">
        <f>'Raw Orders'!A824</f>
        <v>NX-00820</v>
      </c>
      <c r="B824" t="str">
        <f>'Raw Orders'!B824</f>
        <v>North America</v>
      </c>
      <c r="C824" t="str">
        <f>'Raw Orders'!C824</f>
        <v>US / Canada</v>
      </c>
      <c r="D824" s="11">
        <f>'Raw Orders'!E824</f>
        <v>15.8</v>
      </c>
      <c r="E824" s="12">
        <f>'Raw Orders'!F824</f>
        <v>1311400</v>
      </c>
      <c r="F824" s="12">
        <f>'Raw Orders'!F824*0.75</f>
        <v>983550</v>
      </c>
      <c r="G824" s="10">
        <f>'Raw Orders'!H824</f>
        <v>46296</v>
      </c>
      <c r="H824" s="10">
        <f>'Raw Orders'!I824</f>
        <v>46327</v>
      </c>
      <c r="I824" s="11">
        <f>'Raw Orders'!K824</f>
        <v>1.29</v>
      </c>
      <c r="J824" s="11">
        <f>IF('Raw Orders'!J824,"",(YEAR('Raw Orders'!I824)-YEAR('Raw Orders'!H824))*12+MONTH('Raw Orders'!I824)-MONTH('Raw Orders'!H824))</f>
        <v>1</v>
      </c>
      <c r="K824" t="str">
        <f>IF('Raw Orders'!J824,"Cancelled",IF('Raw Orders'!K824&gt;=2,"Slipped","On plan"))</f>
        <v>On plan</v>
      </c>
      <c r="L824" s="12">
        <f t="shared" si="12"/>
        <v>0</v>
      </c>
    </row>
    <row r="825" spans="1:12" x14ac:dyDescent="0.3">
      <c r="A825" t="str">
        <f>'Raw Orders'!A825</f>
        <v>NX-00821</v>
      </c>
      <c r="B825" t="str">
        <f>'Raw Orders'!B825</f>
        <v>North America</v>
      </c>
      <c r="C825" t="str">
        <f>'Raw Orders'!C825</f>
        <v>US / Canada</v>
      </c>
      <c r="D825" s="11">
        <f>'Raw Orders'!E825</f>
        <v>7.6</v>
      </c>
      <c r="E825" s="12">
        <f>'Raw Orders'!F825</f>
        <v>630800</v>
      </c>
      <c r="F825" s="12">
        <f>'Raw Orders'!F825*0.75</f>
        <v>473100</v>
      </c>
      <c r="G825" s="10">
        <f>'Raw Orders'!H825</f>
        <v>46266</v>
      </c>
      <c r="H825" s="10">
        <f>'Raw Orders'!I825</f>
        <v>46266</v>
      </c>
      <c r="I825" s="11">
        <f>'Raw Orders'!K825</f>
        <v>0.36</v>
      </c>
      <c r="J825" s="11">
        <f>IF('Raw Orders'!J825,"",(YEAR('Raw Orders'!I825)-YEAR('Raw Orders'!H825))*12+MONTH('Raw Orders'!I825)-MONTH('Raw Orders'!H825))</f>
        <v>0</v>
      </c>
      <c r="K825" t="str">
        <f>IF('Raw Orders'!J825,"Cancelled",IF('Raw Orders'!K825&gt;=2,"Slipped","On plan"))</f>
        <v>On plan</v>
      </c>
      <c r="L825" s="12">
        <f t="shared" si="12"/>
        <v>0</v>
      </c>
    </row>
    <row r="826" spans="1:12" x14ac:dyDescent="0.3">
      <c r="A826" t="str">
        <f>'Raw Orders'!A826</f>
        <v>NX-00822</v>
      </c>
      <c r="B826" t="str">
        <f>'Raw Orders'!B826</f>
        <v>North America</v>
      </c>
      <c r="C826" t="str">
        <f>'Raw Orders'!C826</f>
        <v>US / Canada</v>
      </c>
      <c r="D826" s="11">
        <f>'Raw Orders'!E826</f>
        <v>8.3000000000000007</v>
      </c>
      <c r="E826" s="12">
        <f>'Raw Orders'!F826</f>
        <v>688900.00000000012</v>
      </c>
      <c r="F826" s="12">
        <f>'Raw Orders'!F826*0.75</f>
        <v>516675.00000000012</v>
      </c>
      <c r="G826" s="10">
        <f>'Raw Orders'!H826</f>
        <v>46235</v>
      </c>
      <c r="H826" s="10">
        <f>'Raw Orders'!I826</f>
        <v>46266</v>
      </c>
      <c r="I826" s="11">
        <f>'Raw Orders'!K826</f>
        <v>0.92</v>
      </c>
      <c r="J826" s="11">
        <f>IF('Raw Orders'!J826,"",(YEAR('Raw Orders'!I826)-YEAR('Raw Orders'!H826))*12+MONTH('Raw Orders'!I826)-MONTH('Raw Orders'!H826))</f>
        <v>1</v>
      </c>
      <c r="K826" t="str">
        <f>IF('Raw Orders'!J826,"Cancelled",IF('Raw Orders'!K826&gt;=2,"Slipped","On plan"))</f>
        <v>On plan</v>
      </c>
      <c r="L826" s="12">
        <f t="shared" si="12"/>
        <v>0</v>
      </c>
    </row>
    <row r="827" spans="1:12" x14ac:dyDescent="0.3">
      <c r="A827" t="str">
        <f>'Raw Orders'!A827</f>
        <v>NX-00823</v>
      </c>
      <c r="B827" t="str">
        <f>'Raw Orders'!B827</f>
        <v>North America</v>
      </c>
      <c r="C827" t="str">
        <f>'Raw Orders'!C827</f>
        <v>US / Canada</v>
      </c>
      <c r="D827" s="11">
        <f>'Raw Orders'!E827</f>
        <v>27.7</v>
      </c>
      <c r="E827" s="12">
        <f>'Raw Orders'!F827</f>
        <v>2299100</v>
      </c>
      <c r="F827" s="12">
        <f>'Raw Orders'!F827*0.75</f>
        <v>1724325</v>
      </c>
      <c r="G827" s="10">
        <f>'Raw Orders'!H827</f>
        <v>46296</v>
      </c>
      <c r="H827" s="10">
        <f>'Raw Orders'!I827</f>
        <v>46296</v>
      </c>
      <c r="I827" s="11">
        <f>'Raw Orders'!K827</f>
        <v>0.01</v>
      </c>
      <c r="J827" s="11">
        <f>IF('Raw Orders'!J827,"",(YEAR('Raw Orders'!I827)-YEAR('Raw Orders'!H827))*12+MONTH('Raw Orders'!I827)-MONTH('Raw Orders'!H827))</f>
        <v>0</v>
      </c>
      <c r="K827" t="str">
        <f>IF('Raw Orders'!J827,"Cancelled",IF('Raw Orders'!K827&gt;=2,"Slipped","On plan"))</f>
        <v>On plan</v>
      </c>
      <c r="L827" s="12">
        <f t="shared" si="12"/>
        <v>0</v>
      </c>
    </row>
    <row r="828" spans="1:12" x14ac:dyDescent="0.3">
      <c r="A828" t="str">
        <f>'Raw Orders'!A828</f>
        <v>NX-00824</v>
      </c>
      <c r="B828" t="str">
        <f>'Raw Orders'!B828</f>
        <v>North America</v>
      </c>
      <c r="C828" t="str">
        <f>'Raw Orders'!C828</f>
        <v>US / Canada</v>
      </c>
      <c r="D828" s="11">
        <f>'Raw Orders'!E828</f>
        <v>3.2</v>
      </c>
      <c r="E828" s="12">
        <f>'Raw Orders'!F828</f>
        <v>265600</v>
      </c>
      <c r="F828" s="12">
        <f>'Raw Orders'!F828*0.75</f>
        <v>199200</v>
      </c>
      <c r="G828" s="10">
        <f>'Raw Orders'!H828</f>
        <v>46143</v>
      </c>
      <c r="H828" s="10">
        <f>'Raw Orders'!I828</f>
        <v>46204</v>
      </c>
      <c r="I828" s="11">
        <f>'Raw Orders'!K828</f>
        <v>1.79</v>
      </c>
      <c r="J828" s="11">
        <f>IF('Raw Orders'!J828,"",(YEAR('Raw Orders'!I828)-YEAR('Raw Orders'!H828))*12+MONTH('Raw Orders'!I828)-MONTH('Raw Orders'!H828))</f>
        <v>2</v>
      </c>
      <c r="K828" t="str">
        <f>IF('Raw Orders'!J828,"Cancelled",IF('Raw Orders'!K828&gt;=2,"Slipped","On plan"))</f>
        <v>On plan</v>
      </c>
      <c r="L828" s="12">
        <f t="shared" si="12"/>
        <v>0</v>
      </c>
    </row>
    <row r="829" spans="1:12" x14ac:dyDescent="0.3">
      <c r="A829" t="str">
        <f>'Raw Orders'!A829</f>
        <v>NX-00825</v>
      </c>
      <c r="B829" t="str">
        <f>'Raw Orders'!B829</f>
        <v>North America</v>
      </c>
      <c r="C829" t="str">
        <f>'Raw Orders'!C829</f>
        <v>US / Canada</v>
      </c>
      <c r="D829" s="11">
        <f>'Raw Orders'!E829</f>
        <v>52.1</v>
      </c>
      <c r="E829" s="12">
        <f>'Raw Orders'!F829</f>
        <v>4324300</v>
      </c>
      <c r="F829" s="12">
        <f>'Raw Orders'!F829*0.75</f>
        <v>3243225</v>
      </c>
      <c r="G829" s="10">
        <f>'Raw Orders'!H829</f>
        <v>46174</v>
      </c>
      <c r="H829" s="10">
        <f>'Raw Orders'!I829</f>
        <v>46174</v>
      </c>
      <c r="I829" s="11">
        <f>'Raw Orders'!K829</f>
        <v>0</v>
      </c>
      <c r="J829" s="11">
        <f>IF('Raw Orders'!J829,"",(YEAR('Raw Orders'!I829)-YEAR('Raw Orders'!H829))*12+MONTH('Raw Orders'!I829)-MONTH('Raw Orders'!H829))</f>
        <v>0</v>
      </c>
      <c r="K829" t="str">
        <f>IF('Raw Orders'!J829,"Cancelled",IF('Raw Orders'!K829&gt;=2,"Slipped","On plan"))</f>
        <v>On plan</v>
      </c>
      <c r="L829" s="12">
        <f t="shared" si="12"/>
        <v>0</v>
      </c>
    </row>
    <row r="830" spans="1:12" x14ac:dyDescent="0.3">
      <c r="A830" t="str">
        <f>'Raw Orders'!A830</f>
        <v>NX-00826</v>
      </c>
      <c r="B830" t="str">
        <f>'Raw Orders'!B830</f>
        <v>North America</v>
      </c>
      <c r="C830" t="str">
        <f>'Raw Orders'!C830</f>
        <v>US / Canada</v>
      </c>
      <c r="D830" s="11">
        <f>'Raw Orders'!E830</f>
        <v>6.6</v>
      </c>
      <c r="E830" s="12">
        <f>'Raw Orders'!F830</f>
        <v>547800</v>
      </c>
      <c r="F830" s="12">
        <f>'Raw Orders'!F830*0.75</f>
        <v>410850</v>
      </c>
      <c r="G830" s="10">
        <f>'Raw Orders'!H830</f>
        <v>46266</v>
      </c>
      <c r="H830" s="10">
        <f>'Raw Orders'!I830</f>
        <v>46266</v>
      </c>
      <c r="I830" s="11">
        <f>'Raw Orders'!K830</f>
        <v>0.05</v>
      </c>
      <c r="J830" s="11">
        <f>IF('Raw Orders'!J830,"",(YEAR('Raw Orders'!I830)-YEAR('Raw Orders'!H830))*12+MONTH('Raw Orders'!I830)-MONTH('Raw Orders'!H830))</f>
        <v>0</v>
      </c>
      <c r="K830" t="str">
        <f>IF('Raw Orders'!J830,"Cancelled",IF('Raw Orders'!K830&gt;=2,"Slipped","On plan"))</f>
        <v>On plan</v>
      </c>
      <c r="L830" s="12">
        <f t="shared" si="12"/>
        <v>0</v>
      </c>
    </row>
    <row r="831" spans="1:12" x14ac:dyDescent="0.3">
      <c r="A831" t="str">
        <f>'Raw Orders'!A831</f>
        <v>NX-00827</v>
      </c>
      <c r="B831" t="str">
        <f>'Raw Orders'!B831</f>
        <v>North America</v>
      </c>
      <c r="C831" t="str">
        <f>'Raw Orders'!C831</f>
        <v>US / Canada</v>
      </c>
      <c r="D831" s="11">
        <f>'Raw Orders'!E831</f>
        <v>14.9</v>
      </c>
      <c r="E831" s="12">
        <f>'Raw Orders'!F831</f>
        <v>1236700</v>
      </c>
      <c r="F831" s="12">
        <f>'Raw Orders'!F831*0.75</f>
        <v>927525</v>
      </c>
      <c r="G831" s="10">
        <f>'Raw Orders'!H831</f>
        <v>46266</v>
      </c>
      <c r="H831" s="10">
        <f>'Raw Orders'!I831</f>
        <v>46266</v>
      </c>
      <c r="I831" s="11">
        <f>'Raw Orders'!K831</f>
        <v>0.11</v>
      </c>
      <c r="J831" s="11">
        <f>IF('Raw Orders'!J831,"",(YEAR('Raw Orders'!I831)-YEAR('Raw Orders'!H831))*12+MONTH('Raw Orders'!I831)-MONTH('Raw Orders'!H831))</f>
        <v>0</v>
      </c>
      <c r="K831" t="str">
        <f>IF('Raw Orders'!J831,"Cancelled",IF('Raw Orders'!K831&gt;=2,"Slipped","On plan"))</f>
        <v>On plan</v>
      </c>
      <c r="L831" s="12">
        <f t="shared" si="12"/>
        <v>0</v>
      </c>
    </row>
    <row r="832" spans="1:12" x14ac:dyDescent="0.3">
      <c r="A832" t="str">
        <f>'Raw Orders'!A832</f>
        <v>NX-00828</v>
      </c>
      <c r="B832" t="str">
        <f>'Raw Orders'!B832</f>
        <v>North America</v>
      </c>
      <c r="C832" t="str">
        <f>'Raw Orders'!C832</f>
        <v>US / Canada</v>
      </c>
      <c r="D832" s="11">
        <f>'Raw Orders'!E832</f>
        <v>33.200000000000003</v>
      </c>
      <c r="E832" s="12">
        <f>'Raw Orders'!F832</f>
        <v>2755600</v>
      </c>
      <c r="F832" s="12">
        <f>'Raw Orders'!F832*0.75</f>
        <v>2066700</v>
      </c>
      <c r="G832" s="10">
        <f>'Raw Orders'!H832</f>
        <v>46296</v>
      </c>
      <c r="H832" s="10">
        <f>'Raw Orders'!I832</f>
        <v>46296</v>
      </c>
      <c r="I832" s="11">
        <f>'Raw Orders'!K832</f>
        <v>0</v>
      </c>
      <c r="J832" s="11">
        <f>IF('Raw Orders'!J832,"",(YEAR('Raw Orders'!I832)-YEAR('Raw Orders'!H832))*12+MONTH('Raw Orders'!I832)-MONTH('Raw Orders'!H832))</f>
        <v>0</v>
      </c>
      <c r="K832" t="str">
        <f>IF('Raw Orders'!J832,"Cancelled",IF('Raw Orders'!K832&gt;=2,"Slipped","On plan"))</f>
        <v>On plan</v>
      </c>
      <c r="L832" s="12">
        <f t="shared" si="12"/>
        <v>0</v>
      </c>
    </row>
    <row r="833" spans="1:12" x14ac:dyDescent="0.3">
      <c r="A833" t="str">
        <f>'Raw Orders'!A833</f>
        <v>NX-00829</v>
      </c>
      <c r="B833" t="str">
        <f>'Raw Orders'!B833</f>
        <v>North America</v>
      </c>
      <c r="C833" t="str">
        <f>'Raw Orders'!C833</f>
        <v>US / Canada</v>
      </c>
      <c r="D833" s="11">
        <f>'Raw Orders'!E833</f>
        <v>15.8</v>
      </c>
      <c r="E833" s="12">
        <f>'Raw Orders'!F833</f>
        <v>1311400</v>
      </c>
      <c r="F833" s="12">
        <f>'Raw Orders'!F833*0.75</f>
        <v>983550</v>
      </c>
      <c r="G833" s="10">
        <f>'Raw Orders'!H833</f>
        <v>46204</v>
      </c>
      <c r="H833" s="10">
        <f>'Raw Orders'!I833</f>
        <v>46204</v>
      </c>
      <c r="I833" s="11">
        <f>'Raw Orders'!K833</f>
        <v>0.16</v>
      </c>
      <c r="J833" s="11">
        <f>IF('Raw Orders'!J833,"",(YEAR('Raw Orders'!I833)-YEAR('Raw Orders'!H833))*12+MONTH('Raw Orders'!I833)-MONTH('Raw Orders'!H833))</f>
        <v>0</v>
      </c>
      <c r="K833" t="str">
        <f>IF('Raw Orders'!J833,"Cancelled",IF('Raw Orders'!K833&gt;=2,"Slipped","On plan"))</f>
        <v>On plan</v>
      </c>
      <c r="L833" s="12">
        <f t="shared" si="12"/>
        <v>0</v>
      </c>
    </row>
    <row r="834" spans="1:12" x14ac:dyDescent="0.3">
      <c r="A834" t="str">
        <f>'Raw Orders'!A834</f>
        <v>NX-00830</v>
      </c>
      <c r="B834" t="str">
        <f>'Raw Orders'!B834</f>
        <v>North America</v>
      </c>
      <c r="C834" t="str">
        <f>'Raw Orders'!C834</f>
        <v>US / Canada</v>
      </c>
      <c r="D834" s="11">
        <f>'Raw Orders'!E834</f>
        <v>31.7</v>
      </c>
      <c r="E834" s="12">
        <f>'Raw Orders'!F834</f>
        <v>2631100</v>
      </c>
      <c r="F834" s="12">
        <f>'Raw Orders'!F834*0.75</f>
        <v>1973325</v>
      </c>
      <c r="G834" s="10">
        <f>'Raw Orders'!H834</f>
        <v>46235</v>
      </c>
      <c r="H834" s="10">
        <f>'Raw Orders'!I834</f>
        <v>46235</v>
      </c>
      <c r="I834" s="11">
        <f>'Raw Orders'!K834</f>
        <v>0.24</v>
      </c>
      <c r="J834" s="11">
        <f>IF('Raw Orders'!J834,"",(YEAR('Raw Orders'!I834)-YEAR('Raw Orders'!H834))*12+MONTH('Raw Orders'!I834)-MONTH('Raw Orders'!H834))</f>
        <v>0</v>
      </c>
      <c r="K834" t="str">
        <f>IF('Raw Orders'!J834,"Cancelled",IF('Raw Orders'!K834&gt;=2,"Slipped","On plan"))</f>
        <v>On plan</v>
      </c>
      <c r="L834" s="12">
        <f t="shared" si="12"/>
        <v>0</v>
      </c>
    </row>
    <row r="835" spans="1:12" x14ac:dyDescent="0.3">
      <c r="A835" t="str">
        <f>'Raw Orders'!A835</f>
        <v>NX-00831</v>
      </c>
      <c r="B835" t="str">
        <f>'Raw Orders'!B835</f>
        <v>North America</v>
      </c>
      <c r="C835" t="str">
        <f>'Raw Orders'!C835</f>
        <v>US / Canada</v>
      </c>
      <c r="D835" s="11">
        <f>'Raw Orders'!E835</f>
        <v>16.899999999999999</v>
      </c>
      <c r="E835" s="12">
        <f>'Raw Orders'!F835</f>
        <v>1402700</v>
      </c>
      <c r="F835" s="12">
        <f>'Raw Orders'!F835*0.75</f>
        <v>1052025</v>
      </c>
      <c r="G835" s="10">
        <f>'Raw Orders'!H835</f>
        <v>46296</v>
      </c>
      <c r="H835" s="10">
        <f>'Raw Orders'!I835</f>
        <v>46296</v>
      </c>
      <c r="I835" s="11">
        <f>'Raw Orders'!K835</f>
        <v>0.18</v>
      </c>
      <c r="J835" s="11">
        <f>IF('Raw Orders'!J835,"",(YEAR('Raw Orders'!I835)-YEAR('Raw Orders'!H835))*12+MONTH('Raw Orders'!I835)-MONTH('Raw Orders'!H835))</f>
        <v>0</v>
      </c>
      <c r="K835" t="str">
        <f>IF('Raw Orders'!J835,"Cancelled",IF('Raw Orders'!K835&gt;=2,"Slipped","On plan"))</f>
        <v>On plan</v>
      </c>
      <c r="L835" s="12">
        <f t="shared" si="12"/>
        <v>0</v>
      </c>
    </row>
    <row r="836" spans="1:12" x14ac:dyDescent="0.3">
      <c r="A836" t="str">
        <f>'Raw Orders'!A836</f>
        <v>NX-00832</v>
      </c>
      <c r="B836" t="str">
        <f>'Raw Orders'!B836</f>
        <v>North America</v>
      </c>
      <c r="C836" t="str">
        <f>'Raw Orders'!C836</f>
        <v>US / Canada</v>
      </c>
      <c r="D836" s="11">
        <f>'Raw Orders'!E836</f>
        <v>45</v>
      </c>
      <c r="E836" s="12">
        <f>'Raw Orders'!F836</f>
        <v>3735000</v>
      </c>
      <c r="F836" s="12">
        <f>'Raw Orders'!F836*0.75</f>
        <v>2801250</v>
      </c>
      <c r="G836" s="10">
        <f>'Raw Orders'!H836</f>
        <v>46296</v>
      </c>
      <c r="H836" s="10">
        <f>'Raw Orders'!I836</f>
        <v>46296</v>
      </c>
      <c r="I836" s="11">
        <f>'Raw Orders'!K836</f>
        <v>0</v>
      </c>
      <c r="J836" s="11">
        <f>IF('Raw Orders'!J836,"",(YEAR('Raw Orders'!I836)-YEAR('Raw Orders'!H836))*12+MONTH('Raw Orders'!I836)-MONTH('Raw Orders'!H836))</f>
        <v>0</v>
      </c>
      <c r="K836" t="str">
        <f>IF('Raw Orders'!J836,"Cancelled",IF('Raw Orders'!K836&gt;=2,"Slipped","On plan"))</f>
        <v>On plan</v>
      </c>
      <c r="L836" s="12">
        <f t="shared" si="12"/>
        <v>0</v>
      </c>
    </row>
    <row r="837" spans="1:12" x14ac:dyDescent="0.3">
      <c r="A837" t="str">
        <f>'Raw Orders'!A837</f>
        <v>NX-00833</v>
      </c>
      <c r="B837" t="str">
        <f>'Raw Orders'!B837</f>
        <v>North America</v>
      </c>
      <c r="C837" t="str">
        <f>'Raw Orders'!C837</f>
        <v>US / Canada</v>
      </c>
      <c r="D837" s="11">
        <f>'Raw Orders'!E837</f>
        <v>14.1</v>
      </c>
      <c r="E837" s="12">
        <f>'Raw Orders'!F837</f>
        <v>1170300</v>
      </c>
      <c r="F837" s="12">
        <f>'Raw Orders'!F837*0.75</f>
        <v>877725</v>
      </c>
      <c r="G837" s="10">
        <f>'Raw Orders'!H837</f>
        <v>46296</v>
      </c>
      <c r="H837" s="10">
        <f>'Raw Orders'!I837</f>
        <v>46296</v>
      </c>
      <c r="I837" s="11">
        <f>'Raw Orders'!K837</f>
        <v>0.38</v>
      </c>
      <c r="J837" s="11">
        <f>IF('Raw Orders'!J837,"",(YEAR('Raw Orders'!I837)-YEAR('Raw Orders'!H837))*12+MONTH('Raw Orders'!I837)-MONTH('Raw Orders'!H837))</f>
        <v>0</v>
      </c>
      <c r="K837" t="str">
        <f>IF('Raw Orders'!J837,"Cancelled",IF('Raw Orders'!K837&gt;=2,"Slipped","On plan"))</f>
        <v>On plan</v>
      </c>
      <c r="L837" s="12">
        <f t="shared" ref="L837:L900" si="13">IF(K837="On plan",0,F837)</f>
        <v>0</v>
      </c>
    </row>
    <row r="838" spans="1:12" x14ac:dyDescent="0.3">
      <c r="A838" t="str">
        <f>'Raw Orders'!A838</f>
        <v>NX-00834</v>
      </c>
      <c r="B838" t="str">
        <f>'Raw Orders'!B838</f>
        <v>North America</v>
      </c>
      <c r="C838" t="str">
        <f>'Raw Orders'!C838</f>
        <v>US / Canada</v>
      </c>
      <c r="D838" s="11">
        <f>'Raw Orders'!E838</f>
        <v>19.399999999999999</v>
      </c>
      <c r="E838" s="12">
        <f>'Raw Orders'!F838</f>
        <v>1610200</v>
      </c>
      <c r="F838" s="12">
        <f>'Raw Orders'!F838*0.75</f>
        <v>1207650</v>
      </c>
      <c r="G838" s="10">
        <f>'Raw Orders'!H838</f>
        <v>46204</v>
      </c>
      <c r="H838" s="10">
        <f>'Raw Orders'!I838</f>
        <v>46204</v>
      </c>
      <c r="I838" s="11">
        <f>'Raw Orders'!K838</f>
        <v>0.28999999999999998</v>
      </c>
      <c r="J838" s="11">
        <f>IF('Raw Orders'!J838,"",(YEAR('Raw Orders'!I838)-YEAR('Raw Orders'!H838))*12+MONTH('Raw Orders'!I838)-MONTH('Raw Orders'!H838))</f>
        <v>0</v>
      </c>
      <c r="K838" t="str">
        <f>IF('Raw Orders'!J838,"Cancelled",IF('Raw Orders'!K838&gt;=2,"Slipped","On plan"))</f>
        <v>On plan</v>
      </c>
      <c r="L838" s="12">
        <f t="shared" si="13"/>
        <v>0</v>
      </c>
    </row>
    <row r="839" spans="1:12" x14ac:dyDescent="0.3">
      <c r="A839" t="str">
        <f>'Raw Orders'!A839</f>
        <v>NX-00835</v>
      </c>
      <c r="B839" t="str">
        <f>'Raw Orders'!B839</f>
        <v>North America</v>
      </c>
      <c r="C839" t="str">
        <f>'Raw Orders'!C839</f>
        <v>US / Canada</v>
      </c>
      <c r="D839" s="11">
        <f>'Raw Orders'!E839</f>
        <v>5.3</v>
      </c>
      <c r="E839" s="12">
        <f>'Raw Orders'!F839</f>
        <v>439900</v>
      </c>
      <c r="F839" s="12">
        <f>'Raw Orders'!F839*0.75</f>
        <v>329925</v>
      </c>
      <c r="G839" s="10">
        <f>'Raw Orders'!H839</f>
        <v>46235</v>
      </c>
      <c r="H839" s="10">
        <f>'Raw Orders'!I839</f>
        <v>46235</v>
      </c>
      <c r="I839" s="11">
        <f>'Raw Orders'!K839</f>
        <v>0</v>
      </c>
      <c r="J839" s="11">
        <f>IF('Raw Orders'!J839,"",(YEAR('Raw Orders'!I839)-YEAR('Raw Orders'!H839))*12+MONTH('Raw Orders'!I839)-MONTH('Raw Orders'!H839))</f>
        <v>0</v>
      </c>
      <c r="K839" t="str">
        <f>IF('Raw Orders'!J839,"Cancelled",IF('Raw Orders'!K839&gt;=2,"Slipped","On plan"))</f>
        <v>On plan</v>
      </c>
      <c r="L839" s="12">
        <f t="shared" si="13"/>
        <v>0</v>
      </c>
    </row>
    <row r="840" spans="1:12" x14ac:dyDescent="0.3">
      <c r="A840" t="str">
        <f>'Raw Orders'!A840</f>
        <v>NX-00836</v>
      </c>
      <c r="B840" t="str">
        <f>'Raw Orders'!B840</f>
        <v>EMEA</v>
      </c>
      <c r="C840" t="str">
        <f>'Raw Orders'!C840</f>
        <v>Europe</v>
      </c>
      <c r="D840" s="11">
        <f>'Raw Orders'!E840</f>
        <v>8.4</v>
      </c>
      <c r="E840" s="12">
        <f>'Raw Orders'!F840</f>
        <v>739200</v>
      </c>
      <c r="F840" s="12">
        <f>'Raw Orders'!F840*0.75</f>
        <v>554400</v>
      </c>
      <c r="G840" s="10">
        <f>'Raw Orders'!H840</f>
        <v>46113</v>
      </c>
      <c r="H840" s="10">
        <f>'Raw Orders'!I840</f>
        <v>46143</v>
      </c>
      <c r="I840" s="11">
        <f>'Raw Orders'!K840</f>
        <v>1.33</v>
      </c>
      <c r="J840" s="11">
        <f>IF('Raw Orders'!J840,"",(YEAR('Raw Orders'!I840)-YEAR('Raw Orders'!H840))*12+MONTH('Raw Orders'!I840)-MONTH('Raw Orders'!H840))</f>
        <v>1</v>
      </c>
      <c r="K840" t="str">
        <f>IF('Raw Orders'!J840,"Cancelled",IF('Raw Orders'!K840&gt;=2,"Slipped","On plan"))</f>
        <v>On plan</v>
      </c>
      <c r="L840" s="12">
        <f t="shared" si="13"/>
        <v>0</v>
      </c>
    </row>
    <row r="841" spans="1:12" x14ac:dyDescent="0.3">
      <c r="A841" t="str">
        <f>'Raw Orders'!A841</f>
        <v>NX-00837</v>
      </c>
      <c r="B841" t="str">
        <f>'Raw Orders'!B841</f>
        <v>EMEA</v>
      </c>
      <c r="C841" t="str">
        <f>'Raw Orders'!C841</f>
        <v>Europe</v>
      </c>
      <c r="D841" s="11">
        <f>'Raw Orders'!E841</f>
        <v>23.7</v>
      </c>
      <c r="E841" s="12">
        <f>'Raw Orders'!F841</f>
        <v>2085600</v>
      </c>
      <c r="F841" s="12">
        <f>'Raw Orders'!F841*0.75</f>
        <v>1564200</v>
      </c>
      <c r="G841" s="10">
        <f>'Raw Orders'!H841</f>
        <v>46296</v>
      </c>
      <c r="H841" s="10">
        <f>'Raw Orders'!I841</f>
        <v>46388</v>
      </c>
      <c r="I841" s="11">
        <f>'Raw Orders'!K841</f>
        <v>3.43</v>
      </c>
      <c r="J841" s="11">
        <f>IF('Raw Orders'!J841,"",(YEAR('Raw Orders'!I841)-YEAR('Raw Orders'!H841))*12+MONTH('Raw Orders'!I841)-MONTH('Raw Orders'!H841))</f>
        <v>3</v>
      </c>
      <c r="K841" t="str">
        <f>IF('Raw Orders'!J841,"Cancelled",IF('Raw Orders'!K841&gt;=2,"Slipped","On plan"))</f>
        <v>Slipped</v>
      </c>
      <c r="L841" s="12">
        <f t="shared" si="13"/>
        <v>1564200</v>
      </c>
    </row>
    <row r="842" spans="1:12" x14ac:dyDescent="0.3">
      <c r="A842" t="str">
        <f>'Raw Orders'!A842</f>
        <v>NX-00838</v>
      </c>
      <c r="B842" t="str">
        <f>'Raw Orders'!B842</f>
        <v>EMEA</v>
      </c>
      <c r="C842" t="str">
        <f>'Raw Orders'!C842</f>
        <v>Europe</v>
      </c>
      <c r="D842" s="11">
        <f>'Raw Orders'!E842</f>
        <v>20.6</v>
      </c>
      <c r="E842" s="12">
        <f>'Raw Orders'!F842</f>
        <v>1812800</v>
      </c>
      <c r="F842" s="12">
        <f>'Raw Orders'!F842*0.75</f>
        <v>1359600</v>
      </c>
      <c r="G842" s="10">
        <f>'Raw Orders'!H842</f>
        <v>46235</v>
      </c>
      <c r="H842" s="10">
        <f>'Raw Orders'!I842</f>
        <v>46266</v>
      </c>
      <c r="I842" s="11">
        <f>'Raw Orders'!K842</f>
        <v>0.8</v>
      </c>
      <c r="J842" s="11">
        <f>IF('Raw Orders'!J842,"",(YEAR('Raw Orders'!I842)-YEAR('Raw Orders'!H842))*12+MONTH('Raw Orders'!I842)-MONTH('Raw Orders'!H842))</f>
        <v>1</v>
      </c>
      <c r="K842" t="str">
        <f>IF('Raw Orders'!J842,"Cancelled",IF('Raw Orders'!K842&gt;=2,"Slipped","On plan"))</f>
        <v>On plan</v>
      </c>
      <c r="L842" s="12">
        <f t="shared" si="13"/>
        <v>0</v>
      </c>
    </row>
    <row r="843" spans="1:12" x14ac:dyDescent="0.3">
      <c r="A843" t="str">
        <f>'Raw Orders'!A843</f>
        <v>NX-00839</v>
      </c>
      <c r="B843" t="str">
        <f>'Raw Orders'!B843</f>
        <v>EMEA</v>
      </c>
      <c r="C843" t="str">
        <f>'Raw Orders'!C843</f>
        <v>Europe</v>
      </c>
      <c r="D843" s="11">
        <f>'Raw Orders'!E843</f>
        <v>25.1</v>
      </c>
      <c r="E843" s="12">
        <f>'Raw Orders'!F843</f>
        <v>2208800</v>
      </c>
      <c r="F843" s="12">
        <f>'Raw Orders'!F843*0.75</f>
        <v>1656600</v>
      </c>
      <c r="G843" s="10">
        <f>'Raw Orders'!H843</f>
        <v>46235</v>
      </c>
      <c r="H843" s="10">
        <f>'Raw Orders'!I843</f>
        <v>46235</v>
      </c>
      <c r="I843" s="11">
        <f>'Raw Orders'!K843</f>
        <v>0.04</v>
      </c>
      <c r="J843" s="11">
        <f>IF('Raw Orders'!J843,"",(YEAR('Raw Orders'!I843)-YEAR('Raw Orders'!H843))*12+MONTH('Raw Orders'!I843)-MONTH('Raw Orders'!H843))</f>
        <v>0</v>
      </c>
      <c r="K843" t="str">
        <f>IF('Raw Orders'!J843,"Cancelled",IF('Raw Orders'!K843&gt;=2,"Slipped","On plan"))</f>
        <v>On plan</v>
      </c>
      <c r="L843" s="12">
        <f t="shared" si="13"/>
        <v>0</v>
      </c>
    </row>
    <row r="844" spans="1:12" x14ac:dyDescent="0.3">
      <c r="A844" t="str">
        <f>'Raw Orders'!A844</f>
        <v>NX-00840</v>
      </c>
      <c r="B844" t="str">
        <f>'Raw Orders'!B844</f>
        <v>EMEA</v>
      </c>
      <c r="C844" t="str">
        <f>'Raw Orders'!C844</f>
        <v>Europe</v>
      </c>
      <c r="D844" s="11">
        <f>'Raw Orders'!E844</f>
        <v>15.9</v>
      </c>
      <c r="E844" s="12">
        <f>'Raw Orders'!F844</f>
        <v>1399200</v>
      </c>
      <c r="F844" s="12">
        <f>'Raw Orders'!F844*0.75</f>
        <v>1049400</v>
      </c>
      <c r="G844" s="10">
        <f>'Raw Orders'!H844</f>
        <v>46204</v>
      </c>
      <c r="H844" s="10">
        <f>'Raw Orders'!I844</f>
        <v>46204</v>
      </c>
      <c r="I844" s="11">
        <f>'Raw Orders'!K844</f>
        <v>0.17</v>
      </c>
      <c r="J844" s="11">
        <f>IF('Raw Orders'!J844,"",(YEAR('Raw Orders'!I844)-YEAR('Raw Orders'!H844))*12+MONTH('Raw Orders'!I844)-MONTH('Raw Orders'!H844))</f>
        <v>0</v>
      </c>
      <c r="K844" t="str">
        <f>IF('Raw Orders'!J844,"Cancelled",IF('Raw Orders'!K844&gt;=2,"Slipped","On plan"))</f>
        <v>On plan</v>
      </c>
      <c r="L844" s="12">
        <f t="shared" si="13"/>
        <v>0</v>
      </c>
    </row>
    <row r="845" spans="1:12" x14ac:dyDescent="0.3">
      <c r="A845" t="str">
        <f>'Raw Orders'!A845</f>
        <v>NX-00841</v>
      </c>
      <c r="B845" t="str">
        <f>'Raw Orders'!B845</f>
        <v>EMEA</v>
      </c>
      <c r="C845" t="str">
        <f>'Raw Orders'!C845</f>
        <v>MENA</v>
      </c>
      <c r="D845" s="11">
        <f>'Raw Orders'!E845</f>
        <v>9.5</v>
      </c>
      <c r="E845" s="12">
        <f>'Raw Orders'!F845</f>
        <v>769500</v>
      </c>
      <c r="F845" s="12">
        <f>'Raw Orders'!F845*0.75</f>
        <v>577125</v>
      </c>
      <c r="G845" s="10">
        <f>'Raw Orders'!H845</f>
        <v>46204</v>
      </c>
      <c r="H845" s="10">
        <f>'Raw Orders'!I845</f>
        <v>46235</v>
      </c>
      <c r="I845" s="11">
        <f>'Raw Orders'!K845</f>
        <v>1.1000000000000001</v>
      </c>
      <c r="J845" s="11">
        <f>IF('Raw Orders'!J845,"",(YEAR('Raw Orders'!I845)-YEAR('Raw Orders'!H845))*12+MONTH('Raw Orders'!I845)-MONTH('Raw Orders'!H845))</f>
        <v>1</v>
      </c>
      <c r="K845" t="str">
        <f>IF('Raw Orders'!J845,"Cancelled",IF('Raw Orders'!K845&gt;=2,"Slipped","On plan"))</f>
        <v>On plan</v>
      </c>
      <c r="L845" s="12">
        <f t="shared" si="13"/>
        <v>0</v>
      </c>
    </row>
    <row r="846" spans="1:12" x14ac:dyDescent="0.3">
      <c r="A846" t="str">
        <f>'Raw Orders'!A846</f>
        <v>NX-00842</v>
      </c>
      <c r="B846" t="str">
        <f>'Raw Orders'!B846</f>
        <v>EMEA</v>
      </c>
      <c r="C846" t="str">
        <f>'Raw Orders'!C846</f>
        <v>MENA</v>
      </c>
      <c r="D846" s="11">
        <f>'Raw Orders'!E846</f>
        <v>24.2</v>
      </c>
      <c r="E846" s="12">
        <f>'Raw Orders'!F846</f>
        <v>1960200</v>
      </c>
      <c r="F846" s="12">
        <f>'Raw Orders'!F846*0.75</f>
        <v>1470150</v>
      </c>
      <c r="G846" s="10">
        <f>'Raw Orders'!H846</f>
        <v>46204</v>
      </c>
      <c r="H846" s="10">
        <f>'Raw Orders'!I846</f>
        <v>46235</v>
      </c>
      <c r="I846" s="11">
        <f>'Raw Orders'!K846</f>
        <v>0.75</v>
      </c>
      <c r="J846" s="11">
        <f>IF('Raw Orders'!J846,"",(YEAR('Raw Orders'!I846)-YEAR('Raw Orders'!H846))*12+MONTH('Raw Orders'!I846)-MONTH('Raw Orders'!H846))</f>
        <v>1</v>
      </c>
      <c r="K846" t="str">
        <f>IF('Raw Orders'!J846,"Cancelled",IF('Raw Orders'!K846&gt;=2,"Slipped","On plan"))</f>
        <v>On plan</v>
      </c>
      <c r="L846" s="12">
        <f t="shared" si="13"/>
        <v>0</v>
      </c>
    </row>
    <row r="847" spans="1:12" x14ac:dyDescent="0.3">
      <c r="A847" t="str">
        <f>'Raw Orders'!A847</f>
        <v>NX-00843</v>
      </c>
      <c r="B847" t="str">
        <f>'Raw Orders'!B847</f>
        <v>EMEA</v>
      </c>
      <c r="C847" t="str">
        <f>'Raw Orders'!C847</f>
        <v>MENA</v>
      </c>
      <c r="D847" s="11">
        <f>'Raw Orders'!E847</f>
        <v>7.3</v>
      </c>
      <c r="E847" s="12">
        <f>'Raw Orders'!F847</f>
        <v>591300</v>
      </c>
      <c r="F847" s="12">
        <f>'Raw Orders'!F847*0.75</f>
        <v>443475</v>
      </c>
      <c r="G847" s="10">
        <f>'Raw Orders'!H847</f>
        <v>46113</v>
      </c>
      <c r="H847" s="10">
        <f>'Raw Orders'!I847</f>
        <v>46113</v>
      </c>
      <c r="I847" s="11">
        <f>'Raw Orders'!K847</f>
        <v>0.38</v>
      </c>
      <c r="J847" s="11">
        <f>IF('Raw Orders'!J847,"",(YEAR('Raw Orders'!I847)-YEAR('Raw Orders'!H847))*12+MONTH('Raw Orders'!I847)-MONTH('Raw Orders'!H847))</f>
        <v>0</v>
      </c>
      <c r="K847" t="str">
        <f>IF('Raw Orders'!J847,"Cancelled",IF('Raw Orders'!K847&gt;=2,"Slipped","On plan"))</f>
        <v>On plan</v>
      </c>
      <c r="L847" s="12">
        <f t="shared" si="13"/>
        <v>0</v>
      </c>
    </row>
    <row r="848" spans="1:12" x14ac:dyDescent="0.3">
      <c r="A848" t="str">
        <f>'Raw Orders'!A848</f>
        <v>NX-00844</v>
      </c>
      <c r="B848" t="str">
        <f>'Raw Orders'!B848</f>
        <v>EMEA</v>
      </c>
      <c r="C848" t="str">
        <f>'Raw Orders'!C848</f>
        <v>MENA</v>
      </c>
      <c r="D848" s="11">
        <f>'Raw Orders'!E848</f>
        <v>7.4</v>
      </c>
      <c r="E848" s="12">
        <f>'Raw Orders'!F848</f>
        <v>599400</v>
      </c>
      <c r="F848" s="12">
        <f>'Raw Orders'!F848*0.75</f>
        <v>449550</v>
      </c>
      <c r="G848" s="10">
        <f>'Raw Orders'!H848</f>
        <v>46113</v>
      </c>
      <c r="H848" s="10">
        <f>'Raw Orders'!I848</f>
        <v>46143</v>
      </c>
      <c r="I848" s="11">
        <f>'Raw Orders'!K848</f>
        <v>0.93</v>
      </c>
      <c r="J848" s="11">
        <f>IF('Raw Orders'!J848,"",(YEAR('Raw Orders'!I848)-YEAR('Raw Orders'!H848))*12+MONTH('Raw Orders'!I848)-MONTH('Raw Orders'!H848))</f>
        <v>1</v>
      </c>
      <c r="K848" t="str">
        <f>IF('Raw Orders'!J848,"Cancelled",IF('Raw Orders'!K848&gt;=2,"Slipped","On plan"))</f>
        <v>On plan</v>
      </c>
      <c r="L848" s="12">
        <f t="shared" si="13"/>
        <v>0</v>
      </c>
    </row>
    <row r="849" spans="1:12" x14ac:dyDescent="0.3">
      <c r="A849" t="str">
        <f>'Raw Orders'!A849</f>
        <v>NX-00845</v>
      </c>
      <c r="B849" t="str">
        <f>'Raw Orders'!B849</f>
        <v>APAC</v>
      </c>
      <c r="C849" t="str">
        <f>'Raw Orders'!C849</f>
        <v>India</v>
      </c>
      <c r="D849" s="11">
        <f>'Raw Orders'!E849</f>
        <v>41.5</v>
      </c>
      <c r="E849" s="12">
        <f>'Raw Orders'!F849</f>
        <v>2946500</v>
      </c>
      <c r="F849" s="12">
        <f>'Raw Orders'!F849*0.75</f>
        <v>2209875</v>
      </c>
      <c r="G849" s="10">
        <f>'Raw Orders'!H849</f>
        <v>46266</v>
      </c>
      <c r="H849" s="10">
        <f>'Raw Orders'!I849</f>
        <v>46296</v>
      </c>
      <c r="I849" s="11">
        <f>'Raw Orders'!K849</f>
        <v>1.1399999999999999</v>
      </c>
      <c r="J849" s="11">
        <f>IF('Raw Orders'!J849,"",(YEAR('Raw Orders'!I849)-YEAR('Raw Orders'!H849))*12+MONTH('Raw Orders'!I849)-MONTH('Raw Orders'!H849))</f>
        <v>1</v>
      </c>
      <c r="K849" t="str">
        <f>IF('Raw Orders'!J849,"Cancelled",IF('Raw Orders'!K849&gt;=2,"Slipped","On plan"))</f>
        <v>On plan</v>
      </c>
      <c r="L849" s="12">
        <f t="shared" si="13"/>
        <v>0</v>
      </c>
    </row>
    <row r="850" spans="1:12" x14ac:dyDescent="0.3">
      <c r="A850" t="str">
        <f>'Raw Orders'!A850</f>
        <v>NX-00846</v>
      </c>
      <c r="B850" t="str">
        <f>'Raw Orders'!B850</f>
        <v>APAC</v>
      </c>
      <c r="C850" t="str">
        <f>'Raw Orders'!C850</f>
        <v>India</v>
      </c>
      <c r="D850" s="11">
        <f>'Raw Orders'!E850</f>
        <v>16.100000000000001</v>
      </c>
      <c r="E850" s="12">
        <f>'Raw Orders'!F850</f>
        <v>1143100</v>
      </c>
      <c r="F850" s="12">
        <f>'Raw Orders'!F850*0.75</f>
        <v>857325</v>
      </c>
      <c r="G850" s="10">
        <f>'Raw Orders'!H850</f>
        <v>46266</v>
      </c>
      <c r="H850" s="10">
        <f>'Raw Orders'!I850</f>
        <v>0</v>
      </c>
      <c r="I850" s="11">
        <f>'Raw Orders'!K850</f>
        <v>1.53</v>
      </c>
      <c r="J850" s="11" t="str">
        <f>IF('Raw Orders'!J850,"",(YEAR('Raw Orders'!I850)-YEAR('Raw Orders'!H850))*12+MONTH('Raw Orders'!I850)-MONTH('Raw Orders'!H850))</f>
        <v/>
      </c>
      <c r="K850" t="str">
        <f>IF('Raw Orders'!J850,"Cancelled",IF('Raw Orders'!K850&gt;=2,"Slipped","On plan"))</f>
        <v>Cancelled</v>
      </c>
      <c r="L850" s="12">
        <f t="shared" si="13"/>
        <v>857325</v>
      </c>
    </row>
    <row r="851" spans="1:12" x14ac:dyDescent="0.3">
      <c r="A851" t="str">
        <f>'Raw Orders'!A851</f>
        <v>NX-00847</v>
      </c>
      <c r="B851" t="str">
        <f>'Raw Orders'!B851</f>
        <v>APAC</v>
      </c>
      <c r="C851" t="str">
        <f>'Raw Orders'!C851</f>
        <v>Australia/SEA</v>
      </c>
      <c r="D851" s="11">
        <f>'Raw Orders'!E851</f>
        <v>35.200000000000003</v>
      </c>
      <c r="E851" s="12">
        <f>'Raw Orders'!F851</f>
        <v>2956800</v>
      </c>
      <c r="F851" s="12">
        <f>'Raw Orders'!F851*0.75</f>
        <v>2217600</v>
      </c>
      <c r="G851" s="10">
        <f>'Raw Orders'!H851</f>
        <v>46296</v>
      </c>
      <c r="H851" s="10">
        <f>'Raw Orders'!I851</f>
        <v>46447</v>
      </c>
      <c r="I851" s="11">
        <f>'Raw Orders'!K851</f>
        <v>4.8499999999999996</v>
      </c>
      <c r="J851" s="11">
        <f>IF('Raw Orders'!J851,"",(YEAR('Raw Orders'!I851)-YEAR('Raw Orders'!H851))*12+MONTH('Raw Orders'!I851)-MONTH('Raw Orders'!H851))</f>
        <v>5</v>
      </c>
      <c r="K851" t="str">
        <f>IF('Raw Orders'!J851,"Cancelled",IF('Raw Orders'!K851&gt;=2,"Slipped","On plan"))</f>
        <v>Slipped</v>
      </c>
      <c r="L851" s="12">
        <f t="shared" si="13"/>
        <v>2217600</v>
      </c>
    </row>
    <row r="852" spans="1:12" x14ac:dyDescent="0.3">
      <c r="A852" t="str">
        <f>'Raw Orders'!A852</f>
        <v>NX-00848</v>
      </c>
      <c r="B852" t="str">
        <f>'Raw Orders'!B852</f>
        <v>APAC</v>
      </c>
      <c r="C852" t="str">
        <f>'Raw Orders'!C852</f>
        <v>Australia/SEA</v>
      </c>
      <c r="D852" s="11">
        <f>'Raw Orders'!E852</f>
        <v>10.3</v>
      </c>
      <c r="E852" s="12">
        <f>'Raw Orders'!F852</f>
        <v>865200.00000000012</v>
      </c>
      <c r="F852" s="12">
        <f>'Raw Orders'!F852*0.75</f>
        <v>648900.00000000012</v>
      </c>
      <c r="G852" s="10">
        <f>'Raw Orders'!H852</f>
        <v>46235</v>
      </c>
      <c r="H852" s="10">
        <f>'Raw Orders'!I852</f>
        <v>46357</v>
      </c>
      <c r="I852" s="11">
        <f>'Raw Orders'!K852</f>
        <v>3.95</v>
      </c>
      <c r="J852" s="11">
        <f>IF('Raw Orders'!J852,"",(YEAR('Raw Orders'!I852)-YEAR('Raw Orders'!H852))*12+MONTH('Raw Orders'!I852)-MONTH('Raw Orders'!H852))</f>
        <v>4</v>
      </c>
      <c r="K852" t="str">
        <f>IF('Raw Orders'!J852,"Cancelled",IF('Raw Orders'!K852&gt;=2,"Slipped","On plan"))</f>
        <v>Slipped</v>
      </c>
      <c r="L852" s="12">
        <f t="shared" si="13"/>
        <v>648900.00000000012</v>
      </c>
    </row>
    <row r="853" spans="1:12" x14ac:dyDescent="0.3">
      <c r="A853" t="str">
        <f>'Raw Orders'!A853</f>
        <v>NX-00849</v>
      </c>
      <c r="B853" t="str">
        <f>'Raw Orders'!B853</f>
        <v>LATAM</v>
      </c>
      <c r="C853" t="str">
        <f>'Raw Orders'!C853</f>
        <v>LATAM</v>
      </c>
      <c r="D853" s="11">
        <f>'Raw Orders'!E853</f>
        <v>8.8000000000000007</v>
      </c>
      <c r="E853" s="12">
        <f>'Raw Orders'!F853</f>
        <v>695200</v>
      </c>
      <c r="F853" s="12">
        <f>'Raw Orders'!F853*0.75</f>
        <v>521400</v>
      </c>
      <c r="G853" s="10">
        <f>'Raw Orders'!H853</f>
        <v>46113</v>
      </c>
      <c r="H853" s="10">
        <f>'Raw Orders'!I853</f>
        <v>46174</v>
      </c>
      <c r="I853" s="11">
        <f>'Raw Orders'!K853</f>
        <v>2.0299999999999998</v>
      </c>
      <c r="J853" s="11">
        <f>IF('Raw Orders'!J853,"",(YEAR('Raw Orders'!I853)-YEAR('Raw Orders'!H853))*12+MONTH('Raw Orders'!I853)-MONTH('Raw Orders'!H853))</f>
        <v>2</v>
      </c>
      <c r="K853" t="str">
        <f>IF('Raw Orders'!J853,"Cancelled",IF('Raw Orders'!K853&gt;=2,"Slipped","On plan"))</f>
        <v>Slipped</v>
      </c>
      <c r="L853" s="12">
        <f t="shared" si="13"/>
        <v>521400</v>
      </c>
    </row>
    <row r="854" spans="1:12" x14ac:dyDescent="0.3">
      <c r="A854" t="str">
        <f>'Raw Orders'!A854</f>
        <v>NX-00850</v>
      </c>
      <c r="B854" t="str">
        <f>'Raw Orders'!B854</f>
        <v>LATAM</v>
      </c>
      <c r="C854" t="str">
        <f>'Raw Orders'!C854</f>
        <v>LATAM</v>
      </c>
      <c r="D854" s="11">
        <f>'Raw Orders'!E854</f>
        <v>18.100000000000001</v>
      </c>
      <c r="E854" s="12">
        <f>'Raw Orders'!F854</f>
        <v>1429900</v>
      </c>
      <c r="F854" s="12">
        <f>'Raw Orders'!F854*0.75</f>
        <v>1072425</v>
      </c>
      <c r="G854" s="10">
        <f>'Raw Orders'!H854</f>
        <v>46174</v>
      </c>
      <c r="H854" s="10">
        <f>'Raw Orders'!I854</f>
        <v>46174</v>
      </c>
      <c r="I854" s="11">
        <f>'Raw Orders'!K854</f>
        <v>0.36</v>
      </c>
      <c r="J854" s="11">
        <f>IF('Raw Orders'!J854,"",(YEAR('Raw Orders'!I854)-YEAR('Raw Orders'!H854))*12+MONTH('Raw Orders'!I854)-MONTH('Raw Orders'!H854))</f>
        <v>0</v>
      </c>
      <c r="K854" t="str">
        <f>IF('Raw Orders'!J854,"Cancelled",IF('Raw Orders'!K854&gt;=2,"Slipped","On plan"))</f>
        <v>On plan</v>
      </c>
      <c r="L854" s="12">
        <f t="shared" si="13"/>
        <v>0</v>
      </c>
    </row>
    <row r="855" spans="1:12" x14ac:dyDescent="0.3">
      <c r="A855" t="str">
        <f>'Raw Orders'!A855</f>
        <v>NX-00851</v>
      </c>
      <c r="B855" t="str">
        <f>'Raw Orders'!B855</f>
        <v>North America</v>
      </c>
      <c r="C855" t="str">
        <f>'Raw Orders'!C855</f>
        <v>US / Canada</v>
      </c>
      <c r="D855" s="11">
        <f>'Raw Orders'!E855</f>
        <v>4.0999999999999996</v>
      </c>
      <c r="E855" s="12">
        <f>'Raw Orders'!F855</f>
        <v>340299.99999999988</v>
      </c>
      <c r="F855" s="12">
        <f>'Raw Orders'!F855*0.75</f>
        <v>255224.99999999991</v>
      </c>
      <c r="G855" s="10">
        <f>'Raw Orders'!H855</f>
        <v>46235</v>
      </c>
      <c r="H855" s="10">
        <f>'Raw Orders'!I855</f>
        <v>46235</v>
      </c>
      <c r="I855" s="11">
        <f>'Raw Orders'!K855</f>
        <v>0.08</v>
      </c>
      <c r="J855" s="11">
        <f>IF('Raw Orders'!J855,"",(YEAR('Raw Orders'!I855)-YEAR('Raw Orders'!H855))*12+MONTH('Raw Orders'!I855)-MONTH('Raw Orders'!H855))</f>
        <v>0</v>
      </c>
      <c r="K855" t="str">
        <f>IF('Raw Orders'!J855,"Cancelled",IF('Raw Orders'!K855&gt;=2,"Slipped","On plan"))</f>
        <v>On plan</v>
      </c>
      <c r="L855" s="12">
        <f t="shared" si="13"/>
        <v>0</v>
      </c>
    </row>
    <row r="856" spans="1:12" x14ac:dyDescent="0.3">
      <c r="A856" t="str">
        <f>'Raw Orders'!A856</f>
        <v>NX-00852</v>
      </c>
      <c r="B856" t="str">
        <f>'Raw Orders'!B856</f>
        <v>North America</v>
      </c>
      <c r="C856" t="str">
        <f>'Raw Orders'!C856</f>
        <v>US / Canada</v>
      </c>
      <c r="D856" s="11">
        <f>'Raw Orders'!E856</f>
        <v>12.5</v>
      </c>
      <c r="E856" s="12">
        <f>'Raw Orders'!F856</f>
        <v>1037500</v>
      </c>
      <c r="F856" s="12">
        <f>'Raw Orders'!F856*0.75</f>
        <v>778125</v>
      </c>
      <c r="G856" s="10">
        <f>'Raw Orders'!H856</f>
        <v>46327</v>
      </c>
      <c r="H856" s="10">
        <f>'Raw Orders'!I856</f>
        <v>46327</v>
      </c>
      <c r="I856" s="11">
        <f>'Raw Orders'!K856</f>
        <v>0</v>
      </c>
      <c r="J856" s="11">
        <f>IF('Raw Orders'!J856,"",(YEAR('Raw Orders'!I856)-YEAR('Raw Orders'!H856))*12+MONTH('Raw Orders'!I856)-MONTH('Raw Orders'!H856))</f>
        <v>0</v>
      </c>
      <c r="K856" t="str">
        <f>IF('Raw Orders'!J856,"Cancelled",IF('Raw Orders'!K856&gt;=2,"Slipped","On plan"))</f>
        <v>On plan</v>
      </c>
      <c r="L856" s="12">
        <f t="shared" si="13"/>
        <v>0</v>
      </c>
    </row>
    <row r="857" spans="1:12" x14ac:dyDescent="0.3">
      <c r="A857" t="str">
        <f>'Raw Orders'!A857</f>
        <v>NX-00853</v>
      </c>
      <c r="B857" t="str">
        <f>'Raw Orders'!B857</f>
        <v>North America</v>
      </c>
      <c r="C857" t="str">
        <f>'Raw Orders'!C857</f>
        <v>US / Canada</v>
      </c>
      <c r="D857" s="11">
        <f>'Raw Orders'!E857</f>
        <v>23.6</v>
      </c>
      <c r="E857" s="12">
        <f>'Raw Orders'!F857</f>
        <v>1958800</v>
      </c>
      <c r="F857" s="12">
        <f>'Raw Orders'!F857*0.75</f>
        <v>1469100</v>
      </c>
      <c r="G857" s="10">
        <f>'Raw Orders'!H857</f>
        <v>46204</v>
      </c>
      <c r="H857" s="10">
        <f>'Raw Orders'!I857</f>
        <v>46204</v>
      </c>
      <c r="I857" s="11">
        <f>'Raw Orders'!K857</f>
        <v>0.02</v>
      </c>
      <c r="J857" s="11">
        <f>IF('Raw Orders'!J857,"",(YEAR('Raw Orders'!I857)-YEAR('Raw Orders'!H857))*12+MONTH('Raw Orders'!I857)-MONTH('Raw Orders'!H857))</f>
        <v>0</v>
      </c>
      <c r="K857" t="str">
        <f>IF('Raw Orders'!J857,"Cancelled",IF('Raw Orders'!K857&gt;=2,"Slipped","On plan"))</f>
        <v>On plan</v>
      </c>
      <c r="L857" s="12">
        <f t="shared" si="13"/>
        <v>0</v>
      </c>
    </row>
    <row r="858" spans="1:12" x14ac:dyDescent="0.3">
      <c r="A858" t="str">
        <f>'Raw Orders'!A858</f>
        <v>NX-00854</v>
      </c>
      <c r="B858" t="str">
        <f>'Raw Orders'!B858</f>
        <v>North America</v>
      </c>
      <c r="C858" t="str">
        <f>'Raw Orders'!C858</f>
        <v>US / Canada</v>
      </c>
      <c r="D858" s="11">
        <f>'Raw Orders'!E858</f>
        <v>7.1</v>
      </c>
      <c r="E858" s="12">
        <f>'Raw Orders'!F858</f>
        <v>589300</v>
      </c>
      <c r="F858" s="12">
        <f>'Raw Orders'!F858*0.75</f>
        <v>441975</v>
      </c>
      <c r="G858" s="10">
        <f>'Raw Orders'!H858</f>
        <v>46174</v>
      </c>
      <c r="H858" s="10">
        <f>'Raw Orders'!I858</f>
        <v>46174</v>
      </c>
      <c r="I858" s="11">
        <f>'Raw Orders'!K858</f>
        <v>0.01</v>
      </c>
      <c r="J858" s="11">
        <f>IF('Raw Orders'!J858,"",(YEAR('Raw Orders'!I858)-YEAR('Raw Orders'!H858))*12+MONTH('Raw Orders'!I858)-MONTH('Raw Orders'!H858))</f>
        <v>0</v>
      </c>
      <c r="K858" t="str">
        <f>IF('Raw Orders'!J858,"Cancelled",IF('Raw Orders'!K858&gt;=2,"Slipped","On plan"))</f>
        <v>On plan</v>
      </c>
      <c r="L858" s="12">
        <f t="shared" si="13"/>
        <v>0</v>
      </c>
    </row>
    <row r="859" spans="1:12" x14ac:dyDescent="0.3">
      <c r="A859" t="str">
        <f>'Raw Orders'!A859</f>
        <v>NX-00855</v>
      </c>
      <c r="B859" t="str">
        <f>'Raw Orders'!B859</f>
        <v>North America</v>
      </c>
      <c r="C859" t="str">
        <f>'Raw Orders'!C859</f>
        <v>US / Canada</v>
      </c>
      <c r="D859" s="11">
        <f>'Raw Orders'!E859</f>
        <v>12.4</v>
      </c>
      <c r="E859" s="12">
        <f>'Raw Orders'!F859</f>
        <v>1029200</v>
      </c>
      <c r="F859" s="12">
        <f>'Raw Orders'!F859*0.75</f>
        <v>771900</v>
      </c>
      <c r="G859" s="10">
        <f>'Raw Orders'!H859</f>
        <v>46296</v>
      </c>
      <c r="H859" s="10">
        <f>'Raw Orders'!I859</f>
        <v>46296</v>
      </c>
      <c r="I859" s="11">
        <f>'Raw Orders'!K859</f>
        <v>0.1</v>
      </c>
      <c r="J859" s="11">
        <f>IF('Raw Orders'!J859,"",(YEAR('Raw Orders'!I859)-YEAR('Raw Orders'!H859))*12+MONTH('Raw Orders'!I859)-MONTH('Raw Orders'!H859))</f>
        <v>0</v>
      </c>
      <c r="K859" t="str">
        <f>IF('Raw Orders'!J859,"Cancelled",IF('Raw Orders'!K859&gt;=2,"Slipped","On plan"))</f>
        <v>On plan</v>
      </c>
      <c r="L859" s="12">
        <f t="shared" si="13"/>
        <v>0</v>
      </c>
    </row>
    <row r="860" spans="1:12" x14ac:dyDescent="0.3">
      <c r="A860" t="str">
        <f>'Raw Orders'!A860</f>
        <v>NX-00856</v>
      </c>
      <c r="B860" t="str">
        <f>'Raw Orders'!B860</f>
        <v>North America</v>
      </c>
      <c r="C860" t="str">
        <f>'Raw Orders'!C860</f>
        <v>US / Canada</v>
      </c>
      <c r="D860" s="11">
        <f>'Raw Orders'!E860</f>
        <v>4.5999999999999996</v>
      </c>
      <c r="E860" s="12">
        <f>'Raw Orders'!F860</f>
        <v>381800</v>
      </c>
      <c r="F860" s="12">
        <f>'Raw Orders'!F860*0.75</f>
        <v>286350</v>
      </c>
      <c r="G860" s="10">
        <f>'Raw Orders'!H860</f>
        <v>46266</v>
      </c>
      <c r="H860" s="10">
        <f>'Raw Orders'!I860</f>
        <v>0</v>
      </c>
      <c r="I860" s="11">
        <f>'Raw Orders'!K860</f>
        <v>1.46</v>
      </c>
      <c r="J860" s="11" t="str">
        <f>IF('Raw Orders'!J860,"",(YEAR('Raw Orders'!I860)-YEAR('Raw Orders'!H860))*12+MONTH('Raw Orders'!I860)-MONTH('Raw Orders'!H860))</f>
        <v/>
      </c>
      <c r="K860" t="str">
        <f>IF('Raw Orders'!J860,"Cancelled",IF('Raw Orders'!K860&gt;=2,"Slipped","On plan"))</f>
        <v>Cancelled</v>
      </c>
      <c r="L860" s="12">
        <f t="shared" si="13"/>
        <v>286350</v>
      </c>
    </row>
    <row r="861" spans="1:12" x14ac:dyDescent="0.3">
      <c r="A861" t="str">
        <f>'Raw Orders'!A861</f>
        <v>NX-00857</v>
      </c>
      <c r="B861" t="str">
        <f>'Raw Orders'!B861</f>
        <v>North America</v>
      </c>
      <c r="C861" t="str">
        <f>'Raw Orders'!C861</f>
        <v>US / Canada</v>
      </c>
      <c r="D861" s="11">
        <f>'Raw Orders'!E861</f>
        <v>3.2</v>
      </c>
      <c r="E861" s="12">
        <f>'Raw Orders'!F861</f>
        <v>265600</v>
      </c>
      <c r="F861" s="12">
        <f>'Raw Orders'!F861*0.75</f>
        <v>199200</v>
      </c>
      <c r="G861" s="10">
        <f>'Raw Orders'!H861</f>
        <v>46296</v>
      </c>
      <c r="H861" s="10">
        <f>'Raw Orders'!I861</f>
        <v>46296</v>
      </c>
      <c r="I861" s="11">
        <f>'Raw Orders'!K861</f>
        <v>0</v>
      </c>
      <c r="J861" s="11">
        <f>IF('Raw Orders'!J861,"",(YEAR('Raw Orders'!I861)-YEAR('Raw Orders'!H861))*12+MONTH('Raw Orders'!I861)-MONTH('Raw Orders'!H861))</f>
        <v>0</v>
      </c>
      <c r="K861" t="str">
        <f>IF('Raw Orders'!J861,"Cancelled",IF('Raw Orders'!K861&gt;=2,"Slipped","On plan"))</f>
        <v>On plan</v>
      </c>
      <c r="L861" s="12">
        <f t="shared" si="13"/>
        <v>0</v>
      </c>
    </row>
    <row r="862" spans="1:12" x14ac:dyDescent="0.3">
      <c r="A862" t="str">
        <f>'Raw Orders'!A862</f>
        <v>NX-00858</v>
      </c>
      <c r="B862" t="str">
        <f>'Raw Orders'!B862</f>
        <v>North America</v>
      </c>
      <c r="C862" t="str">
        <f>'Raw Orders'!C862</f>
        <v>US / Canada</v>
      </c>
      <c r="D862" s="11">
        <f>'Raw Orders'!E862</f>
        <v>13.8</v>
      </c>
      <c r="E862" s="12">
        <f>'Raw Orders'!F862</f>
        <v>1145400</v>
      </c>
      <c r="F862" s="12">
        <f>'Raw Orders'!F862*0.75</f>
        <v>859050</v>
      </c>
      <c r="G862" s="10">
        <f>'Raw Orders'!H862</f>
        <v>46327</v>
      </c>
      <c r="H862" s="10">
        <f>'Raw Orders'!I862</f>
        <v>46327</v>
      </c>
      <c r="I862" s="11">
        <f>'Raw Orders'!K862</f>
        <v>0</v>
      </c>
      <c r="J862" s="11">
        <f>IF('Raw Orders'!J862,"",(YEAR('Raw Orders'!I862)-YEAR('Raw Orders'!H862))*12+MONTH('Raw Orders'!I862)-MONTH('Raw Orders'!H862))</f>
        <v>0</v>
      </c>
      <c r="K862" t="str">
        <f>IF('Raw Orders'!J862,"Cancelled",IF('Raw Orders'!K862&gt;=2,"Slipped","On plan"))</f>
        <v>On plan</v>
      </c>
      <c r="L862" s="12">
        <f t="shared" si="13"/>
        <v>0</v>
      </c>
    </row>
    <row r="863" spans="1:12" x14ac:dyDescent="0.3">
      <c r="A863" t="str">
        <f>'Raw Orders'!A863</f>
        <v>NX-00859</v>
      </c>
      <c r="B863" t="str">
        <f>'Raw Orders'!B863</f>
        <v>North America</v>
      </c>
      <c r="C863" t="str">
        <f>'Raw Orders'!C863</f>
        <v>US / Canada</v>
      </c>
      <c r="D863" s="11">
        <f>'Raw Orders'!E863</f>
        <v>18.3</v>
      </c>
      <c r="E863" s="12">
        <f>'Raw Orders'!F863</f>
        <v>1518900</v>
      </c>
      <c r="F863" s="12">
        <f>'Raw Orders'!F863*0.75</f>
        <v>1139175</v>
      </c>
      <c r="G863" s="10">
        <f>'Raw Orders'!H863</f>
        <v>46327</v>
      </c>
      <c r="H863" s="10">
        <f>'Raw Orders'!I863</f>
        <v>46327</v>
      </c>
      <c r="I863" s="11">
        <f>'Raw Orders'!K863</f>
        <v>0</v>
      </c>
      <c r="J863" s="11">
        <f>IF('Raw Orders'!J863,"",(YEAR('Raw Orders'!I863)-YEAR('Raw Orders'!H863))*12+MONTH('Raw Orders'!I863)-MONTH('Raw Orders'!H863))</f>
        <v>0</v>
      </c>
      <c r="K863" t="str">
        <f>IF('Raw Orders'!J863,"Cancelled",IF('Raw Orders'!K863&gt;=2,"Slipped","On plan"))</f>
        <v>On plan</v>
      </c>
      <c r="L863" s="12">
        <f t="shared" si="13"/>
        <v>0</v>
      </c>
    </row>
    <row r="864" spans="1:12" x14ac:dyDescent="0.3">
      <c r="A864" t="str">
        <f>'Raw Orders'!A864</f>
        <v>NX-00860</v>
      </c>
      <c r="B864" t="str">
        <f>'Raw Orders'!B864</f>
        <v>North America</v>
      </c>
      <c r="C864" t="str">
        <f>'Raw Orders'!C864</f>
        <v>US / Canada</v>
      </c>
      <c r="D864" s="11">
        <f>'Raw Orders'!E864</f>
        <v>13.4</v>
      </c>
      <c r="E864" s="12">
        <f>'Raw Orders'!F864</f>
        <v>1112200</v>
      </c>
      <c r="F864" s="12">
        <f>'Raw Orders'!F864*0.75</f>
        <v>834150</v>
      </c>
      <c r="G864" s="10">
        <f>'Raw Orders'!H864</f>
        <v>46296</v>
      </c>
      <c r="H864" s="10">
        <f>'Raw Orders'!I864</f>
        <v>46327</v>
      </c>
      <c r="I864" s="11">
        <f>'Raw Orders'!K864</f>
        <v>0.81</v>
      </c>
      <c r="J864" s="11">
        <f>IF('Raw Orders'!J864,"",(YEAR('Raw Orders'!I864)-YEAR('Raw Orders'!H864))*12+MONTH('Raw Orders'!I864)-MONTH('Raw Orders'!H864))</f>
        <v>1</v>
      </c>
      <c r="K864" t="str">
        <f>IF('Raw Orders'!J864,"Cancelled",IF('Raw Orders'!K864&gt;=2,"Slipped","On plan"))</f>
        <v>On plan</v>
      </c>
      <c r="L864" s="12">
        <f t="shared" si="13"/>
        <v>0</v>
      </c>
    </row>
    <row r="865" spans="1:12" x14ac:dyDescent="0.3">
      <c r="A865" t="str">
        <f>'Raw Orders'!A865</f>
        <v>NX-00861</v>
      </c>
      <c r="B865" t="str">
        <f>'Raw Orders'!B865</f>
        <v>North America</v>
      </c>
      <c r="C865" t="str">
        <f>'Raw Orders'!C865</f>
        <v>US / Canada</v>
      </c>
      <c r="D865" s="11">
        <f>'Raw Orders'!E865</f>
        <v>15.3</v>
      </c>
      <c r="E865" s="12">
        <f>'Raw Orders'!F865</f>
        <v>1269900</v>
      </c>
      <c r="F865" s="12">
        <f>'Raw Orders'!F865*0.75</f>
        <v>952425</v>
      </c>
      <c r="G865" s="10">
        <f>'Raw Orders'!H865</f>
        <v>46143</v>
      </c>
      <c r="H865" s="10">
        <f>'Raw Orders'!I865</f>
        <v>46143</v>
      </c>
      <c r="I865" s="11">
        <f>'Raw Orders'!K865</f>
        <v>0.01</v>
      </c>
      <c r="J865" s="11">
        <f>IF('Raw Orders'!J865,"",(YEAR('Raw Orders'!I865)-YEAR('Raw Orders'!H865))*12+MONTH('Raw Orders'!I865)-MONTH('Raw Orders'!H865))</f>
        <v>0</v>
      </c>
      <c r="K865" t="str">
        <f>IF('Raw Orders'!J865,"Cancelled",IF('Raw Orders'!K865&gt;=2,"Slipped","On plan"))</f>
        <v>On plan</v>
      </c>
      <c r="L865" s="12">
        <f t="shared" si="13"/>
        <v>0</v>
      </c>
    </row>
    <row r="866" spans="1:12" x14ac:dyDescent="0.3">
      <c r="A866" t="str">
        <f>'Raw Orders'!A866</f>
        <v>NX-00862</v>
      </c>
      <c r="B866" t="str">
        <f>'Raw Orders'!B866</f>
        <v>North America</v>
      </c>
      <c r="C866" t="str">
        <f>'Raw Orders'!C866</f>
        <v>US / Canada</v>
      </c>
      <c r="D866" s="11">
        <f>'Raw Orders'!E866</f>
        <v>17.3</v>
      </c>
      <c r="E866" s="12">
        <f>'Raw Orders'!F866</f>
        <v>1435900</v>
      </c>
      <c r="F866" s="12">
        <f>'Raw Orders'!F866*0.75</f>
        <v>1076925</v>
      </c>
      <c r="G866" s="10">
        <f>'Raw Orders'!H866</f>
        <v>46235</v>
      </c>
      <c r="H866" s="10">
        <f>'Raw Orders'!I866</f>
        <v>46266</v>
      </c>
      <c r="I866" s="11">
        <f>'Raw Orders'!K866</f>
        <v>1.1000000000000001</v>
      </c>
      <c r="J866" s="11">
        <f>IF('Raw Orders'!J866,"",(YEAR('Raw Orders'!I866)-YEAR('Raw Orders'!H866))*12+MONTH('Raw Orders'!I866)-MONTH('Raw Orders'!H866))</f>
        <v>1</v>
      </c>
      <c r="K866" t="str">
        <f>IF('Raw Orders'!J866,"Cancelled",IF('Raw Orders'!K866&gt;=2,"Slipped","On plan"))</f>
        <v>On plan</v>
      </c>
      <c r="L866" s="12">
        <f t="shared" si="13"/>
        <v>0</v>
      </c>
    </row>
    <row r="867" spans="1:12" x14ac:dyDescent="0.3">
      <c r="A867" t="str">
        <f>'Raw Orders'!A867</f>
        <v>NX-00863</v>
      </c>
      <c r="B867" t="str">
        <f>'Raw Orders'!B867</f>
        <v>North America</v>
      </c>
      <c r="C867" t="str">
        <f>'Raw Orders'!C867</f>
        <v>US / Canada</v>
      </c>
      <c r="D867" s="11">
        <f>'Raw Orders'!E867</f>
        <v>3.4</v>
      </c>
      <c r="E867" s="12">
        <f>'Raw Orders'!F867</f>
        <v>282200</v>
      </c>
      <c r="F867" s="12">
        <f>'Raw Orders'!F867*0.75</f>
        <v>211650</v>
      </c>
      <c r="G867" s="10">
        <f>'Raw Orders'!H867</f>
        <v>46266</v>
      </c>
      <c r="H867" s="10">
        <f>'Raw Orders'!I867</f>
        <v>46266</v>
      </c>
      <c r="I867" s="11">
        <f>'Raw Orders'!K867</f>
        <v>0</v>
      </c>
      <c r="J867" s="11">
        <f>IF('Raw Orders'!J867,"",(YEAR('Raw Orders'!I867)-YEAR('Raw Orders'!H867))*12+MONTH('Raw Orders'!I867)-MONTH('Raw Orders'!H867))</f>
        <v>0</v>
      </c>
      <c r="K867" t="str">
        <f>IF('Raw Orders'!J867,"Cancelled",IF('Raw Orders'!K867&gt;=2,"Slipped","On plan"))</f>
        <v>On plan</v>
      </c>
      <c r="L867" s="12">
        <f t="shared" si="13"/>
        <v>0</v>
      </c>
    </row>
    <row r="868" spans="1:12" x14ac:dyDescent="0.3">
      <c r="A868" t="str">
        <f>'Raw Orders'!A868</f>
        <v>NX-00864</v>
      </c>
      <c r="B868" t="str">
        <f>'Raw Orders'!B868</f>
        <v>North America</v>
      </c>
      <c r="C868" t="str">
        <f>'Raw Orders'!C868</f>
        <v>US / Canada</v>
      </c>
      <c r="D868" s="11">
        <f>'Raw Orders'!E868</f>
        <v>53.4</v>
      </c>
      <c r="E868" s="12">
        <f>'Raw Orders'!F868</f>
        <v>4432200</v>
      </c>
      <c r="F868" s="12">
        <f>'Raw Orders'!F868*0.75</f>
        <v>3324150</v>
      </c>
      <c r="G868" s="10">
        <f>'Raw Orders'!H868</f>
        <v>46266</v>
      </c>
      <c r="H868" s="10">
        <f>'Raw Orders'!I868</f>
        <v>46266</v>
      </c>
      <c r="I868" s="11">
        <f>'Raw Orders'!K868</f>
        <v>0</v>
      </c>
      <c r="J868" s="11">
        <f>IF('Raw Orders'!J868,"",(YEAR('Raw Orders'!I868)-YEAR('Raw Orders'!H868))*12+MONTH('Raw Orders'!I868)-MONTH('Raw Orders'!H868))</f>
        <v>0</v>
      </c>
      <c r="K868" t="str">
        <f>IF('Raw Orders'!J868,"Cancelled",IF('Raw Orders'!K868&gt;=2,"Slipped","On plan"))</f>
        <v>On plan</v>
      </c>
      <c r="L868" s="12">
        <f t="shared" si="13"/>
        <v>0</v>
      </c>
    </row>
    <row r="869" spans="1:12" x14ac:dyDescent="0.3">
      <c r="A869" t="str">
        <f>'Raw Orders'!A869</f>
        <v>NX-00865</v>
      </c>
      <c r="B869" t="str">
        <f>'Raw Orders'!B869</f>
        <v>North America</v>
      </c>
      <c r="C869" t="str">
        <f>'Raw Orders'!C869</f>
        <v>US / Canada</v>
      </c>
      <c r="D869" s="11">
        <f>'Raw Orders'!E869</f>
        <v>14.2</v>
      </c>
      <c r="E869" s="12">
        <f>'Raw Orders'!F869</f>
        <v>1178600</v>
      </c>
      <c r="F869" s="12">
        <f>'Raw Orders'!F869*0.75</f>
        <v>883950</v>
      </c>
      <c r="G869" s="10">
        <f>'Raw Orders'!H869</f>
        <v>46143</v>
      </c>
      <c r="H869" s="10">
        <f>'Raw Orders'!I869</f>
        <v>46143</v>
      </c>
      <c r="I869" s="11">
        <f>'Raw Orders'!K869</f>
        <v>0.23</v>
      </c>
      <c r="J869" s="11">
        <f>IF('Raw Orders'!J869,"",(YEAR('Raw Orders'!I869)-YEAR('Raw Orders'!H869))*12+MONTH('Raw Orders'!I869)-MONTH('Raw Orders'!H869))</f>
        <v>0</v>
      </c>
      <c r="K869" t="str">
        <f>IF('Raw Orders'!J869,"Cancelled",IF('Raw Orders'!K869&gt;=2,"Slipped","On plan"))</f>
        <v>On plan</v>
      </c>
      <c r="L869" s="12">
        <f t="shared" si="13"/>
        <v>0</v>
      </c>
    </row>
    <row r="870" spans="1:12" x14ac:dyDescent="0.3">
      <c r="A870" t="str">
        <f>'Raw Orders'!A870</f>
        <v>NX-00866</v>
      </c>
      <c r="B870" t="str">
        <f>'Raw Orders'!B870</f>
        <v>North America</v>
      </c>
      <c r="C870" t="str">
        <f>'Raw Orders'!C870</f>
        <v>US / Canada</v>
      </c>
      <c r="D870" s="11">
        <f>'Raw Orders'!E870</f>
        <v>23.9</v>
      </c>
      <c r="E870" s="12">
        <f>'Raw Orders'!F870</f>
        <v>1983700</v>
      </c>
      <c r="F870" s="12">
        <f>'Raw Orders'!F870*0.75</f>
        <v>1487775</v>
      </c>
      <c r="G870" s="10">
        <f>'Raw Orders'!H870</f>
        <v>46296</v>
      </c>
      <c r="H870" s="10">
        <f>'Raw Orders'!I870</f>
        <v>46296</v>
      </c>
      <c r="I870" s="11">
        <f>'Raw Orders'!K870</f>
        <v>0</v>
      </c>
      <c r="J870" s="11">
        <f>IF('Raw Orders'!J870,"",(YEAR('Raw Orders'!I870)-YEAR('Raw Orders'!H870))*12+MONTH('Raw Orders'!I870)-MONTH('Raw Orders'!H870))</f>
        <v>0</v>
      </c>
      <c r="K870" t="str">
        <f>IF('Raw Orders'!J870,"Cancelled",IF('Raw Orders'!K870&gt;=2,"Slipped","On plan"))</f>
        <v>On plan</v>
      </c>
      <c r="L870" s="12">
        <f t="shared" si="13"/>
        <v>0</v>
      </c>
    </row>
    <row r="871" spans="1:12" x14ac:dyDescent="0.3">
      <c r="A871" t="str">
        <f>'Raw Orders'!A871</f>
        <v>NX-00867</v>
      </c>
      <c r="B871" t="str">
        <f>'Raw Orders'!B871</f>
        <v>North America</v>
      </c>
      <c r="C871" t="str">
        <f>'Raw Orders'!C871</f>
        <v>US / Canada</v>
      </c>
      <c r="D871" s="11">
        <f>'Raw Orders'!E871</f>
        <v>10.4</v>
      </c>
      <c r="E871" s="12">
        <f>'Raw Orders'!F871</f>
        <v>863200</v>
      </c>
      <c r="F871" s="12">
        <f>'Raw Orders'!F871*0.75</f>
        <v>647400</v>
      </c>
      <c r="G871" s="10">
        <f>'Raw Orders'!H871</f>
        <v>46296</v>
      </c>
      <c r="H871" s="10">
        <f>'Raw Orders'!I871</f>
        <v>46296</v>
      </c>
      <c r="I871" s="11">
        <f>'Raw Orders'!K871</f>
        <v>0.03</v>
      </c>
      <c r="J871" s="11">
        <f>IF('Raw Orders'!J871,"",(YEAR('Raw Orders'!I871)-YEAR('Raw Orders'!H871))*12+MONTH('Raw Orders'!I871)-MONTH('Raw Orders'!H871))</f>
        <v>0</v>
      </c>
      <c r="K871" t="str">
        <f>IF('Raw Orders'!J871,"Cancelled",IF('Raw Orders'!K871&gt;=2,"Slipped","On plan"))</f>
        <v>On plan</v>
      </c>
      <c r="L871" s="12">
        <f t="shared" si="13"/>
        <v>0</v>
      </c>
    </row>
    <row r="872" spans="1:12" x14ac:dyDescent="0.3">
      <c r="A872" t="str">
        <f>'Raw Orders'!A872</f>
        <v>NX-00868</v>
      </c>
      <c r="B872" t="str">
        <f>'Raw Orders'!B872</f>
        <v>North America</v>
      </c>
      <c r="C872" t="str">
        <f>'Raw Orders'!C872</f>
        <v>US / Canada</v>
      </c>
      <c r="D872" s="11">
        <f>'Raw Orders'!E872</f>
        <v>23.8</v>
      </c>
      <c r="E872" s="12">
        <f>'Raw Orders'!F872</f>
        <v>1975400</v>
      </c>
      <c r="F872" s="12">
        <f>'Raw Orders'!F872*0.75</f>
        <v>1481550</v>
      </c>
      <c r="G872" s="10">
        <f>'Raw Orders'!H872</f>
        <v>46235</v>
      </c>
      <c r="H872" s="10">
        <f>'Raw Orders'!I872</f>
        <v>46235</v>
      </c>
      <c r="I872" s="11">
        <f>'Raw Orders'!K872</f>
        <v>0.14000000000000001</v>
      </c>
      <c r="J872" s="11">
        <f>IF('Raw Orders'!J872,"",(YEAR('Raw Orders'!I872)-YEAR('Raw Orders'!H872))*12+MONTH('Raw Orders'!I872)-MONTH('Raw Orders'!H872))</f>
        <v>0</v>
      </c>
      <c r="K872" t="str">
        <f>IF('Raw Orders'!J872,"Cancelled",IF('Raw Orders'!K872&gt;=2,"Slipped","On plan"))</f>
        <v>On plan</v>
      </c>
      <c r="L872" s="12">
        <f t="shared" si="13"/>
        <v>0</v>
      </c>
    </row>
    <row r="873" spans="1:12" x14ac:dyDescent="0.3">
      <c r="A873" t="str">
        <f>'Raw Orders'!A873</f>
        <v>NX-00869</v>
      </c>
      <c r="B873" t="str">
        <f>'Raw Orders'!B873</f>
        <v>North America</v>
      </c>
      <c r="C873" t="str">
        <f>'Raw Orders'!C873</f>
        <v>US / Canada</v>
      </c>
      <c r="D873" s="11">
        <f>'Raw Orders'!E873</f>
        <v>16.899999999999999</v>
      </c>
      <c r="E873" s="12">
        <f>'Raw Orders'!F873</f>
        <v>1402700</v>
      </c>
      <c r="F873" s="12">
        <f>'Raw Orders'!F873*0.75</f>
        <v>1052025</v>
      </c>
      <c r="G873" s="10">
        <f>'Raw Orders'!H873</f>
        <v>46143</v>
      </c>
      <c r="H873" s="10">
        <f>'Raw Orders'!I873</f>
        <v>46143</v>
      </c>
      <c r="I873" s="11">
        <f>'Raw Orders'!K873</f>
        <v>0.01</v>
      </c>
      <c r="J873" s="11">
        <f>IF('Raw Orders'!J873,"",(YEAR('Raw Orders'!I873)-YEAR('Raw Orders'!H873))*12+MONTH('Raw Orders'!I873)-MONTH('Raw Orders'!H873))</f>
        <v>0</v>
      </c>
      <c r="K873" t="str">
        <f>IF('Raw Orders'!J873,"Cancelled",IF('Raw Orders'!K873&gt;=2,"Slipped","On plan"))</f>
        <v>On plan</v>
      </c>
      <c r="L873" s="12">
        <f t="shared" si="13"/>
        <v>0</v>
      </c>
    </row>
    <row r="874" spans="1:12" x14ac:dyDescent="0.3">
      <c r="A874" t="str">
        <f>'Raw Orders'!A874</f>
        <v>NX-00870</v>
      </c>
      <c r="B874" t="str">
        <f>'Raw Orders'!B874</f>
        <v>North America</v>
      </c>
      <c r="C874" t="str">
        <f>'Raw Orders'!C874</f>
        <v>US / Canada</v>
      </c>
      <c r="D874" s="11">
        <f>'Raw Orders'!E874</f>
        <v>7.5</v>
      </c>
      <c r="E874" s="12">
        <f>'Raw Orders'!F874</f>
        <v>622500</v>
      </c>
      <c r="F874" s="12">
        <f>'Raw Orders'!F874*0.75</f>
        <v>466875</v>
      </c>
      <c r="G874" s="10">
        <f>'Raw Orders'!H874</f>
        <v>46143</v>
      </c>
      <c r="H874" s="10">
        <f>'Raw Orders'!I874</f>
        <v>46143</v>
      </c>
      <c r="I874" s="11">
        <f>'Raw Orders'!K874</f>
        <v>0.32</v>
      </c>
      <c r="J874" s="11">
        <f>IF('Raw Orders'!J874,"",(YEAR('Raw Orders'!I874)-YEAR('Raw Orders'!H874))*12+MONTH('Raw Orders'!I874)-MONTH('Raw Orders'!H874))</f>
        <v>0</v>
      </c>
      <c r="K874" t="str">
        <f>IF('Raw Orders'!J874,"Cancelled",IF('Raw Orders'!K874&gt;=2,"Slipped","On plan"))</f>
        <v>On plan</v>
      </c>
      <c r="L874" s="12">
        <f t="shared" si="13"/>
        <v>0</v>
      </c>
    </row>
    <row r="875" spans="1:12" x14ac:dyDescent="0.3">
      <c r="A875" t="str">
        <f>'Raw Orders'!A875</f>
        <v>NX-00871</v>
      </c>
      <c r="B875" t="str">
        <f>'Raw Orders'!B875</f>
        <v>North America</v>
      </c>
      <c r="C875" t="str">
        <f>'Raw Orders'!C875</f>
        <v>US / Canada</v>
      </c>
      <c r="D875" s="11">
        <f>'Raw Orders'!E875</f>
        <v>40.4</v>
      </c>
      <c r="E875" s="12">
        <f>'Raw Orders'!F875</f>
        <v>3353200</v>
      </c>
      <c r="F875" s="12">
        <f>'Raw Orders'!F875*0.75</f>
        <v>2514900</v>
      </c>
      <c r="G875" s="10">
        <f>'Raw Orders'!H875</f>
        <v>46143</v>
      </c>
      <c r="H875" s="10">
        <f>'Raw Orders'!I875</f>
        <v>46174</v>
      </c>
      <c r="I875" s="11">
        <f>'Raw Orders'!K875</f>
        <v>0.54</v>
      </c>
      <c r="J875" s="11">
        <f>IF('Raw Orders'!J875,"",(YEAR('Raw Orders'!I875)-YEAR('Raw Orders'!H875))*12+MONTH('Raw Orders'!I875)-MONTH('Raw Orders'!H875))</f>
        <v>1</v>
      </c>
      <c r="K875" t="str">
        <f>IF('Raw Orders'!J875,"Cancelled",IF('Raw Orders'!K875&gt;=2,"Slipped","On plan"))</f>
        <v>On plan</v>
      </c>
      <c r="L875" s="12">
        <f t="shared" si="13"/>
        <v>0</v>
      </c>
    </row>
    <row r="876" spans="1:12" x14ac:dyDescent="0.3">
      <c r="A876" t="str">
        <f>'Raw Orders'!A876</f>
        <v>NX-00872</v>
      </c>
      <c r="B876" t="str">
        <f>'Raw Orders'!B876</f>
        <v>North America</v>
      </c>
      <c r="C876" t="str">
        <f>'Raw Orders'!C876</f>
        <v>US / Canada</v>
      </c>
      <c r="D876" s="11">
        <f>'Raw Orders'!E876</f>
        <v>13.4</v>
      </c>
      <c r="E876" s="12">
        <f>'Raw Orders'!F876</f>
        <v>1112200</v>
      </c>
      <c r="F876" s="12">
        <f>'Raw Orders'!F876*0.75</f>
        <v>834150</v>
      </c>
      <c r="G876" s="10">
        <f>'Raw Orders'!H876</f>
        <v>46143</v>
      </c>
      <c r="H876" s="10">
        <f>'Raw Orders'!I876</f>
        <v>46174</v>
      </c>
      <c r="I876" s="11">
        <f>'Raw Orders'!K876</f>
        <v>0.6</v>
      </c>
      <c r="J876" s="11">
        <f>IF('Raw Orders'!J876,"",(YEAR('Raw Orders'!I876)-YEAR('Raw Orders'!H876))*12+MONTH('Raw Orders'!I876)-MONTH('Raw Orders'!H876))</f>
        <v>1</v>
      </c>
      <c r="K876" t="str">
        <f>IF('Raw Orders'!J876,"Cancelled",IF('Raw Orders'!K876&gt;=2,"Slipped","On plan"))</f>
        <v>On plan</v>
      </c>
      <c r="L876" s="12">
        <f t="shared" si="13"/>
        <v>0</v>
      </c>
    </row>
    <row r="877" spans="1:12" x14ac:dyDescent="0.3">
      <c r="A877" t="str">
        <f>'Raw Orders'!A877</f>
        <v>NX-00873</v>
      </c>
      <c r="B877" t="str">
        <f>'Raw Orders'!B877</f>
        <v>North America</v>
      </c>
      <c r="C877" t="str">
        <f>'Raw Orders'!C877</f>
        <v>US / Canada</v>
      </c>
      <c r="D877" s="11">
        <f>'Raw Orders'!E877</f>
        <v>17.7</v>
      </c>
      <c r="E877" s="12">
        <f>'Raw Orders'!F877</f>
        <v>1469100</v>
      </c>
      <c r="F877" s="12">
        <f>'Raw Orders'!F877*0.75</f>
        <v>1101825</v>
      </c>
      <c r="G877" s="10">
        <f>'Raw Orders'!H877</f>
        <v>46204</v>
      </c>
      <c r="H877" s="10">
        <f>'Raw Orders'!I877</f>
        <v>46204</v>
      </c>
      <c r="I877" s="11">
        <f>'Raw Orders'!K877</f>
        <v>0</v>
      </c>
      <c r="J877" s="11">
        <f>IF('Raw Orders'!J877,"",(YEAR('Raw Orders'!I877)-YEAR('Raw Orders'!H877))*12+MONTH('Raw Orders'!I877)-MONTH('Raw Orders'!H877))</f>
        <v>0</v>
      </c>
      <c r="K877" t="str">
        <f>IF('Raw Orders'!J877,"Cancelled",IF('Raw Orders'!K877&gt;=2,"Slipped","On plan"))</f>
        <v>On plan</v>
      </c>
      <c r="L877" s="12">
        <f t="shared" si="13"/>
        <v>0</v>
      </c>
    </row>
    <row r="878" spans="1:12" x14ac:dyDescent="0.3">
      <c r="A878" t="str">
        <f>'Raw Orders'!A878</f>
        <v>NX-00874</v>
      </c>
      <c r="B878" t="str">
        <f>'Raw Orders'!B878</f>
        <v>North America</v>
      </c>
      <c r="C878" t="str">
        <f>'Raw Orders'!C878</f>
        <v>US / Canada</v>
      </c>
      <c r="D878" s="11">
        <f>'Raw Orders'!E878</f>
        <v>31</v>
      </c>
      <c r="E878" s="12">
        <f>'Raw Orders'!F878</f>
        <v>2573000</v>
      </c>
      <c r="F878" s="12">
        <f>'Raw Orders'!F878*0.75</f>
        <v>1929750</v>
      </c>
      <c r="G878" s="10">
        <f>'Raw Orders'!H878</f>
        <v>46296</v>
      </c>
      <c r="H878" s="10">
        <f>'Raw Orders'!I878</f>
        <v>46296</v>
      </c>
      <c r="I878" s="11">
        <f>'Raw Orders'!K878</f>
        <v>0.01</v>
      </c>
      <c r="J878" s="11">
        <f>IF('Raw Orders'!J878,"",(YEAR('Raw Orders'!I878)-YEAR('Raw Orders'!H878))*12+MONTH('Raw Orders'!I878)-MONTH('Raw Orders'!H878))</f>
        <v>0</v>
      </c>
      <c r="K878" t="str">
        <f>IF('Raw Orders'!J878,"Cancelled",IF('Raw Orders'!K878&gt;=2,"Slipped","On plan"))</f>
        <v>On plan</v>
      </c>
      <c r="L878" s="12">
        <f t="shared" si="13"/>
        <v>0</v>
      </c>
    </row>
    <row r="879" spans="1:12" x14ac:dyDescent="0.3">
      <c r="A879" t="str">
        <f>'Raw Orders'!A879</f>
        <v>NX-00875</v>
      </c>
      <c r="B879" t="str">
        <f>'Raw Orders'!B879</f>
        <v>North America</v>
      </c>
      <c r="C879" t="str">
        <f>'Raw Orders'!C879</f>
        <v>US / Canada</v>
      </c>
      <c r="D879" s="11">
        <f>'Raw Orders'!E879</f>
        <v>3.7</v>
      </c>
      <c r="E879" s="12">
        <f>'Raw Orders'!F879</f>
        <v>307100</v>
      </c>
      <c r="F879" s="12">
        <f>'Raw Orders'!F879*0.75</f>
        <v>230325</v>
      </c>
      <c r="G879" s="10">
        <f>'Raw Orders'!H879</f>
        <v>46327</v>
      </c>
      <c r="H879" s="10">
        <f>'Raw Orders'!I879</f>
        <v>46327</v>
      </c>
      <c r="I879" s="11">
        <f>'Raw Orders'!K879</f>
        <v>0</v>
      </c>
      <c r="J879" s="11">
        <f>IF('Raw Orders'!J879,"",(YEAR('Raw Orders'!I879)-YEAR('Raw Orders'!H879))*12+MONTH('Raw Orders'!I879)-MONTH('Raw Orders'!H879))</f>
        <v>0</v>
      </c>
      <c r="K879" t="str">
        <f>IF('Raw Orders'!J879,"Cancelled",IF('Raw Orders'!K879&gt;=2,"Slipped","On plan"))</f>
        <v>On plan</v>
      </c>
      <c r="L879" s="12">
        <f t="shared" si="13"/>
        <v>0</v>
      </c>
    </row>
    <row r="880" spans="1:12" x14ac:dyDescent="0.3">
      <c r="A880" t="str">
        <f>'Raw Orders'!A880</f>
        <v>NX-00876</v>
      </c>
      <c r="B880" t="str">
        <f>'Raw Orders'!B880</f>
        <v>North America</v>
      </c>
      <c r="C880" t="str">
        <f>'Raw Orders'!C880</f>
        <v>US / Canada</v>
      </c>
      <c r="D880" s="11">
        <f>'Raw Orders'!E880</f>
        <v>16</v>
      </c>
      <c r="E880" s="12">
        <f>'Raw Orders'!F880</f>
        <v>1328000</v>
      </c>
      <c r="F880" s="12">
        <f>'Raw Orders'!F880*0.75</f>
        <v>996000</v>
      </c>
      <c r="G880" s="10">
        <f>'Raw Orders'!H880</f>
        <v>46235</v>
      </c>
      <c r="H880" s="10">
        <f>'Raw Orders'!I880</f>
        <v>46266</v>
      </c>
      <c r="I880" s="11">
        <f>'Raw Orders'!K880</f>
        <v>1.22</v>
      </c>
      <c r="J880" s="11">
        <f>IF('Raw Orders'!J880,"",(YEAR('Raw Orders'!I880)-YEAR('Raw Orders'!H880))*12+MONTH('Raw Orders'!I880)-MONTH('Raw Orders'!H880))</f>
        <v>1</v>
      </c>
      <c r="K880" t="str">
        <f>IF('Raw Orders'!J880,"Cancelled",IF('Raw Orders'!K880&gt;=2,"Slipped","On plan"))</f>
        <v>On plan</v>
      </c>
      <c r="L880" s="12">
        <f t="shared" si="13"/>
        <v>0</v>
      </c>
    </row>
    <row r="881" spans="1:12" x14ac:dyDescent="0.3">
      <c r="A881" t="str">
        <f>'Raw Orders'!A881</f>
        <v>NX-00877</v>
      </c>
      <c r="B881" t="str">
        <f>'Raw Orders'!B881</f>
        <v>North America</v>
      </c>
      <c r="C881" t="str">
        <f>'Raw Orders'!C881</f>
        <v>US / Canada</v>
      </c>
      <c r="D881" s="11">
        <f>'Raw Orders'!E881</f>
        <v>31.5</v>
      </c>
      <c r="E881" s="12">
        <f>'Raw Orders'!F881</f>
        <v>2614500</v>
      </c>
      <c r="F881" s="12">
        <f>'Raw Orders'!F881*0.75</f>
        <v>1960875</v>
      </c>
      <c r="G881" s="10">
        <f>'Raw Orders'!H881</f>
        <v>46266</v>
      </c>
      <c r="H881" s="10">
        <f>'Raw Orders'!I881</f>
        <v>46266</v>
      </c>
      <c r="I881" s="11">
        <f>'Raw Orders'!K881</f>
        <v>0</v>
      </c>
      <c r="J881" s="11">
        <f>IF('Raw Orders'!J881,"",(YEAR('Raw Orders'!I881)-YEAR('Raw Orders'!H881))*12+MONTH('Raw Orders'!I881)-MONTH('Raw Orders'!H881))</f>
        <v>0</v>
      </c>
      <c r="K881" t="str">
        <f>IF('Raw Orders'!J881,"Cancelled",IF('Raw Orders'!K881&gt;=2,"Slipped","On plan"))</f>
        <v>On plan</v>
      </c>
      <c r="L881" s="12">
        <f t="shared" si="13"/>
        <v>0</v>
      </c>
    </row>
    <row r="882" spans="1:12" x14ac:dyDescent="0.3">
      <c r="A882" t="str">
        <f>'Raw Orders'!A882</f>
        <v>NX-00878</v>
      </c>
      <c r="B882" t="str">
        <f>'Raw Orders'!B882</f>
        <v>North America</v>
      </c>
      <c r="C882" t="str">
        <f>'Raw Orders'!C882</f>
        <v>US / Canada</v>
      </c>
      <c r="D882" s="11">
        <f>'Raw Orders'!E882</f>
        <v>52.9</v>
      </c>
      <c r="E882" s="12">
        <f>'Raw Orders'!F882</f>
        <v>4390700</v>
      </c>
      <c r="F882" s="12">
        <f>'Raw Orders'!F882*0.75</f>
        <v>3293025</v>
      </c>
      <c r="G882" s="10">
        <f>'Raw Orders'!H882</f>
        <v>46327</v>
      </c>
      <c r="H882" s="10">
        <f>'Raw Orders'!I882</f>
        <v>46327</v>
      </c>
      <c r="I882" s="11">
        <f>'Raw Orders'!K882</f>
        <v>0.12</v>
      </c>
      <c r="J882" s="11">
        <f>IF('Raw Orders'!J882,"",(YEAR('Raw Orders'!I882)-YEAR('Raw Orders'!H882))*12+MONTH('Raw Orders'!I882)-MONTH('Raw Orders'!H882))</f>
        <v>0</v>
      </c>
      <c r="K882" t="str">
        <f>IF('Raw Orders'!J882,"Cancelled",IF('Raw Orders'!K882&gt;=2,"Slipped","On plan"))</f>
        <v>On plan</v>
      </c>
      <c r="L882" s="12">
        <f t="shared" si="13"/>
        <v>0</v>
      </c>
    </row>
    <row r="883" spans="1:12" x14ac:dyDescent="0.3">
      <c r="A883" t="str">
        <f>'Raw Orders'!A883</f>
        <v>NX-00879</v>
      </c>
      <c r="B883" t="str">
        <f>'Raw Orders'!B883</f>
        <v>North America</v>
      </c>
      <c r="C883" t="str">
        <f>'Raw Orders'!C883</f>
        <v>US / Canada</v>
      </c>
      <c r="D883" s="11">
        <f>'Raw Orders'!E883</f>
        <v>2.2999999999999998</v>
      </c>
      <c r="E883" s="12">
        <f>'Raw Orders'!F883</f>
        <v>190900</v>
      </c>
      <c r="F883" s="12">
        <f>'Raw Orders'!F883*0.75</f>
        <v>143175</v>
      </c>
      <c r="G883" s="10">
        <f>'Raw Orders'!H883</f>
        <v>46143</v>
      </c>
      <c r="H883" s="10">
        <f>'Raw Orders'!I883</f>
        <v>46143</v>
      </c>
      <c r="I883" s="11">
        <f>'Raw Orders'!K883</f>
        <v>0</v>
      </c>
      <c r="J883" s="11">
        <f>IF('Raw Orders'!J883,"",(YEAR('Raw Orders'!I883)-YEAR('Raw Orders'!H883))*12+MONTH('Raw Orders'!I883)-MONTH('Raw Orders'!H883))</f>
        <v>0</v>
      </c>
      <c r="K883" t="str">
        <f>IF('Raw Orders'!J883,"Cancelled",IF('Raw Orders'!K883&gt;=2,"Slipped","On plan"))</f>
        <v>On plan</v>
      </c>
      <c r="L883" s="12">
        <f t="shared" si="13"/>
        <v>0</v>
      </c>
    </row>
    <row r="884" spans="1:12" x14ac:dyDescent="0.3">
      <c r="A884" t="str">
        <f>'Raw Orders'!A884</f>
        <v>NX-00880</v>
      </c>
      <c r="B884" t="str">
        <f>'Raw Orders'!B884</f>
        <v>North America</v>
      </c>
      <c r="C884" t="str">
        <f>'Raw Orders'!C884</f>
        <v>US / Canada</v>
      </c>
      <c r="D884" s="11">
        <f>'Raw Orders'!E884</f>
        <v>35.700000000000003</v>
      </c>
      <c r="E884" s="12">
        <f>'Raw Orders'!F884</f>
        <v>2963100</v>
      </c>
      <c r="F884" s="12">
        <f>'Raw Orders'!F884*0.75</f>
        <v>2222325</v>
      </c>
      <c r="G884" s="10">
        <f>'Raw Orders'!H884</f>
        <v>46296</v>
      </c>
      <c r="H884" s="10">
        <f>'Raw Orders'!I884</f>
        <v>46296</v>
      </c>
      <c r="I884" s="11">
        <f>'Raw Orders'!K884</f>
        <v>0</v>
      </c>
      <c r="J884" s="11">
        <f>IF('Raw Orders'!J884,"",(YEAR('Raw Orders'!I884)-YEAR('Raw Orders'!H884))*12+MONTH('Raw Orders'!I884)-MONTH('Raw Orders'!H884))</f>
        <v>0</v>
      </c>
      <c r="K884" t="str">
        <f>IF('Raw Orders'!J884,"Cancelled",IF('Raw Orders'!K884&gt;=2,"Slipped","On plan"))</f>
        <v>On plan</v>
      </c>
      <c r="L884" s="12">
        <f t="shared" si="13"/>
        <v>0</v>
      </c>
    </row>
    <row r="885" spans="1:12" x14ac:dyDescent="0.3">
      <c r="A885" t="str">
        <f>'Raw Orders'!A885</f>
        <v>NX-00881</v>
      </c>
      <c r="B885" t="str">
        <f>'Raw Orders'!B885</f>
        <v>North America</v>
      </c>
      <c r="C885" t="str">
        <f>'Raw Orders'!C885</f>
        <v>US / Canada</v>
      </c>
      <c r="D885" s="11">
        <f>'Raw Orders'!E885</f>
        <v>19.2</v>
      </c>
      <c r="E885" s="12">
        <f>'Raw Orders'!F885</f>
        <v>1593600</v>
      </c>
      <c r="F885" s="12">
        <f>'Raw Orders'!F885*0.75</f>
        <v>1195200</v>
      </c>
      <c r="G885" s="10">
        <f>'Raw Orders'!H885</f>
        <v>46204</v>
      </c>
      <c r="H885" s="10">
        <f>'Raw Orders'!I885</f>
        <v>46204</v>
      </c>
      <c r="I885" s="11">
        <f>'Raw Orders'!K885</f>
        <v>0.03</v>
      </c>
      <c r="J885" s="11">
        <f>IF('Raw Orders'!J885,"",(YEAR('Raw Orders'!I885)-YEAR('Raw Orders'!H885))*12+MONTH('Raw Orders'!I885)-MONTH('Raw Orders'!H885))</f>
        <v>0</v>
      </c>
      <c r="K885" t="str">
        <f>IF('Raw Orders'!J885,"Cancelled",IF('Raw Orders'!K885&gt;=2,"Slipped","On plan"))</f>
        <v>On plan</v>
      </c>
      <c r="L885" s="12">
        <f t="shared" si="13"/>
        <v>0</v>
      </c>
    </row>
    <row r="886" spans="1:12" x14ac:dyDescent="0.3">
      <c r="A886" t="str">
        <f>'Raw Orders'!A886</f>
        <v>NX-00882</v>
      </c>
      <c r="B886" t="str">
        <f>'Raw Orders'!B886</f>
        <v>North America</v>
      </c>
      <c r="C886" t="str">
        <f>'Raw Orders'!C886</f>
        <v>US / Canada</v>
      </c>
      <c r="D886" s="11">
        <f>'Raw Orders'!E886</f>
        <v>18.100000000000001</v>
      </c>
      <c r="E886" s="12">
        <f>'Raw Orders'!F886</f>
        <v>1502300</v>
      </c>
      <c r="F886" s="12">
        <f>'Raw Orders'!F886*0.75</f>
        <v>1126725</v>
      </c>
      <c r="G886" s="10">
        <f>'Raw Orders'!H886</f>
        <v>46174</v>
      </c>
      <c r="H886" s="10">
        <f>'Raw Orders'!I886</f>
        <v>46174</v>
      </c>
      <c r="I886" s="11">
        <f>'Raw Orders'!K886</f>
        <v>0.03</v>
      </c>
      <c r="J886" s="11">
        <f>IF('Raw Orders'!J886,"",(YEAR('Raw Orders'!I886)-YEAR('Raw Orders'!H886))*12+MONTH('Raw Orders'!I886)-MONTH('Raw Orders'!H886))</f>
        <v>0</v>
      </c>
      <c r="K886" t="str">
        <f>IF('Raw Orders'!J886,"Cancelled",IF('Raw Orders'!K886&gt;=2,"Slipped","On plan"))</f>
        <v>On plan</v>
      </c>
      <c r="L886" s="12">
        <f t="shared" si="13"/>
        <v>0</v>
      </c>
    </row>
    <row r="887" spans="1:12" x14ac:dyDescent="0.3">
      <c r="A887" t="str">
        <f>'Raw Orders'!A887</f>
        <v>NX-00883</v>
      </c>
      <c r="B887" t="str">
        <f>'Raw Orders'!B887</f>
        <v>North America</v>
      </c>
      <c r="C887" t="str">
        <f>'Raw Orders'!C887</f>
        <v>US / Canada</v>
      </c>
      <c r="D887" s="11">
        <f>'Raw Orders'!E887</f>
        <v>12.5</v>
      </c>
      <c r="E887" s="12">
        <f>'Raw Orders'!F887</f>
        <v>1037500</v>
      </c>
      <c r="F887" s="12">
        <f>'Raw Orders'!F887*0.75</f>
        <v>778125</v>
      </c>
      <c r="G887" s="10">
        <f>'Raw Orders'!H887</f>
        <v>46235</v>
      </c>
      <c r="H887" s="10">
        <f>'Raw Orders'!I887</f>
        <v>46235</v>
      </c>
      <c r="I887" s="11">
        <f>'Raw Orders'!K887</f>
        <v>0.03</v>
      </c>
      <c r="J887" s="11">
        <f>IF('Raw Orders'!J887,"",(YEAR('Raw Orders'!I887)-YEAR('Raw Orders'!H887))*12+MONTH('Raw Orders'!I887)-MONTH('Raw Orders'!H887))</f>
        <v>0</v>
      </c>
      <c r="K887" t="str">
        <f>IF('Raw Orders'!J887,"Cancelled",IF('Raw Orders'!K887&gt;=2,"Slipped","On plan"))</f>
        <v>On plan</v>
      </c>
      <c r="L887" s="12">
        <f t="shared" si="13"/>
        <v>0</v>
      </c>
    </row>
    <row r="888" spans="1:12" x14ac:dyDescent="0.3">
      <c r="A888" t="str">
        <f>'Raw Orders'!A888</f>
        <v>NX-00884</v>
      </c>
      <c r="B888" t="str">
        <f>'Raw Orders'!B888</f>
        <v>EMEA</v>
      </c>
      <c r="C888" t="str">
        <f>'Raw Orders'!C888</f>
        <v>Europe</v>
      </c>
      <c r="D888" s="11">
        <f>'Raw Orders'!E888</f>
        <v>19.5</v>
      </c>
      <c r="E888" s="12">
        <f>'Raw Orders'!F888</f>
        <v>1716000</v>
      </c>
      <c r="F888" s="12">
        <f>'Raw Orders'!F888*0.75</f>
        <v>1287000</v>
      </c>
      <c r="G888" s="10">
        <f>'Raw Orders'!H888</f>
        <v>46266</v>
      </c>
      <c r="H888" s="10">
        <f>'Raw Orders'!I888</f>
        <v>46266</v>
      </c>
      <c r="I888" s="11">
        <f>'Raw Orders'!K888</f>
        <v>0.01</v>
      </c>
      <c r="J888" s="11">
        <f>IF('Raw Orders'!J888,"",(YEAR('Raw Orders'!I888)-YEAR('Raw Orders'!H888))*12+MONTH('Raw Orders'!I888)-MONTH('Raw Orders'!H888))</f>
        <v>0</v>
      </c>
      <c r="K888" t="str">
        <f>IF('Raw Orders'!J888,"Cancelled",IF('Raw Orders'!K888&gt;=2,"Slipped","On plan"))</f>
        <v>On plan</v>
      </c>
      <c r="L888" s="12">
        <f t="shared" si="13"/>
        <v>0</v>
      </c>
    </row>
    <row r="889" spans="1:12" x14ac:dyDescent="0.3">
      <c r="A889" t="str">
        <f>'Raw Orders'!A889</f>
        <v>NX-00885</v>
      </c>
      <c r="B889" t="str">
        <f>'Raw Orders'!B889</f>
        <v>EMEA</v>
      </c>
      <c r="C889" t="str">
        <f>'Raw Orders'!C889</f>
        <v>Europe</v>
      </c>
      <c r="D889" s="11">
        <f>'Raw Orders'!E889</f>
        <v>32.5</v>
      </c>
      <c r="E889" s="12">
        <f>'Raw Orders'!F889</f>
        <v>2860000</v>
      </c>
      <c r="F889" s="12">
        <f>'Raw Orders'!F889*0.75</f>
        <v>2145000</v>
      </c>
      <c r="G889" s="10">
        <f>'Raw Orders'!H889</f>
        <v>46235</v>
      </c>
      <c r="H889" s="10">
        <f>'Raw Orders'!I889</f>
        <v>46235</v>
      </c>
      <c r="I889" s="11">
        <f>'Raw Orders'!K889</f>
        <v>0.41</v>
      </c>
      <c r="J889" s="11">
        <f>IF('Raw Orders'!J889,"",(YEAR('Raw Orders'!I889)-YEAR('Raw Orders'!H889))*12+MONTH('Raw Orders'!I889)-MONTH('Raw Orders'!H889))</f>
        <v>0</v>
      </c>
      <c r="K889" t="str">
        <f>IF('Raw Orders'!J889,"Cancelled",IF('Raw Orders'!K889&gt;=2,"Slipped","On plan"))</f>
        <v>On plan</v>
      </c>
      <c r="L889" s="12">
        <f t="shared" si="13"/>
        <v>0</v>
      </c>
    </row>
    <row r="890" spans="1:12" x14ac:dyDescent="0.3">
      <c r="A890" t="str">
        <f>'Raw Orders'!A890</f>
        <v>NX-00886</v>
      </c>
      <c r="B890" t="str">
        <f>'Raw Orders'!B890</f>
        <v>EMEA</v>
      </c>
      <c r="C890" t="str">
        <f>'Raw Orders'!C890</f>
        <v>Europe</v>
      </c>
      <c r="D890" s="11">
        <f>'Raw Orders'!E890</f>
        <v>5.7</v>
      </c>
      <c r="E890" s="12">
        <f>'Raw Orders'!F890</f>
        <v>501600</v>
      </c>
      <c r="F890" s="12">
        <f>'Raw Orders'!F890*0.75</f>
        <v>376200</v>
      </c>
      <c r="G890" s="10">
        <f>'Raw Orders'!H890</f>
        <v>46327</v>
      </c>
      <c r="H890" s="10">
        <f>'Raw Orders'!I890</f>
        <v>46327</v>
      </c>
      <c r="I890" s="11">
        <f>'Raw Orders'!K890</f>
        <v>0.24</v>
      </c>
      <c r="J890" s="11">
        <f>IF('Raw Orders'!J890,"",(YEAR('Raw Orders'!I890)-YEAR('Raw Orders'!H890))*12+MONTH('Raw Orders'!I890)-MONTH('Raw Orders'!H890))</f>
        <v>0</v>
      </c>
      <c r="K890" t="str">
        <f>IF('Raw Orders'!J890,"Cancelled",IF('Raw Orders'!K890&gt;=2,"Slipped","On plan"))</f>
        <v>On plan</v>
      </c>
      <c r="L890" s="12">
        <f t="shared" si="13"/>
        <v>0</v>
      </c>
    </row>
    <row r="891" spans="1:12" x14ac:dyDescent="0.3">
      <c r="A891" t="str">
        <f>'Raw Orders'!A891</f>
        <v>NX-00887</v>
      </c>
      <c r="B891" t="str">
        <f>'Raw Orders'!B891</f>
        <v>EMEA</v>
      </c>
      <c r="C891" t="str">
        <f>'Raw Orders'!C891</f>
        <v>Europe</v>
      </c>
      <c r="D891" s="11">
        <f>'Raw Orders'!E891</f>
        <v>47.9</v>
      </c>
      <c r="E891" s="12">
        <f>'Raw Orders'!F891</f>
        <v>4215200</v>
      </c>
      <c r="F891" s="12">
        <f>'Raw Orders'!F891*0.75</f>
        <v>3161400</v>
      </c>
      <c r="G891" s="10">
        <f>'Raw Orders'!H891</f>
        <v>46143</v>
      </c>
      <c r="H891" s="10">
        <f>'Raw Orders'!I891</f>
        <v>46204</v>
      </c>
      <c r="I891" s="11">
        <f>'Raw Orders'!K891</f>
        <v>2.46</v>
      </c>
      <c r="J891" s="11">
        <f>IF('Raw Orders'!J891,"",(YEAR('Raw Orders'!I891)-YEAR('Raw Orders'!H891))*12+MONTH('Raw Orders'!I891)-MONTH('Raw Orders'!H891))</f>
        <v>2</v>
      </c>
      <c r="K891" t="str">
        <f>IF('Raw Orders'!J891,"Cancelled",IF('Raw Orders'!K891&gt;=2,"Slipped","On plan"))</f>
        <v>Slipped</v>
      </c>
      <c r="L891" s="12">
        <f t="shared" si="13"/>
        <v>3161400</v>
      </c>
    </row>
    <row r="892" spans="1:12" x14ac:dyDescent="0.3">
      <c r="A892" t="str">
        <f>'Raw Orders'!A892</f>
        <v>NX-00888</v>
      </c>
      <c r="B892" t="str">
        <f>'Raw Orders'!B892</f>
        <v>EMEA</v>
      </c>
      <c r="C892" t="str">
        <f>'Raw Orders'!C892</f>
        <v>Europe</v>
      </c>
      <c r="D892" s="11">
        <f>'Raw Orders'!E892</f>
        <v>16.899999999999999</v>
      </c>
      <c r="E892" s="12">
        <f>'Raw Orders'!F892</f>
        <v>1487200</v>
      </c>
      <c r="F892" s="12">
        <f>'Raw Orders'!F892*0.75</f>
        <v>1115400</v>
      </c>
      <c r="G892" s="10">
        <f>'Raw Orders'!H892</f>
        <v>46235</v>
      </c>
      <c r="H892" s="10">
        <f>'Raw Orders'!I892</f>
        <v>46327</v>
      </c>
      <c r="I892" s="11">
        <f>'Raw Orders'!K892</f>
        <v>2.61</v>
      </c>
      <c r="J892" s="11">
        <f>IF('Raw Orders'!J892,"",(YEAR('Raw Orders'!I892)-YEAR('Raw Orders'!H892))*12+MONTH('Raw Orders'!I892)-MONTH('Raw Orders'!H892))</f>
        <v>3</v>
      </c>
      <c r="K892" t="str">
        <f>IF('Raw Orders'!J892,"Cancelled",IF('Raw Orders'!K892&gt;=2,"Slipped","On plan"))</f>
        <v>Slipped</v>
      </c>
      <c r="L892" s="12">
        <f t="shared" si="13"/>
        <v>1115400</v>
      </c>
    </row>
    <row r="893" spans="1:12" x14ac:dyDescent="0.3">
      <c r="A893" t="str">
        <f>'Raw Orders'!A893</f>
        <v>NX-00889</v>
      </c>
      <c r="B893" t="str">
        <f>'Raw Orders'!B893</f>
        <v>EMEA</v>
      </c>
      <c r="C893" t="str">
        <f>'Raw Orders'!C893</f>
        <v>MENA</v>
      </c>
      <c r="D893" s="11">
        <f>'Raw Orders'!E893</f>
        <v>12.1</v>
      </c>
      <c r="E893" s="12">
        <f>'Raw Orders'!F893</f>
        <v>980100</v>
      </c>
      <c r="F893" s="12">
        <f>'Raw Orders'!F893*0.75</f>
        <v>735075</v>
      </c>
      <c r="G893" s="10">
        <f>'Raw Orders'!H893</f>
        <v>46204</v>
      </c>
      <c r="H893" s="10">
        <f>'Raw Orders'!I893</f>
        <v>46204</v>
      </c>
      <c r="I893" s="11">
        <f>'Raw Orders'!K893</f>
        <v>0.12</v>
      </c>
      <c r="J893" s="11">
        <f>IF('Raw Orders'!J893,"",(YEAR('Raw Orders'!I893)-YEAR('Raw Orders'!H893))*12+MONTH('Raw Orders'!I893)-MONTH('Raw Orders'!H893))</f>
        <v>0</v>
      </c>
      <c r="K893" t="str">
        <f>IF('Raw Orders'!J893,"Cancelled",IF('Raw Orders'!K893&gt;=2,"Slipped","On plan"))</f>
        <v>On plan</v>
      </c>
      <c r="L893" s="12">
        <f t="shared" si="13"/>
        <v>0</v>
      </c>
    </row>
    <row r="894" spans="1:12" x14ac:dyDescent="0.3">
      <c r="A894" t="str">
        <f>'Raw Orders'!A894</f>
        <v>NX-00890</v>
      </c>
      <c r="B894" t="str">
        <f>'Raw Orders'!B894</f>
        <v>APAC</v>
      </c>
      <c r="C894" t="str">
        <f>'Raw Orders'!C894</f>
        <v>India</v>
      </c>
      <c r="D894" s="11">
        <f>'Raw Orders'!E894</f>
        <v>16.5</v>
      </c>
      <c r="E894" s="12">
        <f>'Raw Orders'!F894</f>
        <v>1171500</v>
      </c>
      <c r="F894" s="12">
        <f>'Raw Orders'!F894*0.75</f>
        <v>878625</v>
      </c>
      <c r="G894" s="10">
        <f>'Raw Orders'!H894</f>
        <v>46235</v>
      </c>
      <c r="H894" s="10">
        <f>'Raw Orders'!I894</f>
        <v>46266</v>
      </c>
      <c r="I894" s="11">
        <f>'Raw Orders'!K894</f>
        <v>1</v>
      </c>
      <c r="J894" s="11">
        <f>IF('Raw Orders'!J894,"",(YEAR('Raw Orders'!I894)-YEAR('Raw Orders'!H894))*12+MONTH('Raw Orders'!I894)-MONTH('Raw Orders'!H894))</f>
        <v>1</v>
      </c>
      <c r="K894" t="str">
        <f>IF('Raw Orders'!J894,"Cancelled",IF('Raw Orders'!K894&gt;=2,"Slipped","On plan"))</f>
        <v>On plan</v>
      </c>
      <c r="L894" s="12">
        <f t="shared" si="13"/>
        <v>0</v>
      </c>
    </row>
    <row r="895" spans="1:12" x14ac:dyDescent="0.3">
      <c r="A895" t="str">
        <f>'Raw Orders'!A895</f>
        <v>NX-00891</v>
      </c>
      <c r="B895" t="str">
        <f>'Raw Orders'!B895</f>
        <v>APAC</v>
      </c>
      <c r="C895" t="str">
        <f>'Raw Orders'!C895</f>
        <v>India</v>
      </c>
      <c r="D895" s="11">
        <f>'Raw Orders'!E895</f>
        <v>15.3</v>
      </c>
      <c r="E895" s="12">
        <f>'Raw Orders'!F895</f>
        <v>1086300</v>
      </c>
      <c r="F895" s="12">
        <f>'Raw Orders'!F895*0.75</f>
        <v>814725</v>
      </c>
      <c r="G895" s="10">
        <f>'Raw Orders'!H895</f>
        <v>46266</v>
      </c>
      <c r="H895" s="10">
        <f>'Raw Orders'!I895</f>
        <v>46357</v>
      </c>
      <c r="I895" s="11">
        <f>'Raw Orders'!K895</f>
        <v>3.14</v>
      </c>
      <c r="J895" s="11">
        <f>IF('Raw Orders'!J895,"",(YEAR('Raw Orders'!I895)-YEAR('Raw Orders'!H895))*12+MONTH('Raw Orders'!I895)-MONTH('Raw Orders'!H895))</f>
        <v>3</v>
      </c>
      <c r="K895" t="str">
        <f>IF('Raw Orders'!J895,"Cancelled",IF('Raw Orders'!K895&gt;=2,"Slipped","On plan"))</f>
        <v>Slipped</v>
      </c>
      <c r="L895" s="12">
        <f t="shared" si="13"/>
        <v>814725</v>
      </c>
    </row>
    <row r="896" spans="1:12" x14ac:dyDescent="0.3">
      <c r="A896" t="str">
        <f>'Raw Orders'!A896</f>
        <v>NX-00892</v>
      </c>
      <c r="B896" t="str">
        <f>'Raw Orders'!B896</f>
        <v>APAC</v>
      </c>
      <c r="C896" t="str">
        <f>'Raw Orders'!C896</f>
        <v>India</v>
      </c>
      <c r="D896" s="11">
        <f>'Raw Orders'!E896</f>
        <v>9.8000000000000007</v>
      </c>
      <c r="E896" s="12">
        <f>'Raw Orders'!F896</f>
        <v>695800</v>
      </c>
      <c r="F896" s="12">
        <f>'Raw Orders'!F896*0.75</f>
        <v>521850</v>
      </c>
      <c r="G896" s="10">
        <f>'Raw Orders'!H896</f>
        <v>46327</v>
      </c>
      <c r="H896" s="10">
        <f>'Raw Orders'!I896</f>
        <v>46388</v>
      </c>
      <c r="I896" s="11">
        <f>'Raw Orders'!K896</f>
        <v>1.87</v>
      </c>
      <c r="J896" s="11">
        <f>IF('Raw Orders'!J896,"",(YEAR('Raw Orders'!I896)-YEAR('Raw Orders'!H896))*12+MONTH('Raw Orders'!I896)-MONTH('Raw Orders'!H896))</f>
        <v>2</v>
      </c>
      <c r="K896" t="str">
        <f>IF('Raw Orders'!J896,"Cancelled",IF('Raw Orders'!K896&gt;=2,"Slipped","On plan"))</f>
        <v>On plan</v>
      </c>
      <c r="L896" s="12">
        <f t="shared" si="13"/>
        <v>0</v>
      </c>
    </row>
    <row r="897" spans="1:12" x14ac:dyDescent="0.3">
      <c r="A897" t="str">
        <f>'Raw Orders'!A897</f>
        <v>NX-00893</v>
      </c>
      <c r="B897" t="str">
        <f>'Raw Orders'!B897</f>
        <v>APAC</v>
      </c>
      <c r="C897" t="str">
        <f>'Raw Orders'!C897</f>
        <v>India</v>
      </c>
      <c r="D897" s="11">
        <f>'Raw Orders'!E897</f>
        <v>16.8</v>
      </c>
      <c r="E897" s="12">
        <f>'Raw Orders'!F897</f>
        <v>1192800</v>
      </c>
      <c r="F897" s="12">
        <f>'Raw Orders'!F897*0.75</f>
        <v>894600</v>
      </c>
      <c r="G897" s="10">
        <f>'Raw Orders'!H897</f>
        <v>46266</v>
      </c>
      <c r="H897" s="10">
        <f>'Raw Orders'!I897</f>
        <v>46631</v>
      </c>
      <c r="I897" s="11">
        <f>'Raw Orders'!K897</f>
        <v>11.57</v>
      </c>
      <c r="J897" s="11">
        <f>IF('Raw Orders'!J897,"",(YEAR('Raw Orders'!I897)-YEAR('Raw Orders'!H897))*12+MONTH('Raw Orders'!I897)-MONTH('Raw Orders'!H897))</f>
        <v>12</v>
      </c>
      <c r="K897" t="str">
        <f>IF('Raw Orders'!J897,"Cancelled",IF('Raw Orders'!K897&gt;=2,"Slipped","On plan"))</f>
        <v>Slipped</v>
      </c>
      <c r="L897" s="12">
        <f t="shared" si="13"/>
        <v>894600</v>
      </c>
    </row>
    <row r="898" spans="1:12" x14ac:dyDescent="0.3">
      <c r="A898" t="str">
        <f>'Raw Orders'!A898</f>
        <v>NX-00894</v>
      </c>
      <c r="B898" t="str">
        <f>'Raw Orders'!B898</f>
        <v>LATAM</v>
      </c>
      <c r="C898" t="str">
        <f>'Raw Orders'!C898</f>
        <v>LATAM</v>
      </c>
      <c r="D898" s="11">
        <f>'Raw Orders'!E898</f>
        <v>50.5</v>
      </c>
      <c r="E898" s="12">
        <f>'Raw Orders'!F898</f>
        <v>3989500</v>
      </c>
      <c r="F898" s="12">
        <f>'Raw Orders'!F898*0.75</f>
        <v>2992125</v>
      </c>
      <c r="G898" s="10">
        <f>'Raw Orders'!H898</f>
        <v>46266</v>
      </c>
      <c r="H898" s="10">
        <f>'Raw Orders'!I898</f>
        <v>46266</v>
      </c>
      <c r="I898" s="11">
        <f>'Raw Orders'!K898</f>
        <v>0.21</v>
      </c>
      <c r="J898" s="11">
        <f>IF('Raw Orders'!J898,"",(YEAR('Raw Orders'!I898)-YEAR('Raw Orders'!H898))*12+MONTH('Raw Orders'!I898)-MONTH('Raw Orders'!H898))</f>
        <v>0</v>
      </c>
      <c r="K898" t="str">
        <f>IF('Raw Orders'!J898,"Cancelled",IF('Raw Orders'!K898&gt;=2,"Slipped","On plan"))</f>
        <v>On plan</v>
      </c>
      <c r="L898" s="12">
        <f t="shared" si="13"/>
        <v>0</v>
      </c>
    </row>
    <row r="899" spans="1:12" x14ac:dyDescent="0.3">
      <c r="A899" t="str">
        <f>'Raw Orders'!A899</f>
        <v>NX-00895</v>
      </c>
      <c r="B899" t="str">
        <f>'Raw Orders'!B899</f>
        <v>LATAM</v>
      </c>
      <c r="C899" t="str">
        <f>'Raw Orders'!C899</f>
        <v>LATAM</v>
      </c>
      <c r="D899" s="11">
        <f>'Raw Orders'!E899</f>
        <v>6.9</v>
      </c>
      <c r="E899" s="12">
        <f>'Raw Orders'!F899</f>
        <v>545100</v>
      </c>
      <c r="F899" s="12">
        <f>'Raw Orders'!F899*0.75</f>
        <v>408825</v>
      </c>
      <c r="G899" s="10">
        <f>'Raw Orders'!H899</f>
        <v>46174</v>
      </c>
      <c r="H899" s="10">
        <f>'Raw Orders'!I899</f>
        <v>46174</v>
      </c>
      <c r="I899" s="11">
        <f>'Raw Orders'!K899</f>
        <v>0.21</v>
      </c>
      <c r="J899" s="11">
        <f>IF('Raw Orders'!J899,"",(YEAR('Raw Orders'!I899)-YEAR('Raw Orders'!H899))*12+MONTH('Raw Orders'!I899)-MONTH('Raw Orders'!H899))</f>
        <v>0</v>
      </c>
      <c r="K899" t="str">
        <f>IF('Raw Orders'!J899,"Cancelled",IF('Raw Orders'!K899&gt;=2,"Slipped","On plan"))</f>
        <v>On plan</v>
      </c>
      <c r="L899" s="12">
        <f t="shared" si="13"/>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0"/>
  <sheetViews>
    <sheetView showGridLines="0" workbookViewId="0">
      <pane ySplit="4" topLeftCell="A5" activePane="bottomLeft" state="frozen"/>
      <selection pane="bottomLeft"/>
    </sheetView>
  </sheetViews>
  <sheetFormatPr defaultRowHeight="14.4" x14ac:dyDescent="0.3"/>
  <cols>
    <col min="1" max="1" width="15" customWidth="1"/>
    <col min="2" max="2" width="12" customWidth="1"/>
    <col min="3" max="3" width="13" customWidth="1"/>
    <col min="4" max="4" width="12" customWidth="1"/>
    <col min="5" max="5" width="16" customWidth="1"/>
    <col min="6" max="6" width="17" customWidth="1"/>
    <col min="7" max="7" width="15" customWidth="1"/>
    <col min="8" max="8" width="12" customWidth="1"/>
    <col min="9" max="9" width="19" customWidth="1"/>
  </cols>
  <sheetData>
    <row r="1" spans="1:9" ht="17.399999999999999" x14ac:dyDescent="0.35">
      <c r="A1" s="1" t="s">
        <v>950</v>
      </c>
    </row>
    <row r="4" spans="1:9" ht="30" customHeight="1" x14ac:dyDescent="0.3">
      <c r="A4" s="2" t="s">
        <v>31</v>
      </c>
      <c r="B4" s="2" t="s">
        <v>951</v>
      </c>
      <c r="C4" s="2" t="s">
        <v>952</v>
      </c>
      <c r="D4" s="2" t="s">
        <v>953</v>
      </c>
      <c r="E4" s="2" t="s">
        <v>954</v>
      </c>
      <c r="F4" s="2" t="s">
        <v>955</v>
      </c>
      <c r="G4" s="2" t="s">
        <v>956</v>
      </c>
      <c r="H4" s="2" t="s">
        <v>957</v>
      </c>
      <c r="I4" s="2" t="s">
        <v>958</v>
      </c>
    </row>
    <row r="5" spans="1:9" x14ac:dyDescent="0.3">
      <c r="A5" s="4" t="s">
        <v>42</v>
      </c>
      <c r="B5" s="14">
        <v>45292</v>
      </c>
      <c r="C5" s="15">
        <f>COUNTIFS('Raw Orders'!$B$5:$B$899,$A5,'Raw Orders'!$D$5:$D$899,$B5)</f>
        <v>12</v>
      </c>
      <c r="D5" s="15">
        <f>SUMIFS('Raw Orders'!$E$5:$E$899,'Raw Orders'!$B$5:$B$899,$A5,'Raw Orders'!$D$5:$D$899,$B5)</f>
        <v>246.10000000000002</v>
      </c>
      <c r="E5" s="15">
        <f>SUMIFS('Raw Orders'!$F$5:$F$899,'Raw Orders'!$B$5:$B$899,$A5,'Raw Orders'!$D$5:$D$899,$B5)</f>
        <v>20426300</v>
      </c>
      <c r="F5" s="15">
        <f>SUMIFS('Raw Orders'!$F$5:$F$899,'Raw Orders'!$B$5:$B$899,$A5,'Raw Orders'!$I$5:$I$899,$B5,'Raw Orders'!$J$5:$J$899,FALSE)</f>
        <v>0</v>
      </c>
      <c r="G5" s="15">
        <f>SUMIFS('Raw Orders'!$F$5:$F$899,'Raw Orders'!$B$5:$B$899,$A5,'Raw Orders'!$D$5:$D$899,"&lt;="&amp;$B5)-SUMIFS('Raw Orders'!$F$5:$F$899,'Raw Orders'!$B$5:$B$899,$A5,'Raw Orders'!$I$5:$I$899,"&lt;="&amp;$B5,'Raw Orders'!$J$5:$J$899,FALSE)</f>
        <v>20426300</v>
      </c>
      <c r="H5" s="16" t="str">
        <f t="shared" ref="H5:H36" si="0">IF(F5=0,"",E5/F5)</f>
        <v/>
      </c>
      <c r="I5" s="15">
        <f t="shared" ref="I5:I36" si="1">G5*0.75</f>
        <v>15319725</v>
      </c>
    </row>
    <row r="6" spans="1:9" x14ac:dyDescent="0.3">
      <c r="A6" s="4" t="s">
        <v>42</v>
      </c>
      <c r="B6" s="14">
        <v>45323</v>
      </c>
      <c r="C6" s="15">
        <f>COUNTIFS('Raw Orders'!$B$5:$B$899,$A6,'Raw Orders'!$D$5:$D$899,$B6)</f>
        <v>18</v>
      </c>
      <c r="D6" s="15">
        <f>SUMIFS('Raw Orders'!$E$5:$E$899,'Raw Orders'!$B$5:$B$899,$A6,'Raw Orders'!$D$5:$D$899,$B6)</f>
        <v>254.09999999999997</v>
      </c>
      <c r="E6" s="15">
        <f>SUMIFS('Raw Orders'!$F$5:$F$899,'Raw Orders'!$B$5:$B$899,$A6,'Raw Orders'!$D$5:$D$899,$B6)</f>
        <v>21090300</v>
      </c>
      <c r="F6" s="15">
        <f>SUMIFS('Raw Orders'!$F$5:$F$899,'Raw Orders'!$B$5:$B$899,$A6,'Raw Orders'!$I$5:$I$899,$B6,'Raw Orders'!$J$5:$J$899,FALSE)</f>
        <v>0</v>
      </c>
      <c r="G6" s="15">
        <f>SUMIFS('Raw Orders'!$F$5:$F$899,'Raw Orders'!$B$5:$B$899,$A6,'Raw Orders'!$D$5:$D$899,"&lt;="&amp;$B6)-SUMIFS('Raw Orders'!$F$5:$F$899,'Raw Orders'!$B$5:$B$899,$A6,'Raw Orders'!$I$5:$I$899,"&lt;="&amp;$B6,'Raw Orders'!$J$5:$J$899,FALSE)</f>
        <v>41516600</v>
      </c>
      <c r="H6" s="16" t="str">
        <f t="shared" si="0"/>
        <v/>
      </c>
      <c r="I6" s="15">
        <f t="shared" si="1"/>
        <v>31137450</v>
      </c>
    </row>
    <row r="7" spans="1:9" x14ac:dyDescent="0.3">
      <c r="A7" s="4" t="s">
        <v>42</v>
      </c>
      <c r="B7" s="14">
        <v>45352</v>
      </c>
      <c r="C7" s="15">
        <f>COUNTIFS('Raw Orders'!$B$5:$B$899,$A7,'Raw Orders'!$D$5:$D$899,$B7)</f>
        <v>30</v>
      </c>
      <c r="D7" s="15">
        <f>SUMIFS('Raw Orders'!$E$5:$E$899,'Raw Orders'!$B$5:$B$899,$A7,'Raw Orders'!$D$5:$D$899,$B7)</f>
        <v>588</v>
      </c>
      <c r="E7" s="15">
        <f>SUMIFS('Raw Orders'!$F$5:$F$899,'Raw Orders'!$B$5:$B$899,$A7,'Raw Orders'!$D$5:$D$899,$B7)</f>
        <v>48804000</v>
      </c>
      <c r="F7" s="15">
        <f>SUMIFS('Raw Orders'!$F$5:$F$899,'Raw Orders'!$B$5:$B$899,$A7,'Raw Orders'!$I$5:$I$899,$B7,'Raw Orders'!$J$5:$J$899,FALSE)</f>
        <v>0</v>
      </c>
      <c r="G7" s="15">
        <f>SUMIFS('Raw Orders'!$F$5:$F$899,'Raw Orders'!$B$5:$B$899,$A7,'Raw Orders'!$D$5:$D$899,"&lt;="&amp;$B7)-SUMIFS('Raw Orders'!$F$5:$F$899,'Raw Orders'!$B$5:$B$899,$A7,'Raw Orders'!$I$5:$I$899,"&lt;="&amp;$B7,'Raw Orders'!$J$5:$J$899,FALSE)</f>
        <v>90320600</v>
      </c>
      <c r="H7" s="16" t="str">
        <f t="shared" si="0"/>
        <v/>
      </c>
      <c r="I7" s="15">
        <f t="shared" si="1"/>
        <v>67740450</v>
      </c>
    </row>
    <row r="8" spans="1:9" x14ac:dyDescent="0.3">
      <c r="A8" s="4" t="s">
        <v>42</v>
      </c>
      <c r="B8" s="14">
        <v>45383</v>
      </c>
      <c r="C8" s="15">
        <f>COUNTIFS('Raw Orders'!$B$5:$B$899,$A8,'Raw Orders'!$D$5:$D$899,$B8)</f>
        <v>27</v>
      </c>
      <c r="D8" s="15">
        <f>SUMIFS('Raw Orders'!$E$5:$E$899,'Raw Orders'!$B$5:$B$899,$A8,'Raw Orders'!$D$5:$D$899,$B8)</f>
        <v>460.4</v>
      </c>
      <c r="E8" s="15">
        <f>SUMIFS('Raw Orders'!$F$5:$F$899,'Raw Orders'!$B$5:$B$899,$A8,'Raw Orders'!$D$5:$D$899,$B8)</f>
        <v>38213200</v>
      </c>
      <c r="F8" s="15">
        <f>SUMIFS('Raw Orders'!$F$5:$F$899,'Raw Orders'!$B$5:$B$899,$A8,'Raw Orders'!$I$5:$I$899,$B8,'Raw Orders'!$J$5:$J$899,FALSE)</f>
        <v>0</v>
      </c>
      <c r="G8" s="15">
        <f>SUMIFS('Raw Orders'!$F$5:$F$899,'Raw Orders'!$B$5:$B$899,$A8,'Raw Orders'!$D$5:$D$899,"&lt;="&amp;$B8)-SUMIFS('Raw Orders'!$F$5:$F$899,'Raw Orders'!$B$5:$B$899,$A8,'Raw Orders'!$I$5:$I$899,"&lt;="&amp;$B8,'Raw Orders'!$J$5:$J$899,FALSE)</f>
        <v>128533800</v>
      </c>
      <c r="H8" s="16" t="str">
        <f t="shared" si="0"/>
        <v/>
      </c>
      <c r="I8" s="15">
        <f t="shared" si="1"/>
        <v>96400350</v>
      </c>
    </row>
    <row r="9" spans="1:9" x14ac:dyDescent="0.3">
      <c r="A9" s="4" t="s">
        <v>42</v>
      </c>
      <c r="B9" s="14">
        <v>45413</v>
      </c>
      <c r="C9" s="15">
        <f>COUNTIFS('Raw Orders'!$B$5:$B$899,$A9,'Raw Orders'!$D$5:$D$899,$B9)</f>
        <v>25</v>
      </c>
      <c r="D9" s="15">
        <f>SUMIFS('Raw Orders'!$E$5:$E$899,'Raw Orders'!$B$5:$B$899,$A9,'Raw Orders'!$D$5:$D$899,$B9)</f>
        <v>499</v>
      </c>
      <c r="E9" s="15">
        <f>SUMIFS('Raw Orders'!$F$5:$F$899,'Raw Orders'!$B$5:$B$899,$A9,'Raw Orders'!$D$5:$D$899,$B9)</f>
        <v>41417000</v>
      </c>
      <c r="F9" s="15">
        <f>SUMIFS('Raw Orders'!$F$5:$F$899,'Raw Orders'!$B$5:$B$899,$A9,'Raw Orders'!$I$5:$I$899,$B9,'Raw Orders'!$J$5:$J$899,FALSE)</f>
        <v>0</v>
      </c>
      <c r="G9" s="15">
        <f>SUMIFS('Raw Orders'!$F$5:$F$899,'Raw Orders'!$B$5:$B$899,$A9,'Raw Orders'!$D$5:$D$899,"&lt;="&amp;$B9)-SUMIFS('Raw Orders'!$F$5:$F$899,'Raw Orders'!$B$5:$B$899,$A9,'Raw Orders'!$I$5:$I$899,"&lt;="&amp;$B9,'Raw Orders'!$J$5:$J$899,FALSE)</f>
        <v>169950800</v>
      </c>
      <c r="H9" s="16" t="str">
        <f t="shared" si="0"/>
        <v/>
      </c>
      <c r="I9" s="15">
        <f t="shared" si="1"/>
        <v>127463100</v>
      </c>
    </row>
    <row r="10" spans="1:9" x14ac:dyDescent="0.3">
      <c r="A10" s="4" t="s">
        <v>42</v>
      </c>
      <c r="B10" s="14">
        <v>45444</v>
      </c>
      <c r="C10" s="15">
        <f>COUNTIFS('Raw Orders'!$B$5:$B$899,$A10,'Raw Orders'!$D$5:$D$899,$B10)</f>
        <v>35</v>
      </c>
      <c r="D10" s="15">
        <f>SUMIFS('Raw Orders'!$E$5:$E$899,'Raw Orders'!$B$5:$B$899,$A10,'Raw Orders'!$D$5:$D$899,$B10)</f>
        <v>662.49999999999989</v>
      </c>
      <c r="E10" s="15">
        <f>SUMIFS('Raw Orders'!$F$5:$F$899,'Raw Orders'!$B$5:$B$899,$A10,'Raw Orders'!$D$5:$D$899,$B10)</f>
        <v>54987500</v>
      </c>
      <c r="F10" s="15">
        <f>SUMIFS('Raw Orders'!$F$5:$F$899,'Raw Orders'!$B$5:$B$899,$A10,'Raw Orders'!$I$5:$I$899,$B10,'Raw Orders'!$J$5:$J$899,FALSE)</f>
        <v>498000</v>
      </c>
      <c r="G10" s="15">
        <f>SUMIFS('Raw Orders'!$F$5:$F$899,'Raw Orders'!$B$5:$B$899,$A10,'Raw Orders'!$D$5:$D$899,"&lt;="&amp;$B10)-SUMIFS('Raw Orders'!$F$5:$F$899,'Raw Orders'!$B$5:$B$899,$A10,'Raw Orders'!$I$5:$I$899,"&lt;="&amp;$B10,'Raw Orders'!$J$5:$J$899,FALSE)</f>
        <v>224440300</v>
      </c>
      <c r="H10" s="16">
        <f t="shared" si="0"/>
        <v>110.41666666666667</v>
      </c>
      <c r="I10" s="15">
        <f t="shared" si="1"/>
        <v>168330225</v>
      </c>
    </row>
    <row r="11" spans="1:9" x14ac:dyDescent="0.3">
      <c r="A11" s="4" t="s">
        <v>42</v>
      </c>
      <c r="B11" s="14">
        <v>45474</v>
      </c>
      <c r="C11" s="15">
        <f>COUNTIFS('Raw Orders'!$B$5:$B$899,$A11,'Raw Orders'!$D$5:$D$899,$B11)</f>
        <v>22</v>
      </c>
      <c r="D11" s="15">
        <f>SUMIFS('Raw Orders'!$E$5:$E$899,'Raw Orders'!$B$5:$B$899,$A11,'Raw Orders'!$D$5:$D$899,$B11)</f>
        <v>464.29999999999995</v>
      </c>
      <c r="E11" s="15">
        <f>SUMIFS('Raw Orders'!$F$5:$F$899,'Raw Orders'!$B$5:$B$899,$A11,'Raw Orders'!$D$5:$D$899,$B11)</f>
        <v>38536900</v>
      </c>
      <c r="F11" s="15">
        <f>SUMIFS('Raw Orders'!$F$5:$F$899,'Raw Orders'!$B$5:$B$899,$A11,'Raw Orders'!$I$5:$I$899,$B11,'Raw Orders'!$J$5:$J$899,FALSE)</f>
        <v>730400.00000000012</v>
      </c>
      <c r="G11" s="15">
        <f>SUMIFS('Raw Orders'!$F$5:$F$899,'Raw Orders'!$B$5:$B$899,$A11,'Raw Orders'!$D$5:$D$899,"&lt;="&amp;$B11)-SUMIFS('Raw Orders'!$F$5:$F$899,'Raw Orders'!$B$5:$B$899,$A11,'Raw Orders'!$I$5:$I$899,"&lt;="&amp;$B11,'Raw Orders'!$J$5:$J$899,FALSE)</f>
        <v>262246800</v>
      </c>
      <c r="H11" s="16">
        <f t="shared" si="0"/>
        <v>52.761363636363626</v>
      </c>
      <c r="I11" s="15">
        <f t="shared" si="1"/>
        <v>196685100</v>
      </c>
    </row>
    <row r="12" spans="1:9" x14ac:dyDescent="0.3">
      <c r="A12" s="4" t="s">
        <v>42</v>
      </c>
      <c r="B12" s="14">
        <v>45505</v>
      </c>
      <c r="C12" s="15">
        <f>COUNTIFS('Raw Orders'!$B$5:$B$899,$A12,'Raw Orders'!$D$5:$D$899,$B12)</f>
        <v>16</v>
      </c>
      <c r="D12" s="15">
        <f>SUMIFS('Raw Orders'!$E$5:$E$899,'Raw Orders'!$B$5:$B$899,$A12,'Raw Orders'!$D$5:$D$899,$B12)</f>
        <v>354.9</v>
      </c>
      <c r="E12" s="15">
        <f>SUMIFS('Raw Orders'!$F$5:$F$899,'Raw Orders'!$B$5:$B$899,$A12,'Raw Orders'!$D$5:$D$899,$B12)</f>
        <v>29456700</v>
      </c>
      <c r="F12" s="15">
        <f>SUMIFS('Raw Orders'!$F$5:$F$899,'Raw Orders'!$B$5:$B$899,$A12,'Raw Orders'!$I$5:$I$899,$B12,'Raw Orders'!$J$5:$J$899,FALSE)</f>
        <v>8466000</v>
      </c>
      <c r="G12" s="15">
        <f>SUMIFS('Raw Orders'!$F$5:$F$899,'Raw Orders'!$B$5:$B$899,$A12,'Raw Orders'!$D$5:$D$899,"&lt;="&amp;$B12)-SUMIFS('Raw Orders'!$F$5:$F$899,'Raw Orders'!$B$5:$B$899,$A12,'Raw Orders'!$I$5:$I$899,"&lt;="&amp;$B12,'Raw Orders'!$J$5:$J$899,FALSE)</f>
        <v>283237500</v>
      </c>
      <c r="H12" s="16">
        <f t="shared" si="0"/>
        <v>3.4794117647058824</v>
      </c>
      <c r="I12" s="15">
        <f t="shared" si="1"/>
        <v>212428125</v>
      </c>
    </row>
    <row r="13" spans="1:9" x14ac:dyDescent="0.3">
      <c r="A13" s="4" t="s">
        <v>42</v>
      </c>
      <c r="B13" s="14">
        <v>45536</v>
      </c>
      <c r="C13" s="15">
        <f>COUNTIFS('Raw Orders'!$B$5:$B$899,$A13,'Raw Orders'!$D$5:$D$899,$B13)</f>
        <v>19</v>
      </c>
      <c r="D13" s="15">
        <f>SUMIFS('Raw Orders'!$E$5:$E$899,'Raw Orders'!$B$5:$B$899,$A13,'Raw Orders'!$D$5:$D$899,$B13)</f>
        <v>298.59999999999997</v>
      </c>
      <c r="E13" s="15">
        <f>SUMIFS('Raw Orders'!$F$5:$F$899,'Raw Orders'!$B$5:$B$899,$A13,'Raw Orders'!$D$5:$D$899,$B13)</f>
        <v>24783800</v>
      </c>
      <c r="F13" s="15">
        <f>SUMIFS('Raw Orders'!$F$5:$F$899,'Raw Orders'!$B$5:$B$899,$A13,'Raw Orders'!$I$5:$I$899,$B13,'Raw Orders'!$J$5:$J$899,FALSE)</f>
        <v>13130600</v>
      </c>
      <c r="G13" s="15">
        <f>SUMIFS('Raw Orders'!$F$5:$F$899,'Raw Orders'!$B$5:$B$899,$A13,'Raw Orders'!$D$5:$D$899,"&lt;="&amp;$B13)-SUMIFS('Raw Orders'!$F$5:$F$899,'Raw Orders'!$B$5:$B$899,$A13,'Raw Orders'!$I$5:$I$899,"&lt;="&amp;$B13,'Raw Orders'!$J$5:$J$899,FALSE)</f>
        <v>294890700</v>
      </c>
      <c r="H13" s="16">
        <f t="shared" si="0"/>
        <v>1.8874841972187104</v>
      </c>
      <c r="I13" s="15">
        <f t="shared" si="1"/>
        <v>221168025</v>
      </c>
    </row>
    <row r="14" spans="1:9" x14ac:dyDescent="0.3">
      <c r="A14" s="4" t="s">
        <v>42</v>
      </c>
      <c r="B14" s="14">
        <v>45566</v>
      </c>
      <c r="C14" s="15">
        <f>COUNTIFS('Raw Orders'!$B$5:$B$899,$A14,'Raw Orders'!$D$5:$D$899,$B14)</f>
        <v>23</v>
      </c>
      <c r="D14" s="15">
        <f>SUMIFS('Raw Orders'!$E$5:$E$899,'Raw Orders'!$B$5:$B$899,$A14,'Raw Orders'!$D$5:$D$899,$B14)</f>
        <v>351.7</v>
      </c>
      <c r="E14" s="15">
        <f>SUMIFS('Raw Orders'!$F$5:$F$899,'Raw Orders'!$B$5:$B$899,$A14,'Raw Orders'!$D$5:$D$899,$B14)</f>
        <v>29191100</v>
      </c>
      <c r="F14" s="15">
        <f>SUMIFS('Raw Orders'!$F$5:$F$899,'Raw Orders'!$B$5:$B$899,$A14,'Raw Orders'!$I$5:$I$899,$B14,'Raw Orders'!$J$5:$J$899,FALSE)</f>
        <v>14085100</v>
      </c>
      <c r="G14" s="15">
        <f>SUMIFS('Raw Orders'!$F$5:$F$899,'Raw Orders'!$B$5:$B$899,$A14,'Raw Orders'!$D$5:$D$899,"&lt;="&amp;$B14)-SUMIFS('Raw Orders'!$F$5:$F$899,'Raw Orders'!$B$5:$B$899,$A14,'Raw Orders'!$I$5:$I$899,"&lt;="&amp;$B14,'Raw Orders'!$J$5:$J$899,FALSE)</f>
        <v>309996700</v>
      </c>
      <c r="H14" s="16">
        <f t="shared" si="0"/>
        <v>2.0724808485562756</v>
      </c>
      <c r="I14" s="15">
        <f t="shared" si="1"/>
        <v>232497525</v>
      </c>
    </row>
    <row r="15" spans="1:9" x14ac:dyDescent="0.3">
      <c r="A15" s="4" t="s">
        <v>42</v>
      </c>
      <c r="B15" s="14">
        <v>45597</v>
      </c>
      <c r="C15" s="15">
        <f>COUNTIFS('Raw Orders'!$B$5:$B$899,$A15,'Raw Orders'!$D$5:$D$899,$B15)</f>
        <v>21</v>
      </c>
      <c r="D15" s="15">
        <f>SUMIFS('Raw Orders'!$E$5:$E$899,'Raw Orders'!$B$5:$B$899,$A15,'Raw Orders'!$D$5:$D$899,$B15)</f>
        <v>431.8</v>
      </c>
      <c r="E15" s="15">
        <f>SUMIFS('Raw Orders'!$F$5:$F$899,'Raw Orders'!$B$5:$B$899,$A15,'Raw Orders'!$D$5:$D$899,$B15)</f>
        <v>35839400</v>
      </c>
      <c r="F15" s="15">
        <f>SUMIFS('Raw Orders'!$F$5:$F$899,'Raw Orders'!$B$5:$B$899,$A15,'Raw Orders'!$I$5:$I$899,$B15,'Raw Orders'!$J$5:$J$899,FALSE)</f>
        <v>16118600</v>
      </c>
      <c r="G15" s="15">
        <f>SUMIFS('Raw Orders'!$F$5:$F$899,'Raw Orders'!$B$5:$B$899,$A15,'Raw Orders'!$D$5:$D$899,"&lt;="&amp;$B15)-SUMIFS('Raw Orders'!$F$5:$F$899,'Raw Orders'!$B$5:$B$899,$A15,'Raw Orders'!$I$5:$I$899,"&lt;="&amp;$B15,'Raw Orders'!$J$5:$J$899,FALSE)</f>
        <v>329717500</v>
      </c>
      <c r="H15" s="16">
        <f t="shared" si="0"/>
        <v>2.223480947476828</v>
      </c>
      <c r="I15" s="15">
        <f t="shared" si="1"/>
        <v>247288125</v>
      </c>
    </row>
    <row r="16" spans="1:9" x14ac:dyDescent="0.3">
      <c r="A16" s="4" t="s">
        <v>42</v>
      </c>
      <c r="B16" s="14">
        <v>45627</v>
      </c>
      <c r="C16" s="15">
        <f>COUNTIFS('Raw Orders'!$B$5:$B$899,$A16,'Raw Orders'!$D$5:$D$899,$B16)</f>
        <v>24</v>
      </c>
      <c r="D16" s="15">
        <f>SUMIFS('Raw Orders'!$E$5:$E$899,'Raw Orders'!$B$5:$B$899,$A16,'Raw Orders'!$D$5:$D$899,$B16)</f>
        <v>278.80000000000013</v>
      </c>
      <c r="E16" s="15">
        <f>SUMIFS('Raw Orders'!$F$5:$F$899,'Raw Orders'!$B$5:$B$899,$A16,'Raw Orders'!$D$5:$D$899,$B16)</f>
        <v>23140400</v>
      </c>
      <c r="F16" s="15">
        <f>SUMIFS('Raw Orders'!$F$5:$F$899,'Raw Orders'!$B$5:$B$899,$A16,'Raw Orders'!$I$5:$I$899,$B16,'Raw Orders'!$J$5:$J$899,FALSE)</f>
        <v>66424900</v>
      </c>
      <c r="G16" s="15">
        <f>SUMIFS('Raw Orders'!$F$5:$F$899,'Raw Orders'!$B$5:$B$899,$A16,'Raw Orders'!$D$5:$D$899,"&lt;="&amp;$B16)-SUMIFS('Raw Orders'!$F$5:$F$899,'Raw Orders'!$B$5:$B$899,$A16,'Raw Orders'!$I$5:$I$899,"&lt;="&amp;$B16,'Raw Orders'!$J$5:$J$899,FALSE)</f>
        <v>286433000</v>
      </c>
      <c r="H16" s="16">
        <f t="shared" si="0"/>
        <v>0.34836936148944148</v>
      </c>
      <c r="I16" s="15">
        <f t="shared" si="1"/>
        <v>214824750</v>
      </c>
    </row>
    <row r="17" spans="1:9" x14ac:dyDescent="0.3">
      <c r="A17" s="4" t="s">
        <v>42</v>
      </c>
      <c r="B17" s="14">
        <v>45658</v>
      </c>
      <c r="C17" s="15">
        <f>COUNTIFS('Raw Orders'!$B$5:$B$899,$A17,'Raw Orders'!$D$5:$D$899,$B17)</f>
        <v>29</v>
      </c>
      <c r="D17" s="15">
        <f>SUMIFS('Raw Orders'!$E$5:$E$899,'Raw Orders'!$B$5:$B$899,$A17,'Raw Orders'!$D$5:$D$899,$B17)</f>
        <v>540.20000000000016</v>
      </c>
      <c r="E17" s="15">
        <f>SUMIFS('Raw Orders'!$F$5:$F$899,'Raw Orders'!$B$5:$B$899,$A17,'Raw Orders'!$D$5:$D$899,$B17)</f>
        <v>44836600</v>
      </c>
      <c r="F17" s="15">
        <f>SUMIFS('Raw Orders'!$F$5:$F$899,'Raw Orders'!$B$5:$B$899,$A17,'Raw Orders'!$I$5:$I$899,$B17,'Raw Orders'!$J$5:$J$899,FALSE)</f>
        <v>47758200</v>
      </c>
      <c r="G17" s="15">
        <f>SUMIFS('Raw Orders'!$F$5:$F$899,'Raw Orders'!$B$5:$B$899,$A17,'Raw Orders'!$D$5:$D$899,"&lt;="&amp;$B17)-SUMIFS('Raw Orders'!$F$5:$F$899,'Raw Orders'!$B$5:$B$899,$A17,'Raw Orders'!$I$5:$I$899,"&lt;="&amp;$B17,'Raw Orders'!$J$5:$J$899,FALSE)</f>
        <v>283511400</v>
      </c>
      <c r="H17" s="16">
        <f t="shared" si="0"/>
        <v>0.93882516510253733</v>
      </c>
      <c r="I17" s="15">
        <f t="shared" si="1"/>
        <v>212633550</v>
      </c>
    </row>
    <row r="18" spans="1:9" x14ac:dyDescent="0.3">
      <c r="A18" s="4" t="s">
        <v>42</v>
      </c>
      <c r="B18" s="14">
        <v>45689</v>
      </c>
      <c r="C18" s="15">
        <f>COUNTIFS('Raw Orders'!$B$5:$B$899,$A18,'Raw Orders'!$D$5:$D$899,$B18)</f>
        <v>28</v>
      </c>
      <c r="D18" s="15">
        <f>SUMIFS('Raw Orders'!$E$5:$E$899,'Raw Orders'!$B$5:$B$899,$A18,'Raw Orders'!$D$5:$D$899,$B18)</f>
        <v>415.69999999999993</v>
      </c>
      <c r="E18" s="15">
        <f>SUMIFS('Raw Orders'!$F$5:$F$899,'Raw Orders'!$B$5:$B$899,$A18,'Raw Orders'!$D$5:$D$899,$B18)</f>
        <v>34503100</v>
      </c>
      <c r="F18" s="15">
        <f>SUMIFS('Raw Orders'!$F$5:$F$899,'Raw Orders'!$B$5:$B$899,$A18,'Raw Orders'!$I$5:$I$899,$B18,'Raw Orders'!$J$5:$J$899,FALSE)</f>
        <v>20409700</v>
      </c>
      <c r="G18" s="15">
        <f>SUMIFS('Raw Orders'!$F$5:$F$899,'Raw Orders'!$B$5:$B$899,$A18,'Raw Orders'!$D$5:$D$899,"&lt;="&amp;$B18)-SUMIFS('Raw Orders'!$F$5:$F$899,'Raw Orders'!$B$5:$B$899,$A18,'Raw Orders'!$I$5:$I$899,"&lt;="&amp;$B18,'Raw Orders'!$J$5:$J$899,FALSE)</f>
        <v>297604800</v>
      </c>
      <c r="H18" s="16">
        <f t="shared" si="0"/>
        <v>1.6905246034973567</v>
      </c>
      <c r="I18" s="15">
        <f t="shared" si="1"/>
        <v>223203600</v>
      </c>
    </row>
    <row r="19" spans="1:9" x14ac:dyDescent="0.3">
      <c r="A19" s="4" t="s">
        <v>42</v>
      </c>
      <c r="B19" s="14">
        <v>45717</v>
      </c>
      <c r="C19" s="15">
        <f>COUNTIFS('Raw Orders'!$B$5:$B$899,$A19,'Raw Orders'!$D$5:$D$899,$B19)</f>
        <v>31</v>
      </c>
      <c r="D19" s="15">
        <f>SUMIFS('Raw Orders'!$E$5:$E$899,'Raw Orders'!$B$5:$B$899,$A19,'Raw Orders'!$D$5:$D$899,$B19)</f>
        <v>597.69999999999993</v>
      </c>
      <c r="E19" s="15">
        <f>SUMIFS('Raw Orders'!$F$5:$F$899,'Raw Orders'!$B$5:$B$899,$A19,'Raw Orders'!$D$5:$D$899,$B19)</f>
        <v>49609100</v>
      </c>
      <c r="F19" s="15">
        <f>SUMIFS('Raw Orders'!$F$5:$F$899,'Raw Orders'!$B$5:$B$899,$A19,'Raw Orders'!$I$5:$I$899,$B19,'Raw Orders'!$J$5:$J$899,FALSE)</f>
        <v>33316200</v>
      </c>
      <c r="G19" s="15">
        <f>SUMIFS('Raw Orders'!$F$5:$F$899,'Raw Orders'!$B$5:$B$899,$A19,'Raw Orders'!$D$5:$D$899,"&lt;="&amp;$B19)-SUMIFS('Raw Orders'!$F$5:$F$899,'Raw Orders'!$B$5:$B$899,$A19,'Raw Orders'!$I$5:$I$899,"&lt;="&amp;$B19,'Raw Orders'!$J$5:$J$899,FALSE)</f>
        <v>313897700</v>
      </c>
      <c r="H19" s="16">
        <f t="shared" si="0"/>
        <v>1.4890383657199802</v>
      </c>
      <c r="I19" s="15">
        <f t="shared" si="1"/>
        <v>235423275</v>
      </c>
    </row>
    <row r="20" spans="1:9" x14ac:dyDescent="0.3">
      <c r="A20" s="4" t="s">
        <v>42</v>
      </c>
      <c r="B20" s="14">
        <v>45748</v>
      </c>
      <c r="C20" s="15">
        <f>COUNTIFS('Raw Orders'!$B$5:$B$899,$A20,'Raw Orders'!$D$5:$D$899,$B20)</f>
        <v>25</v>
      </c>
      <c r="D20" s="15">
        <f>SUMIFS('Raw Orders'!$E$5:$E$899,'Raw Orders'!$B$5:$B$899,$A20,'Raw Orders'!$D$5:$D$899,$B20)</f>
        <v>548.79999999999995</v>
      </c>
      <c r="E20" s="15">
        <f>SUMIFS('Raw Orders'!$F$5:$F$899,'Raw Orders'!$B$5:$B$899,$A20,'Raw Orders'!$D$5:$D$899,$B20)</f>
        <v>45550400</v>
      </c>
      <c r="F20" s="15">
        <f>SUMIFS('Raw Orders'!$F$5:$F$899,'Raw Orders'!$B$5:$B$899,$A20,'Raw Orders'!$I$5:$I$899,$B20,'Raw Orders'!$J$5:$J$899,FALSE)</f>
        <v>34146200</v>
      </c>
      <c r="G20" s="15">
        <f>SUMIFS('Raw Orders'!$F$5:$F$899,'Raw Orders'!$B$5:$B$899,$A20,'Raw Orders'!$D$5:$D$899,"&lt;="&amp;$B20)-SUMIFS('Raw Orders'!$F$5:$F$899,'Raw Orders'!$B$5:$B$899,$A20,'Raw Orders'!$I$5:$I$899,"&lt;="&amp;$B20,'Raw Orders'!$J$5:$J$899,FALSE)</f>
        <v>325301900</v>
      </c>
      <c r="H20" s="16">
        <f t="shared" si="0"/>
        <v>1.3339815264948955</v>
      </c>
      <c r="I20" s="15">
        <f t="shared" si="1"/>
        <v>243976425</v>
      </c>
    </row>
    <row r="21" spans="1:9" x14ac:dyDescent="0.3">
      <c r="A21" s="4" t="s">
        <v>42</v>
      </c>
      <c r="B21" s="14">
        <v>45778</v>
      </c>
      <c r="C21" s="15">
        <f>COUNTIFS('Raw Orders'!$B$5:$B$899,$A21,'Raw Orders'!$D$5:$D$899,$B21)</f>
        <v>18</v>
      </c>
      <c r="D21" s="15">
        <f>SUMIFS('Raw Orders'!$E$5:$E$899,'Raw Orders'!$B$5:$B$899,$A21,'Raw Orders'!$D$5:$D$899,$B21)</f>
        <v>309.39999999999998</v>
      </c>
      <c r="E21" s="15">
        <f>SUMIFS('Raw Orders'!$F$5:$F$899,'Raw Orders'!$B$5:$B$899,$A21,'Raw Orders'!$D$5:$D$899,$B21)</f>
        <v>25680200</v>
      </c>
      <c r="F21" s="15">
        <f>SUMIFS('Raw Orders'!$F$5:$F$899,'Raw Orders'!$B$5:$B$899,$A21,'Raw Orders'!$I$5:$I$899,$B21,'Raw Orders'!$J$5:$J$899,FALSE)</f>
        <v>44081300</v>
      </c>
      <c r="G21" s="15">
        <f>SUMIFS('Raw Orders'!$F$5:$F$899,'Raw Orders'!$B$5:$B$899,$A21,'Raw Orders'!$D$5:$D$899,"&lt;="&amp;$B21)-SUMIFS('Raw Orders'!$F$5:$F$899,'Raw Orders'!$B$5:$B$899,$A21,'Raw Orders'!$I$5:$I$899,"&lt;="&amp;$B21,'Raw Orders'!$J$5:$J$899,FALSE)</f>
        <v>306900800</v>
      </c>
      <c r="H21" s="16">
        <f t="shared" si="0"/>
        <v>0.58256448879683675</v>
      </c>
      <c r="I21" s="15">
        <f t="shared" si="1"/>
        <v>230175600</v>
      </c>
    </row>
    <row r="22" spans="1:9" x14ac:dyDescent="0.3">
      <c r="A22" s="4" t="s">
        <v>42</v>
      </c>
      <c r="B22" s="14">
        <v>45809</v>
      </c>
      <c r="C22" s="15">
        <f>COUNTIFS('Raw Orders'!$B$5:$B$899,$A22,'Raw Orders'!$D$5:$D$899,$B22)</f>
        <v>29</v>
      </c>
      <c r="D22" s="15">
        <f>SUMIFS('Raw Orders'!$E$5:$E$899,'Raw Orders'!$B$5:$B$899,$A22,'Raw Orders'!$D$5:$D$899,$B22)</f>
        <v>553</v>
      </c>
      <c r="E22" s="15">
        <f>SUMIFS('Raw Orders'!$F$5:$F$899,'Raw Orders'!$B$5:$B$899,$A22,'Raw Orders'!$D$5:$D$899,$B22)</f>
        <v>45899000</v>
      </c>
      <c r="F22" s="15">
        <f>SUMIFS('Raw Orders'!$F$5:$F$899,'Raw Orders'!$B$5:$B$899,$A22,'Raw Orders'!$I$5:$I$899,$B22,'Raw Orders'!$J$5:$J$899,FALSE)</f>
        <v>31083500</v>
      </c>
      <c r="G22" s="15">
        <f>SUMIFS('Raw Orders'!$F$5:$F$899,'Raw Orders'!$B$5:$B$899,$A22,'Raw Orders'!$D$5:$D$899,"&lt;="&amp;$B22)-SUMIFS('Raw Orders'!$F$5:$F$899,'Raw Orders'!$B$5:$B$899,$A22,'Raw Orders'!$I$5:$I$899,"&lt;="&amp;$B22,'Raw Orders'!$J$5:$J$899,FALSE)</f>
        <v>321716300</v>
      </c>
      <c r="H22" s="16">
        <f t="shared" si="0"/>
        <v>1.4766355140186915</v>
      </c>
      <c r="I22" s="15">
        <f t="shared" si="1"/>
        <v>241287225</v>
      </c>
    </row>
    <row r="23" spans="1:9" x14ac:dyDescent="0.3">
      <c r="A23" s="4" t="s">
        <v>42</v>
      </c>
      <c r="B23" s="14">
        <v>45839</v>
      </c>
      <c r="C23" s="15">
        <f>COUNTIFS('Raw Orders'!$B$5:$B$899,$A23,'Raw Orders'!$D$5:$D$899,$B23)</f>
        <v>38</v>
      </c>
      <c r="D23" s="15">
        <f>SUMIFS('Raw Orders'!$E$5:$E$899,'Raw Orders'!$B$5:$B$899,$A23,'Raw Orders'!$D$5:$D$899,$B23)</f>
        <v>765.99999999999989</v>
      </c>
      <c r="E23" s="15">
        <f>SUMIFS('Raw Orders'!$F$5:$F$899,'Raw Orders'!$B$5:$B$899,$A23,'Raw Orders'!$D$5:$D$899,$B23)</f>
        <v>63578000</v>
      </c>
      <c r="F23" s="15">
        <f>SUMIFS('Raw Orders'!$F$5:$F$899,'Raw Orders'!$B$5:$B$899,$A23,'Raw Orders'!$I$5:$I$899,$B23,'Raw Orders'!$J$5:$J$899,FALSE)</f>
        <v>18849300</v>
      </c>
      <c r="G23" s="15">
        <f>SUMIFS('Raw Orders'!$F$5:$F$899,'Raw Orders'!$B$5:$B$899,$A23,'Raw Orders'!$D$5:$D$899,"&lt;="&amp;$B23)-SUMIFS('Raw Orders'!$F$5:$F$899,'Raw Orders'!$B$5:$B$899,$A23,'Raw Orders'!$I$5:$I$899,"&lt;="&amp;$B23,'Raw Orders'!$J$5:$J$899,FALSE)</f>
        <v>366445000</v>
      </c>
      <c r="H23" s="16">
        <f t="shared" si="0"/>
        <v>3.37296345222369</v>
      </c>
      <c r="I23" s="15">
        <f t="shared" si="1"/>
        <v>274833750</v>
      </c>
    </row>
    <row r="24" spans="1:9" x14ac:dyDescent="0.3">
      <c r="A24" s="4" t="s">
        <v>42</v>
      </c>
      <c r="B24" s="14">
        <v>45870</v>
      </c>
      <c r="C24" s="15">
        <f>COUNTIFS('Raw Orders'!$B$5:$B$899,$A24,'Raw Orders'!$D$5:$D$899,$B24)</f>
        <v>35</v>
      </c>
      <c r="D24" s="15">
        <f>SUMIFS('Raw Orders'!$E$5:$E$899,'Raw Orders'!$B$5:$B$899,$A24,'Raw Orders'!$D$5:$D$899,$B24)</f>
        <v>614.9000000000002</v>
      </c>
      <c r="E24" s="15">
        <f>SUMIFS('Raw Orders'!$F$5:$F$899,'Raw Orders'!$B$5:$B$899,$A24,'Raw Orders'!$D$5:$D$899,$B24)</f>
        <v>51036700</v>
      </c>
      <c r="F24" s="15">
        <f>SUMIFS('Raw Orders'!$F$5:$F$899,'Raw Orders'!$B$5:$B$899,$A24,'Raw Orders'!$I$5:$I$899,$B24,'Raw Orders'!$J$5:$J$899,FALSE)</f>
        <v>34860000</v>
      </c>
      <c r="G24" s="15">
        <f>SUMIFS('Raw Orders'!$F$5:$F$899,'Raw Orders'!$B$5:$B$899,$A24,'Raw Orders'!$D$5:$D$899,"&lt;="&amp;$B24)-SUMIFS('Raw Orders'!$F$5:$F$899,'Raw Orders'!$B$5:$B$899,$A24,'Raw Orders'!$I$5:$I$899,"&lt;="&amp;$B24,'Raw Orders'!$J$5:$J$899,FALSE)</f>
        <v>382621700</v>
      </c>
      <c r="H24" s="16">
        <f t="shared" si="0"/>
        <v>1.464047619047619</v>
      </c>
      <c r="I24" s="15">
        <f t="shared" si="1"/>
        <v>286966275</v>
      </c>
    </row>
    <row r="25" spans="1:9" x14ac:dyDescent="0.3">
      <c r="A25" s="4" t="s">
        <v>42</v>
      </c>
      <c r="B25" s="14">
        <v>45901</v>
      </c>
      <c r="C25" s="15">
        <f>COUNTIFS('Raw Orders'!$B$5:$B$899,$A25,'Raw Orders'!$D$5:$D$899,$B25)</f>
        <v>31</v>
      </c>
      <c r="D25" s="15">
        <f>SUMIFS('Raw Orders'!$E$5:$E$899,'Raw Orders'!$B$5:$B$899,$A25,'Raw Orders'!$D$5:$D$899,$B25)</f>
        <v>507.89999999999992</v>
      </c>
      <c r="E25" s="15">
        <f>SUMIFS('Raw Orders'!$F$5:$F$899,'Raw Orders'!$B$5:$B$899,$A25,'Raw Orders'!$D$5:$D$899,$B25)</f>
        <v>42155700</v>
      </c>
      <c r="F25" s="15">
        <f>SUMIFS('Raw Orders'!$F$5:$F$899,'Raw Orders'!$B$5:$B$899,$A25,'Raw Orders'!$I$5:$I$899,$B25,'Raw Orders'!$J$5:$J$899,FALSE)</f>
        <v>28659900</v>
      </c>
      <c r="G25" s="15">
        <f>SUMIFS('Raw Orders'!$F$5:$F$899,'Raw Orders'!$B$5:$B$899,$A25,'Raw Orders'!$D$5:$D$899,"&lt;="&amp;$B25)-SUMIFS('Raw Orders'!$F$5:$F$899,'Raw Orders'!$B$5:$B$899,$A25,'Raw Orders'!$I$5:$I$899,"&lt;="&amp;$B25,'Raw Orders'!$J$5:$J$899,FALSE)</f>
        <v>396117500</v>
      </c>
      <c r="H25" s="16">
        <f t="shared" si="0"/>
        <v>1.4708948740225891</v>
      </c>
      <c r="I25" s="15">
        <f t="shared" si="1"/>
        <v>297088125</v>
      </c>
    </row>
    <row r="26" spans="1:9" x14ac:dyDescent="0.3">
      <c r="A26" s="4" t="s">
        <v>42</v>
      </c>
      <c r="B26" s="14">
        <v>45931</v>
      </c>
      <c r="C26" s="15">
        <f>COUNTIFS('Raw Orders'!$B$5:$B$899,$A26,'Raw Orders'!$D$5:$D$899,$B26)</f>
        <v>17</v>
      </c>
      <c r="D26" s="15">
        <f>SUMIFS('Raw Orders'!$E$5:$E$899,'Raw Orders'!$B$5:$B$899,$A26,'Raw Orders'!$D$5:$D$899,$B26)</f>
        <v>308.59999999999997</v>
      </c>
      <c r="E26" s="15">
        <f>SUMIFS('Raw Orders'!$F$5:$F$899,'Raw Orders'!$B$5:$B$899,$A26,'Raw Orders'!$D$5:$D$899,$B26)</f>
        <v>25613800</v>
      </c>
      <c r="F26" s="15">
        <f>SUMIFS('Raw Orders'!$F$5:$F$899,'Raw Orders'!$B$5:$B$899,$A26,'Raw Orders'!$I$5:$I$899,$B26,'Raw Orders'!$J$5:$J$899,FALSE)</f>
        <v>40470800</v>
      </c>
      <c r="G26" s="15">
        <f>SUMIFS('Raw Orders'!$F$5:$F$899,'Raw Orders'!$B$5:$B$899,$A26,'Raw Orders'!$D$5:$D$899,"&lt;="&amp;$B26)-SUMIFS('Raw Orders'!$F$5:$F$899,'Raw Orders'!$B$5:$B$899,$A26,'Raw Orders'!$I$5:$I$899,"&lt;="&amp;$B26,'Raw Orders'!$J$5:$J$899,FALSE)</f>
        <v>381260500</v>
      </c>
      <c r="H26" s="16">
        <f t="shared" si="0"/>
        <v>0.63289581624282198</v>
      </c>
      <c r="I26" s="15">
        <f t="shared" si="1"/>
        <v>285945375</v>
      </c>
    </row>
    <row r="27" spans="1:9" x14ac:dyDescent="0.3">
      <c r="A27" s="4" t="s">
        <v>42</v>
      </c>
      <c r="B27" s="14">
        <v>45962</v>
      </c>
      <c r="C27" s="15">
        <f>COUNTIFS('Raw Orders'!$B$5:$B$899,$A27,'Raw Orders'!$D$5:$D$899,$B27)</f>
        <v>30</v>
      </c>
      <c r="D27" s="15">
        <f>SUMIFS('Raw Orders'!$E$5:$E$899,'Raw Orders'!$B$5:$B$899,$A27,'Raw Orders'!$D$5:$D$899,$B27)</f>
        <v>471.59999999999997</v>
      </c>
      <c r="E27" s="15">
        <f>SUMIFS('Raw Orders'!$F$5:$F$899,'Raw Orders'!$B$5:$B$899,$A27,'Raw Orders'!$D$5:$D$899,$B27)</f>
        <v>39142800</v>
      </c>
      <c r="F27" s="15">
        <f>SUMIFS('Raw Orders'!$F$5:$F$899,'Raw Orders'!$B$5:$B$899,$A27,'Raw Orders'!$I$5:$I$899,$B27,'Raw Orders'!$J$5:$J$899,FALSE)</f>
        <v>33158500</v>
      </c>
      <c r="G27" s="15">
        <f>SUMIFS('Raw Orders'!$F$5:$F$899,'Raw Orders'!$B$5:$B$899,$A27,'Raw Orders'!$D$5:$D$899,"&lt;="&amp;$B27)-SUMIFS('Raw Orders'!$F$5:$F$899,'Raw Orders'!$B$5:$B$899,$A27,'Raw Orders'!$I$5:$I$899,"&lt;="&amp;$B27,'Raw Orders'!$J$5:$J$899,FALSE)</f>
        <v>387244800</v>
      </c>
      <c r="H27" s="16">
        <f t="shared" si="0"/>
        <v>1.1804755944931165</v>
      </c>
      <c r="I27" s="15">
        <f t="shared" si="1"/>
        <v>290433600</v>
      </c>
    </row>
    <row r="28" spans="1:9" x14ac:dyDescent="0.3">
      <c r="A28" s="4" t="s">
        <v>42</v>
      </c>
      <c r="B28" s="14">
        <v>45992</v>
      </c>
      <c r="C28" s="15">
        <f>COUNTIFS('Raw Orders'!$B$5:$B$899,$A28,'Raw Orders'!$D$5:$D$899,$B28)</f>
        <v>33</v>
      </c>
      <c r="D28" s="15">
        <f>SUMIFS('Raw Orders'!$E$5:$E$899,'Raw Orders'!$B$5:$B$899,$A28,'Raw Orders'!$D$5:$D$899,$B28)</f>
        <v>593.5</v>
      </c>
      <c r="E28" s="15">
        <f>SUMIFS('Raw Orders'!$F$5:$F$899,'Raw Orders'!$B$5:$B$899,$A28,'Raw Orders'!$D$5:$D$899,$B28)</f>
        <v>49260500</v>
      </c>
      <c r="F28" s="15">
        <f>SUMIFS('Raw Orders'!$F$5:$F$899,'Raw Orders'!$B$5:$B$899,$A28,'Raw Orders'!$I$5:$I$899,$B28,'Raw Orders'!$J$5:$J$899,FALSE)</f>
        <v>43741000</v>
      </c>
      <c r="G28" s="15">
        <f>SUMIFS('Raw Orders'!$F$5:$F$899,'Raw Orders'!$B$5:$B$899,$A28,'Raw Orders'!$D$5:$D$899,"&lt;="&amp;$B28)-SUMIFS('Raw Orders'!$F$5:$F$899,'Raw Orders'!$B$5:$B$899,$A28,'Raw Orders'!$I$5:$I$899,"&lt;="&amp;$B28,'Raw Orders'!$J$5:$J$899,FALSE)</f>
        <v>392764300</v>
      </c>
      <c r="H28" s="16">
        <f t="shared" si="0"/>
        <v>1.1261859582542695</v>
      </c>
      <c r="I28" s="15">
        <f t="shared" si="1"/>
        <v>294573225</v>
      </c>
    </row>
    <row r="29" spans="1:9" x14ac:dyDescent="0.3">
      <c r="A29" s="4" t="s">
        <v>56</v>
      </c>
      <c r="B29" s="14">
        <v>45292</v>
      </c>
      <c r="C29" s="15">
        <f>COUNTIFS('Raw Orders'!$B$5:$B$899,$A29,'Raw Orders'!$D$5:$D$899,$B29)</f>
        <v>6</v>
      </c>
      <c r="D29" s="15">
        <f>SUMIFS('Raw Orders'!$E$5:$E$899,'Raw Orders'!$B$5:$B$899,$A29,'Raw Orders'!$D$5:$D$899,$B29)</f>
        <v>133.1</v>
      </c>
      <c r="E29" s="15">
        <f>SUMIFS('Raw Orders'!$F$5:$F$899,'Raw Orders'!$B$5:$B$899,$A29,'Raw Orders'!$D$5:$D$899,$B29)</f>
        <v>11203200</v>
      </c>
      <c r="F29" s="15">
        <f>SUMIFS('Raw Orders'!$F$5:$F$899,'Raw Orders'!$B$5:$B$899,$A29,'Raw Orders'!$I$5:$I$899,$B29,'Raw Orders'!$J$5:$J$899,FALSE)</f>
        <v>0</v>
      </c>
      <c r="G29" s="15">
        <f>SUMIFS('Raw Orders'!$F$5:$F$899,'Raw Orders'!$B$5:$B$899,$A29,'Raw Orders'!$D$5:$D$899,"&lt;="&amp;$B29)-SUMIFS('Raw Orders'!$F$5:$F$899,'Raw Orders'!$B$5:$B$899,$A29,'Raw Orders'!$I$5:$I$899,"&lt;="&amp;$B29,'Raw Orders'!$J$5:$J$899,FALSE)</f>
        <v>11203200</v>
      </c>
      <c r="H29" s="16" t="str">
        <f t="shared" si="0"/>
        <v/>
      </c>
      <c r="I29" s="15">
        <f t="shared" si="1"/>
        <v>8402400</v>
      </c>
    </row>
    <row r="30" spans="1:9" x14ac:dyDescent="0.3">
      <c r="A30" s="4" t="s">
        <v>56</v>
      </c>
      <c r="B30" s="14">
        <v>45323</v>
      </c>
      <c r="C30" s="15">
        <f>COUNTIFS('Raw Orders'!$B$5:$B$899,$A30,'Raw Orders'!$D$5:$D$899,$B30)</f>
        <v>10</v>
      </c>
      <c r="D30" s="15">
        <f>SUMIFS('Raw Orders'!$E$5:$E$899,'Raw Orders'!$B$5:$B$899,$A30,'Raw Orders'!$D$5:$D$899,$B30)</f>
        <v>116.10000000000001</v>
      </c>
      <c r="E30" s="15">
        <f>SUMIFS('Raw Orders'!$F$5:$F$899,'Raw Orders'!$B$5:$B$899,$A30,'Raw Orders'!$D$5:$D$899,$B30)</f>
        <v>9871000</v>
      </c>
      <c r="F30" s="15">
        <f>SUMIFS('Raw Orders'!$F$5:$F$899,'Raw Orders'!$B$5:$B$899,$A30,'Raw Orders'!$I$5:$I$899,$B30,'Raw Orders'!$J$5:$J$899,FALSE)</f>
        <v>0</v>
      </c>
      <c r="G30" s="15">
        <f>SUMIFS('Raw Orders'!$F$5:$F$899,'Raw Orders'!$B$5:$B$899,$A30,'Raw Orders'!$D$5:$D$899,"&lt;="&amp;$B30)-SUMIFS('Raw Orders'!$F$5:$F$899,'Raw Orders'!$B$5:$B$899,$A30,'Raw Orders'!$I$5:$I$899,"&lt;="&amp;$B30,'Raw Orders'!$J$5:$J$899,FALSE)</f>
        <v>21074200</v>
      </c>
      <c r="H30" s="16" t="str">
        <f t="shared" si="0"/>
        <v/>
      </c>
      <c r="I30" s="15">
        <f t="shared" si="1"/>
        <v>15805650</v>
      </c>
    </row>
    <row r="31" spans="1:9" x14ac:dyDescent="0.3">
      <c r="A31" s="4" t="s">
        <v>56</v>
      </c>
      <c r="B31" s="14">
        <v>45352</v>
      </c>
      <c r="C31" s="15">
        <f>COUNTIFS('Raw Orders'!$B$5:$B$899,$A31,'Raw Orders'!$D$5:$D$899,$B31)</f>
        <v>9</v>
      </c>
      <c r="D31" s="15">
        <f>SUMIFS('Raw Orders'!$E$5:$E$899,'Raw Orders'!$B$5:$B$899,$A31,'Raw Orders'!$D$5:$D$899,$B31)</f>
        <v>211.70000000000002</v>
      </c>
      <c r="E31" s="15">
        <f>SUMIFS('Raw Orders'!$F$5:$F$899,'Raw Orders'!$B$5:$B$899,$A31,'Raw Orders'!$D$5:$D$899,$B31)</f>
        <v>18155700</v>
      </c>
      <c r="F31" s="15">
        <f>SUMIFS('Raw Orders'!$F$5:$F$899,'Raw Orders'!$B$5:$B$899,$A31,'Raw Orders'!$I$5:$I$899,$B31,'Raw Orders'!$J$5:$J$899,FALSE)</f>
        <v>0</v>
      </c>
      <c r="G31" s="15">
        <f>SUMIFS('Raw Orders'!$F$5:$F$899,'Raw Orders'!$B$5:$B$899,$A31,'Raw Orders'!$D$5:$D$899,"&lt;="&amp;$B31)-SUMIFS('Raw Orders'!$F$5:$F$899,'Raw Orders'!$B$5:$B$899,$A31,'Raw Orders'!$I$5:$I$899,"&lt;="&amp;$B31,'Raw Orders'!$J$5:$J$899,FALSE)</f>
        <v>39229900</v>
      </c>
      <c r="H31" s="16" t="str">
        <f t="shared" si="0"/>
        <v/>
      </c>
      <c r="I31" s="15">
        <f t="shared" si="1"/>
        <v>29422425</v>
      </c>
    </row>
    <row r="32" spans="1:9" x14ac:dyDescent="0.3">
      <c r="A32" s="4" t="s">
        <v>56</v>
      </c>
      <c r="B32" s="14">
        <v>45383</v>
      </c>
      <c r="C32" s="15">
        <f>COUNTIFS('Raw Orders'!$B$5:$B$899,$A32,'Raw Orders'!$D$5:$D$899,$B32)</f>
        <v>4</v>
      </c>
      <c r="D32" s="15">
        <f>SUMIFS('Raw Orders'!$E$5:$E$899,'Raw Orders'!$B$5:$B$899,$A32,'Raw Orders'!$D$5:$D$899,$B32)</f>
        <v>66</v>
      </c>
      <c r="E32" s="15">
        <f>SUMIFS('Raw Orders'!$F$5:$F$899,'Raw Orders'!$B$5:$B$899,$A32,'Raw Orders'!$D$5:$D$899,$B32)</f>
        <v>5700900</v>
      </c>
      <c r="F32" s="15">
        <f>SUMIFS('Raw Orders'!$F$5:$F$899,'Raw Orders'!$B$5:$B$899,$A32,'Raw Orders'!$I$5:$I$899,$B32,'Raw Orders'!$J$5:$J$899,FALSE)</f>
        <v>0</v>
      </c>
      <c r="G32" s="15">
        <f>SUMIFS('Raw Orders'!$F$5:$F$899,'Raw Orders'!$B$5:$B$899,$A32,'Raw Orders'!$D$5:$D$899,"&lt;="&amp;$B32)-SUMIFS('Raw Orders'!$F$5:$F$899,'Raw Orders'!$B$5:$B$899,$A32,'Raw Orders'!$I$5:$I$899,"&lt;="&amp;$B32,'Raw Orders'!$J$5:$J$899,FALSE)</f>
        <v>44930800</v>
      </c>
      <c r="H32" s="16" t="str">
        <f t="shared" si="0"/>
        <v/>
      </c>
      <c r="I32" s="15">
        <f t="shared" si="1"/>
        <v>33698100</v>
      </c>
    </row>
    <row r="33" spans="1:9" x14ac:dyDescent="0.3">
      <c r="A33" s="4" t="s">
        <v>56</v>
      </c>
      <c r="B33" s="14">
        <v>45413</v>
      </c>
      <c r="C33" s="15">
        <f>COUNTIFS('Raw Orders'!$B$5:$B$899,$A33,'Raw Orders'!$D$5:$D$899,$B33)</f>
        <v>2</v>
      </c>
      <c r="D33" s="15">
        <f>SUMIFS('Raw Orders'!$E$5:$E$899,'Raw Orders'!$B$5:$B$899,$A33,'Raw Orders'!$D$5:$D$899,$B33)</f>
        <v>29.200000000000003</v>
      </c>
      <c r="E33" s="15">
        <f>SUMIFS('Raw Orders'!$F$5:$F$899,'Raw Orders'!$B$5:$B$899,$A33,'Raw Orders'!$D$5:$D$899,$B33)</f>
        <v>2528300</v>
      </c>
      <c r="F33" s="15">
        <f>SUMIFS('Raw Orders'!$F$5:$F$899,'Raw Orders'!$B$5:$B$899,$A33,'Raw Orders'!$I$5:$I$899,$B33,'Raw Orders'!$J$5:$J$899,FALSE)</f>
        <v>0</v>
      </c>
      <c r="G33" s="15">
        <f>SUMIFS('Raw Orders'!$F$5:$F$899,'Raw Orders'!$B$5:$B$899,$A33,'Raw Orders'!$D$5:$D$899,"&lt;="&amp;$B33)-SUMIFS('Raw Orders'!$F$5:$F$899,'Raw Orders'!$B$5:$B$899,$A33,'Raw Orders'!$I$5:$I$899,"&lt;="&amp;$B33,'Raw Orders'!$J$5:$J$899,FALSE)</f>
        <v>47459100</v>
      </c>
      <c r="H33" s="16" t="str">
        <f t="shared" si="0"/>
        <v/>
      </c>
      <c r="I33" s="15">
        <f t="shared" si="1"/>
        <v>35594325</v>
      </c>
    </row>
    <row r="34" spans="1:9" x14ac:dyDescent="0.3">
      <c r="A34" s="4" t="s">
        <v>56</v>
      </c>
      <c r="B34" s="14">
        <v>45444</v>
      </c>
      <c r="C34" s="15">
        <f>COUNTIFS('Raw Orders'!$B$5:$B$899,$A34,'Raw Orders'!$D$5:$D$899,$B34)</f>
        <v>3</v>
      </c>
      <c r="D34" s="15">
        <f>SUMIFS('Raw Orders'!$E$5:$E$899,'Raw Orders'!$B$5:$B$899,$A34,'Raw Orders'!$D$5:$D$899,$B34)</f>
        <v>58.5</v>
      </c>
      <c r="E34" s="15">
        <f>SUMIFS('Raw Orders'!$F$5:$F$899,'Raw Orders'!$B$5:$B$899,$A34,'Raw Orders'!$D$5:$D$899,$B34)</f>
        <v>5055600</v>
      </c>
      <c r="F34" s="15">
        <f>SUMIFS('Raw Orders'!$F$5:$F$899,'Raw Orders'!$B$5:$B$899,$A34,'Raw Orders'!$I$5:$I$899,$B34,'Raw Orders'!$J$5:$J$899,FALSE)</f>
        <v>0</v>
      </c>
      <c r="G34" s="15">
        <f>SUMIFS('Raw Orders'!$F$5:$F$899,'Raw Orders'!$B$5:$B$899,$A34,'Raw Orders'!$D$5:$D$899,"&lt;="&amp;$B34)-SUMIFS('Raw Orders'!$F$5:$F$899,'Raw Orders'!$B$5:$B$899,$A34,'Raw Orders'!$I$5:$I$899,"&lt;="&amp;$B34,'Raw Orders'!$J$5:$J$899,FALSE)</f>
        <v>52514700</v>
      </c>
      <c r="H34" s="16" t="str">
        <f t="shared" si="0"/>
        <v/>
      </c>
      <c r="I34" s="15">
        <f t="shared" si="1"/>
        <v>39386025</v>
      </c>
    </row>
    <row r="35" spans="1:9" x14ac:dyDescent="0.3">
      <c r="A35" s="4" t="s">
        <v>56</v>
      </c>
      <c r="B35" s="14">
        <v>45474</v>
      </c>
      <c r="C35" s="15">
        <f>COUNTIFS('Raw Orders'!$B$5:$B$899,$A35,'Raw Orders'!$D$5:$D$899,$B35)</f>
        <v>8</v>
      </c>
      <c r="D35" s="15">
        <f>SUMIFS('Raw Orders'!$E$5:$E$899,'Raw Orders'!$B$5:$B$899,$A35,'Raw Orders'!$D$5:$D$899,$B35)</f>
        <v>94.899999999999977</v>
      </c>
      <c r="E35" s="15">
        <f>SUMIFS('Raw Orders'!$F$5:$F$899,'Raw Orders'!$B$5:$B$899,$A35,'Raw Orders'!$D$5:$D$899,$B35)</f>
        <v>7994900</v>
      </c>
      <c r="F35" s="15">
        <f>SUMIFS('Raw Orders'!$F$5:$F$899,'Raw Orders'!$B$5:$B$899,$A35,'Raw Orders'!$I$5:$I$899,$B35,'Raw Orders'!$J$5:$J$899,FALSE)</f>
        <v>0</v>
      </c>
      <c r="G35" s="15">
        <f>SUMIFS('Raw Orders'!$F$5:$F$899,'Raw Orders'!$B$5:$B$899,$A35,'Raw Orders'!$D$5:$D$899,"&lt;="&amp;$B35)-SUMIFS('Raw Orders'!$F$5:$F$899,'Raw Orders'!$B$5:$B$899,$A35,'Raw Orders'!$I$5:$I$899,"&lt;="&amp;$B35,'Raw Orders'!$J$5:$J$899,FALSE)</f>
        <v>60509600</v>
      </c>
      <c r="H35" s="16" t="str">
        <f t="shared" si="0"/>
        <v/>
      </c>
      <c r="I35" s="15">
        <f t="shared" si="1"/>
        <v>45382200</v>
      </c>
    </row>
    <row r="36" spans="1:9" x14ac:dyDescent="0.3">
      <c r="A36" s="4" t="s">
        <v>56</v>
      </c>
      <c r="B36" s="14">
        <v>45505</v>
      </c>
      <c r="C36" s="15">
        <f>COUNTIFS('Raw Orders'!$B$5:$B$899,$A36,'Raw Orders'!$D$5:$D$899,$B36)</f>
        <v>5</v>
      </c>
      <c r="D36" s="15">
        <f>SUMIFS('Raw Orders'!$E$5:$E$899,'Raw Orders'!$B$5:$B$899,$A36,'Raw Orders'!$D$5:$D$899,$B36)</f>
        <v>92</v>
      </c>
      <c r="E36" s="15">
        <f>SUMIFS('Raw Orders'!$F$5:$F$899,'Raw Orders'!$B$5:$B$899,$A36,'Raw Orders'!$D$5:$D$899,$B36)</f>
        <v>7991700</v>
      </c>
      <c r="F36" s="15">
        <f>SUMIFS('Raw Orders'!$F$5:$F$899,'Raw Orders'!$B$5:$B$899,$A36,'Raw Orders'!$I$5:$I$899,$B36,'Raw Orders'!$J$5:$J$899,FALSE)</f>
        <v>2519200</v>
      </c>
      <c r="G36" s="15">
        <f>SUMIFS('Raw Orders'!$F$5:$F$899,'Raw Orders'!$B$5:$B$899,$A36,'Raw Orders'!$D$5:$D$899,"&lt;="&amp;$B36)-SUMIFS('Raw Orders'!$F$5:$F$899,'Raw Orders'!$B$5:$B$899,$A36,'Raw Orders'!$I$5:$I$899,"&lt;="&amp;$B36,'Raw Orders'!$J$5:$J$899,FALSE)</f>
        <v>65982100</v>
      </c>
      <c r="H36" s="16">
        <f t="shared" si="0"/>
        <v>3.1723166084471259</v>
      </c>
      <c r="I36" s="15">
        <f t="shared" si="1"/>
        <v>49486575</v>
      </c>
    </row>
    <row r="37" spans="1:9" x14ac:dyDescent="0.3">
      <c r="A37" s="4" t="s">
        <v>56</v>
      </c>
      <c r="B37" s="14">
        <v>45536</v>
      </c>
      <c r="C37" s="15">
        <f>COUNTIFS('Raw Orders'!$B$5:$B$899,$A37,'Raw Orders'!$D$5:$D$899,$B37)</f>
        <v>4</v>
      </c>
      <c r="D37" s="15">
        <f>SUMIFS('Raw Orders'!$E$5:$E$899,'Raw Orders'!$B$5:$B$899,$A37,'Raw Orders'!$D$5:$D$899,$B37)</f>
        <v>51.8</v>
      </c>
      <c r="E37" s="15">
        <f>SUMIFS('Raw Orders'!$F$5:$F$899,'Raw Orders'!$B$5:$B$899,$A37,'Raw Orders'!$D$5:$D$899,$B37)</f>
        <v>4558400</v>
      </c>
      <c r="F37" s="15">
        <f>SUMIFS('Raw Orders'!$F$5:$F$899,'Raw Orders'!$B$5:$B$899,$A37,'Raw Orders'!$I$5:$I$899,$B37,'Raw Orders'!$J$5:$J$899,FALSE)</f>
        <v>3044800</v>
      </c>
      <c r="G37" s="15">
        <f>SUMIFS('Raw Orders'!$F$5:$F$899,'Raw Orders'!$B$5:$B$899,$A37,'Raw Orders'!$D$5:$D$899,"&lt;="&amp;$B37)-SUMIFS('Raw Orders'!$F$5:$F$899,'Raw Orders'!$B$5:$B$899,$A37,'Raw Orders'!$I$5:$I$899,"&lt;="&amp;$B37,'Raw Orders'!$J$5:$J$899,FALSE)</f>
        <v>67495700</v>
      </c>
      <c r="H37" s="16">
        <f t="shared" ref="H37:H68" si="2">IF(F37=0,"",E37/F37)</f>
        <v>1.4971098265895955</v>
      </c>
      <c r="I37" s="15">
        <f t="shared" ref="I37:I68" si="3">G37*0.75</f>
        <v>50621775</v>
      </c>
    </row>
    <row r="38" spans="1:9" x14ac:dyDescent="0.3">
      <c r="A38" s="4" t="s">
        <v>56</v>
      </c>
      <c r="B38" s="14">
        <v>45566</v>
      </c>
      <c r="C38" s="15">
        <f>COUNTIFS('Raw Orders'!$B$5:$B$899,$A38,'Raw Orders'!$D$5:$D$899,$B38)</f>
        <v>2</v>
      </c>
      <c r="D38" s="15">
        <f>SUMIFS('Raw Orders'!$E$5:$E$899,'Raw Orders'!$B$5:$B$899,$A38,'Raw Orders'!$D$5:$D$899,$B38)</f>
        <v>39.1</v>
      </c>
      <c r="E38" s="15">
        <f>SUMIFS('Raw Orders'!$F$5:$F$899,'Raw Orders'!$B$5:$B$899,$A38,'Raw Orders'!$D$5:$D$899,$B38)</f>
        <v>3239200</v>
      </c>
      <c r="F38" s="15">
        <f>SUMIFS('Raw Orders'!$F$5:$F$899,'Raw Orders'!$B$5:$B$899,$A38,'Raw Orders'!$I$5:$I$899,$B38,'Raw Orders'!$J$5:$J$899,FALSE)</f>
        <v>3703300</v>
      </c>
      <c r="G38" s="15">
        <f>SUMIFS('Raw Orders'!$F$5:$F$899,'Raw Orders'!$B$5:$B$899,$A38,'Raw Orders'!$D$5:$D$899,"&lt;="&amp;$B38)-SUMIFS('Raw Orders'!$F$5:$F$899,'Raw Orders'!$B$5:$B$899,$A38,'Raw Orders'!$I$5:$I$899,"&lt;="&amp;$B38,'Raw Orders'!$J$5:$J$899,FALSE)</f>
        <v>67031600</v>
      </c>
      <c r="H38" s="16">
        <f t="shared" si="2"/>
        <v>0.87467934004806525</v>
      </c>
      <c r="I38" s="15">
        <f t="shared" si="3"/>
        <v>50273700</v>
      </c>
    </row>
    <row r="39" spans="1:9" x14ac:dyDescent="0.3">
      <c r="A39" s="4" t="s">
        <v>56</v>
      </c>
      <c r="B39" s="14">
        <v>45597</v>
      </c>
      <c r="C39" s="15">
        <f>COUNTIFS('Raw Orders'!$B$5:$B$899,$A39,'Raw Orders'!$D$5:$D$899,$B39)</f>
        <v>3</v>
      </c>
      <c r="D39" s="15">
        <f>SUMIFS('Raw Orders'!$E$5:$E$899,'Raw Orders'!$B$5:$B$899,$A39,'Raw Orders'!$D$5:$D$899,$B39)</f>
        <v>39.299999999999997</v>
      </c>
      <c r="E39" s="15">
        <f>SUMIFS('Raw Orders'!$F$5:$F$899,'Raw Orders'!$B$5:$B$899,$A39,'Raw Orders'!$D$5:$D$899,$B39)</f>
        <v>3458400</v>
      </c>
      <c r="F39" s="15">
        <f>SUMIFS('Raw Orders'!$F$5:$F$899,'Raw Orders'!$B$5:$B$899,$A39,'Raw Orders'!$I$5:$I$899,$B39,'Raw Orders'!$J$5:$J$899,FALSE)</f>
        <v>3713600</v>
      </c>
      <c r="G39" s="15">
        <f>SUMIFS('Raw Orders'!$F$5:$F$899,'Raw Orders'!$B$5:$B$899,$A39,'Raw Orders'!$D$5:$D$899,"&lt;="&amp;$B39)-SUMIFS('Raw Orders'!$F$5:$F$899,'Raw Orders'!$B$5:$B$899,$A39,'Raw Orders'!$I$5:$I$899,"&lt;="&amp;$B39,'Raw Orders'!$J$5:$J$899,FALSE)</f>
        <v>66776400</v>
      </c>
      <c r="H39" s="16">
        <f t="shared" si="2"/>
        <v>0.93127962085308058</v>
      </c>
      <c r="I39" s="15">
        <f t="shared" si="3"/>
        <v>50082300</v>
      </c>
    </row>
    <row r="40" spans="1:9" x14ac:dyDescent="0.3">
      <c r="A40" s="4" t="s">
        <v>56</v>
      </c>
      <c r="B40" s="14">
        <v>45627</v>
      </c>
      <c r="C40" s="15">
        <f>COUNTIFS('Raw Orders'!$B$5:$B$899,$A40,'Raw Orders'!$D$5:$D$899,$B40)</f>
        <v>4</v>
      </c>
      <c r="D40" s="15">
        <f>SUMIFS('Raw Orders'!$E$5:$E$899,'Raw Orders'!$B$5:$B$899,$A40,'Raw Orders'!$D$5:$D$899,$B40)</f>
        <v>63.500000000000007</v>
      </c>
      <c r="E40" s="15">
        <f>SUMIFS('Raw Orders'!$F$5:$F$899,'Raw Orders'!$B$5:$B$899,$A40,'Raw Orders'!$D$5:$D$899,$B40)</f>
        <v>5455700</v>
      </c>
      <c r="F40" s="15">
        <f>SUMIFS('Raw Orders'!$F$5:$F$899,'Raw Orders'!$B$5:$B$899,$A40,'Raw Orders'!$I$5:$I$899,$B40,'Raw Orders'!$J$5:$J$899,FALSE)</f>
        <v>8450600</v>
      </c>
      <c r="G40" s="15">
        <f>SUMIFS('Raw Orders'!$F$5:$F$899,'Raw Orders'!$B$5:$B$899,$A40,'Raw Orders'!$D$5:$D$899,"&lt;="&amp;$B40)-SUMIFS('Raw Orders'!$F$5:$F$899,'Raw Orders'!$B$5:$B$899,$A40,'Raw Orders'!$I$5:$I$899,"&lt;="&amp;$B40,'Raw Orders'!$J$5:$J$899,FALSE)</f>
        <v>63781500</v>
      </c>
      <c r="H40" s="16">
        <f t="shared" si="2"/>
        <v>0.64559912905592498</v>
      </c>
      <c r="I40" s="15">
        <f t="shared" si="3"/>
        <v>47836125</v>
      </c>
    </row>
    <row r="41" spans="1:9" x14ac:dyDescent="0.3">
      <c r="A41" s="4" t="s">
        <v>56</v>
      </c>
      <c r="B41" s="14">
        <v>45658</v>
      </c>
      <c r="C41" s="15">
        <f>COUNTIFS('Raw Orders'!$B$5:$B$899,$A41,'Raw Orders'!$D$5:$D$899,$B41)</f>
        <v>2</v>
      </c>
      <c r="D41" s="15">
        <f>SUMIFS('Raw Orders'!$E$5:$E$899,'Raw Orders'!$B$5:$B$899,$A41,'Raw Orders'!$D$5:$D$899,$B41)</f>
        <v>36.1</v>
      </c>
      <c r="E41" s="15">
        <f>SUMIFS('Raw Orders'!$F$5:$F$899,'Raw Orders'!$B$5:$B$899,$A41,'Raw Orders'!$D$5:$D$899,$B41)</f>
        <v>2924100</v>
      </c>
      <c r="F41" s="15">
        <f>SUMIFS('Raw Orders'!$F$5:$F$899,'Raw Orders'!$B$5:$B$899,$A41,'Raw Orders'!$I$5:$I$899,$B41,'Raw Orders'!$J$5:$J$899,FALSE)</f>
        <v>6080800</v>
      </c>
      <c r="G41" s="15">
        <f>SUMIFS('Raw Orders'!$F$5:$F$899,'Raw Orders'!$B$5:$B$899,$A41,'Raw Orders'!$D$5:$D$899,"&lt;="&amp;$B41)-SUMIFS('Raw Orders'!$F$5:$F$899,'Raw Orders'!$B$5:$B$899,$A41,'Raw Orders'!$I$5:$I$899,"&lt;="&amp;$B41,'Raw Orders'!$J$5:$J$899,FALSE)</f>
        <v>60624800</v>
      </c>
      <c r="H41" s="16">
        <f t="shared" si="2"/>
        <v>0.4808742270753848</v>
      </c>
      <c r="I41" s="15">
        <f t="shared" si="3"/>
        <v>45468600</v>
      </c>
    </row>
    <row r="42" spans="1:9" x14ac:dyDescent="0.3">
      <c r="A42" s="4" t="s">
        <v>56</v>
      </c>
      <c r="B42" s="14">
        <v>45689</v>
      </c>
      <c r="C42" s="15">
        <f>COUNTIFS('Raw Orders'!$B$5:$B$899,$A42,'Raw Orders'!$D$5:$D$899,$B42)</f>
        <v>5</v>
      </c>
      <c r="D42" s="15">
        <f>SUMIFS('Raw Orders'!$E$5:$E$899,'Raw Orders'!$B$5:$B$899,$A42,'Raw Orders'!$D$5:$D$899,$B42)</f>
        <v>67.3</v>
      </c>
      <c r="E42" s="15">
        <f>SUMIFS('Raw Orders'!$F$5:$F$899,'Raw Orders'!$B$5:$B$899,$A42,'Raw Orders'!$D$5:$D$899,$B42)</f>
        <v>5922400</v>
      </c>
      <c r="F42" s="15">
        <f>SUMIFS('Raw Orders'!$F$5:$F$899,'Raw Orders'!$B$5:$B$899,$A42,'Raw Orders'!$I$5:$I$899,$B42,'Raw Orders'!$J$5:$J$899,FALSE)</f>
        <v>4849300</v>
      </c>
      <c r="G42" s="15">
        <f>SUMIFS('Raw Orders'!$F$5:$F$899,'Raw Orders'!$B$5:$B$899,$A42,'Raw Orders'!$D$5:$D$899,"&lt;="&amp;$B42)-SUMIFS('Raw Orders'!$F$5:$F$899,'Raw Orders'!$B$5:$B$899,$A42,'Raw Orders'!$I$5:$I$899,"&lt;="&amp;$B42,'Raw Orders'!$J$5:$J$899,FALSE)</f>
        <v>61697900</v>
      </c>
      <c r="H42" s="16">
        <f t="shared" si="2"/>
        <v>1.2212896706741179</v>
      </c>
      <c r="I42" s="15">
        <f t="shared" si="3"/>
        <v>46273425</v>
      </c>
    </row>
    <row r="43" spans="1:9" x14ac:dyDescent="0.3">
      <c r="A43" s="4" t="s">
        <v>56</v>
      </c>
      <c r="B43" s="14">
        <v>45717</v>
      </c>
      <c r="C43" s="15">
        <f>COUNTIFS('Raw Orders'!$B$5:$B$899,$A43,'Raw Orders'!$D$5:$D$899,$B43)</f>
        <v>6</v>
      </c>
      <c r="D43" s="15">
        <f>SUMIFS('Raw Orders'!$E$5:$E$899,'Raw Orders'!$B$5:$B$899,$A43,'Raw Orders'!$D$5:$D$899,$B43)</f>
        <v>94.199999999999989</v>
      </c>
      <c r="E43" s="15">
        <f>SUMIFS('Raw Orders'!$F$5:$F$899,'Raw Orders'!$B$5:$B$899,$A43,'Raw Orders'!$D$5:$D$899,$B43)</f>
        <v>7901800</v>
      </c>
      <c r="F43" s="15">
        <f>SUMIFS('Raw Orders'!$F$5:$F$899,'Raw Orders'!$B$5:$B$899,$A43,'Raw Orders'!$I$5:$I$899,$B43,'Raw Orders'!$J$5:$J$899,FALSE)</f>
        <v>9057300</v>
      </c>
      <c r="G43" s="15">
        <f>SUMIFS('Raw Orders'!$F$5:$F$899,'Raw Orders'!$B$5:$B$899,$A43,'Raw Orders'!$D$5:$D$899,"&lt;="&amp;$B43)-SUMIFS('Raw Orders'!$F$5:$F$899,'Raw Orders'!$B$5:$B$899,$A43,'Raw Orders'!$I$5:$I$899,"&lt;="&amp;$B43,'Raw Orders'!$J$5:$J$899,FALSE)</f>
        <v>60542400</v>
      </c>
      <c r="H43" s="16">
        <f t="shared" si="2"/>
        <v>0.87242334912170294</v>
      </c>
      <c r="I43" s="15">
        <f t="shared" si="3"/>
        <v>45406800</v>
      </c>
    </row>
    <row r="44" spans="1:9" x14ac:dyDescent="0.3">
      <c r="A44" s="4" t="s">
        <v>56</v>
      </c>
      <c r="B44" s="14">
        <v>45748</v>
      </c>
      <c r="C44" s="15">
        <f>COUNTIFS('Raw Orders'!$B$5:$B$899,$A44,'Raw Orders'!$D$5:$D$899,$B44)</f>
        <v>9</v>
      </c>
      <c r="D44" s="15">
        <f>SUMIFS('Raw Orders'!$E$5:$E$899,'Raw Orders'!$B$5:$B$899,$A44,'Raw Orders'!$D$5:$D$899,$B44)</f>
        <v>156.1</v>
      </c>
      <c r="E44" s="15">
        <f>SUMIFS('Raw Orders'!$F$5:$F$899,'Raw Orders'!$B$5:$B$899,$A44,'Raw Orders'!$D$5:$D$899,$B44)</f>
        <v>13359500</v>
      </c>
      <c r="F44" s="15">
        <f>SUMIFS('Raw Orders'!$F$5:$F$899,'Raw Orders'!$B$5:$B$899,$A44,'Raw Orders'!$I$5:$I$899,$B44,'Raw Orders'!$J$5:$J$899,FALSE)</f>
        <v>11412600</v>
      </c>
      <c r="G44" s="15">
        <f>SUMIFS('Raw Orders'!$F$5:$F$899,'Raw Orders'!$B$5:$B$899,$A44,'Raw Orders'!$D$5:$D$899,"&lt;="&amp;$B44)-SUMIFS('Raw Orders'!$F$5:$F$899,'Raw Orders'!$B$5:$B$899,$A44,'Raw Orders'!$I$5:$I$899,"&lt;="&amp;$B44,'Raw Orders'!$J$5:$J$899,FALSE)</f>
        <v>62489300</v>
      </c>
      <c r="H44" s="16">
        <f t="shared" si="2"/>
        <v>1.1705921525331651</v>
      </c>
      <c r="I44" s="15">
        <f t="shared" si="3"/>
        <v>46866975</v>
      </c>
    </row>
    <row r="45" spans="1:9" x14ac:dyDescent="0.3">
      <c r="A45" s="4" t="s">
        <v>56</v>
      </c>
      <c r="B45" s="14">
        <v>45778</v>
      </c>
      <c r="C45" s="15">
        <f>COUNTIFS('Raw Orders'!$B$5:$B$899,$A45,'Raw Orders'!$D$5:$D$899,$B45)</f>
        <v>8</v>
      </c>
      <c r="D45" s="15">
        <f>SUMIFS('Raw Orders'!$E$5:$E$899,'Raw Orders'!$B$5:$B$899,$A45,'Raw Orders'!$D$5:$D$899,$B45)</f>
        <v>129.5</v>
      </c>
      <c r="E45" s="15">
        <f>SUMIFS('Raw Orders'!$F$5:$F$899,'Raw Orders'!$B$5:$B$899,$A45,'Raw Orders'!$D$5:$D$899,$B45)</f>
        <v>10729600</v>
      </c>
      <c r="F45" s="15">
        <f>SUMIFS('Raw Orders'!$F$5:$F$899,'Raw Orders'!$B$5:$B$899,$A45,'Raw Orders'!$I$5:$I$899,$B45,'Raw Orders'!$J$5:$J$899,FALSE)</f>
        <v>7535200</v>
      </c>
      <c r="G45" s="15">
        <f>SUMIFS('Raw Orders'!$F$5:$F$899,'Raw Orders'!$B$5:$B$899,$A45,'Raw Orders'!$D$5:$D$899,"&lt;="&amp;$B45)-SUMIFS('Raw Orders'!$F$5:$F$899,'Raw Orders'!$B$5:$B$899,$A45,'Raw Orders'!$I$5:$I$899,"&lt;="&amp;$B45,'Raw Orders'!$J$5:$J$899,FALSE)</f>
        <v>65683700</v>
      </c>
      <c r="H45" s="16">
        <f t="shared" si="2"/>
        <v>1.4239303535407155</v>
      </c>
      <c r="I45" s="15">
        <f t="shared" si="3"/>
        <v>49262775</v>
      </c>
    </row>
    <row r="46" spans="1:9" x14ac:dyDescent="0.3">
      <c r="A46" s="4" t="s">
        <v>56</v>
      </c>
      <c r="B46" s="14">
        <v>45809</v>
      </c>
      <c r="C46" s="15">
        <f>COUNTIFS('Raw Orders'!$B$5:$B$899,$A46,'Raw Orders'!$D$5:$D$899,$B46)</f>
        <v>4</v>
      </c>
      <c r="D46" s="15">
        <f>SUMIFS('Raw Orders'!$E$5:$E$899,'Raw Orders'!$B$5:$B$899,$A46,'Raw Orders'!$D$5:$D$899,$B46)</f>
        <v>90.5</v>
      </c>
      <c r="E46" s="15">
        <f>SUMIFS('Raw Orders'!$F$5:$F$899,'Raw Orders'!$B$5:$B$899,$A46,'Raw Orders'!$D$5:$D$899,$B46)</f>
        <v>7756100</v>
      </c>
      <c r="F46" s="15">
        <f>SUMIFS('Raw Orders'!$F$5:$F$899,'Raw Orders'!$B$5:$B$899,$A46,'Raw Orders'!$I$5:$I$899,$B46,'Raw Orders'!$J$5:$J$899,FALSE)</f>
        <v>8991700</v>
      </c>
      <c r="G46" s="15">
        <f>SUMIFS('Raw Orders'!$F$5:$F$899,'Raw Orders'!$B$5:$B$899,$A46,'Raw Orders'!$D$5:$D$899,"&lt;="&amp;$B46)-SUMIFS('Raw Orders'!$F$5:$F$899,'Raw Orders'!$B$5:$B$899,$A46,'Raw Orders'!$I$5:$I$899,"&lt;="&amp;$B46,'Raw Orders'!$J$5:$J$899,FALSE)</f>
        <v>64448100</v>
      </c>
      <c r="H46" s="16">
        <f t="shared" si="2"/>
        <v>0.86258438337577992</v>
      </c>
      <c r="I46" s="15">
        <f t="shared" si="3"/>
        <v>48336075</v>
      </c>
    </row>
    <row r="47" spans="1:9" x14ac:dyDescent="0.3">
      <c r="A47" s="4" t="s">
        <v>56</v>
      </c>
      <c r="B47" s="14">
        <v>45839</v>
      </c>
      <c r="C47" s="15">
        <f>COUNTIFS('Raw Orders'!$B$5:$B$899,$A47,'Raw Orders'!$D$5:$D$899,$B47)</f>
        <v>9</v>
      </c>
      <c r="D47" s="15">
        <f>SUMIFS('Raw Orders'!$E$5:$E$899,'Raw Orders'!$B$5:$B$899,$A47,'Raw Orders'!$D$5:$D$899,$B47)</f>
        <v>150.79999999999998</v>
      </c>
      <c r="E47" s="15">
        <f>SUMIFS('Raw Orders'!$F$5:$F$899,'Raw Orders'!$B$5:$B$899,$A47,'Raw Orders'!$D$5:$D$899,$B47)</f>
        <v>12862300</v>
      </c>
      <c r="F47" s="15">
        <f>SUMIFS('Raw Orders'!$F$5:$F$899,'Raw Orders'!$B$5:$B$899,$A47,'Raw Orders'!$I$5:$I$899,$B47,'Raw Orders'!$J$5:$J$899,FALSE)</f>
        <v>3770000</v>
      </c>
      <c r="G47" s="15">
        <f>SUMIFS('Raw Orders'!$F$5:$F$899,'Raw Orders'!$B$5:$B$899,$A47,'Raw Orders'!$D$5:$D$899,"&lt;="&amp;$B47)-SUMIFS('Raw Orders'!$F$5:$F$899,'Raw Orders'!$B$5:$B$899,$A47,'Raw Orders'!$I$5:$I$899,"&lt;="&amp;$B47,'Raw Orders'!$J$5:$J$899,FALSE)</f>
        <v>73540400</v>
      </c>
      <c r="H47" s="16">
        <f t="shared" si="2"/>
        <v>3.4117506631299737</v>
      </c>
      <c r="I47" s="15">
        <f t="shared" si="3"/>
        <v>55155300</v>
      </c>
    </row>
    <row r="48" spans="1:9" x14ac:dyDescent="0.3">
      <c r="A48" s="4" t="s">
        <v>56</v>
      </c>
      <c r="B48" s="14">
        <v>45870</v>
      </c>
      <c r="C48" s="15">
        <f>COUNTIFS('Raw Orders'!$B$5:$B$899,$A48,'Raw Orders'!$D$5:$D$899,$B48)</f>
        <v>9</v>
      </c>
      <c r="D48" s="15">
        <f>SUMIFS('Raw Orders'!$E$5:$E$899,'Raw Orders'!$B$5:$B$899,$A48,'Raw Orders'!$D$5:$D$899,$B48)</f>
        <v>209.89999999999998</v>
      </c>
      <c r="E48" s="15">
        <f>SUMIFS('Raw Orders'!$F$5:$F$899,'Raw Orders'!$B$5:$B$899,$A48,'Raw Orders'!$D$5:$D$899,$B48)</f>
        <v>17467400</v>
      </c>
      <c r="F48" s="15">
        <f>SUMIFS('Raw Orders'!$F$5:$F$899,'Raw Orders'!$B$5:$B$899,$A48,'Raw Orders'!$I$5:$I$899,$B48,'Raw Orders'!$J$5:$J$899,FALSE)</f>
        <v>2935300</v>
      </c>
      <c r="G48" s="15">
        <f>SUMIFS('Raw Orders'!$F$5:$F$899,'Raw Orders'!$B$5:$B$899,$A48,'Raw Orders'!$D$5:$D$899,"&lt;="&amp;$B48)-SUMIFS('Raw Orders'!$F$5:$F$899,'Raw Orders'!$B$5:$B$899,$A48,'Raw Orders'!$I$5:$I$899,"&lt;="&amp;$B48,'Raw Orders'!$J$5:$J$899,FALSE)</f>
        <v>88072500</v>
      </c>
      <c r="H48" s="16">
        <f t="shared" si="2"/>
        <v>5.950805709808197</v>
      </c>
      <c r="I48" s="15">
        <f t="shared" si="3"/>
        <v>66054375</v>
      </c>
    </row>
    <row r="49" spans="1:9" x14ac:dyDescent="0.3">
      <c r="A49" s="4" t="s">
        <v>56</v>
      </c>
      <c r="B49" s="14">
        <v>45901</v>
      </c>
      <c r="C49" s="15">
        <f>COUNTIFS('Raw Orders'!$B$5:$B$899,$A49,'Raw Orders'!$D$5:$D$899,$B49)</f>
        <v>9</v>
      </c>
      <c r="D49" s="15">
        <f>SUMIFS('Raw Orders'!$E$5:$E$899,'Raw Orders'!$B$5:$B$899,$A49,'Raw Orders'!$D$5:$D$899,$B49)</f>
        <v>199.29999999999998</v>
      </c>
      <c r="E49" s="15">
        <f>SUMIFS('Raw Orders'!$F$5:$F$899,'Raw Orders'!$B$5:$B$899,$A49,'Raw Orders'!$D$5:$D$899,$B49)</f>
        <v>16737600</v>
      </c>
      <c r="F49" s="15">
        <f>SUMIFS('Raw Orders'!$F$5:$F$899,'Raw Orders'!$B$5:$B$899,$A49,'Raw Orders'!$I$5:$I$899,$B49,'Raw Orders'!$J$5:$J$899,FALSE)</f>
        <v>8857200</v>
      </c>
      <c r="G49" s="15">
        <f>SUMIFS('Raw Orders'!$F$5:$F$899,'Raw Orders'!$B$5:$B$899,$A49,'Raw Orders'!$D$5:$D$899,"&lt;="&amp;$B49)-SUMIFS('Raw Orders'!$F$5:$F$899,'Raw Orders'!$B$5:$B$899,$A49,'Raw Orders'!$I$5:$I$899,"&lt;="&amp;$B49,'Raw Orders'!$J$5:$J$899,FALSE)</f>
        <v>95952900</v>
      </c>
      <c r="H49" s="16">
        <f t="shared" si="2"/>
        <v>1.8897168405365126</v>
      </c>
      <c r="I49" s="15">
        <f t="shared" si="3"/>
        <v>71964675</v>
      </c>
    </row>
    <row r="50" spans="1:9" x14ac:dyDescent="0.3">
      <c r="A50" s="4" t="s">
        <v>56</v>
      </c>
      <c r="B50" s="14">
        <v>45931</v>
      </c>
      <c r="C50" s="15">
        <f>COUNTIFS('Raw Orders'!$B$5:$B$899,$A50,'Raw Orders'!$D$5:$D$899,$B50)</f>
        <v>4</v>
      </c>
      <c r="D50" s="15">
        <f>SUMIFS('Raw Orders'!$E$5:$E$899,'Raw Orders'!$B$5:$B$899,$A50,'Raw Orders'!$D$5:$D$899,$B50)</f>
        <v>72.5</v>
      </c>
      <c r="E50" s="15">
        <f>SUMIFS('Raw Orders'!$F$5:$F$899,'Raw Orders'!$B$5:$B$899,$A50,'Raw Orders'!$D$5:$D$899,$B50)</f>
        <v>6071300</v>
      </c>
      <c r="F50" s="15">
        <f>SUMIFS('Raw Orders'!$F$5:$F$899,'Raw Orders'!$B$5:$B$899,$A50,'Raw Orders'!$I$5:$I$899,$B50,'Raw Orders'!$J$5:$J$899,FALSE)</f>
        <v>8283500</v>
      </c>
      <c r="G50" s="15">
        <f>SUMIFS('Raw Orders'!$F$5:$F$899,'Raw Orders'!$B$5:$B$899,$A50,'Raw Orders'!$D$5:$D$899,"&lt;="&amp;$B50)-SUMIFS('Raw Orders'!$F$5:$F$899,'Raw Orders'!$B$5:$B$899,$A50,'Raw Orders'!$I$5:$I$899,"&lt;="&amp;$B50,'Raw Orders'!$J$5:$J$899,FALSE)</f>
        <v>93740700</v>
      </c>
      <c r="H50" s="16">
        <f t="shared" si="2"/>
        <v>0.73293897507092409</v>
      </c>
      <c r="I50" s="15">
        <f t="shared" si="3"/>
        <v>70305525</v>
      </c>
    </row>
    <row r="51" spans="1:9" x14ac:dyDescent="0.3">
      <c r="A51" s="4" t="s">
        <v>56</v>
      </c>
      <c r="B51" s="14">
        <v>45962</v>
      </c>
      <c r="C51" s="15">
        <f>COUNTIFS('Raw Orders'!$B$5:$B$899,$A51,'Raw Orders'!$D$5:$D$899,$B51)</f>
        <v>9</v>
      </c>
      <c r="D51" s="15">
        <f>SUMIFS('Raw Orders'!$E$5:$E$899,'Raw Orders'!$B$5:$B$899,$A51,'Raw Orders'!$D$5:$D$899,$B51)</f>
        <v>142.10000000000002</v>
      </c>
      <c r="E51" s="15">
        <f>SUMIFS('Raw Orders'!$F$5:$F$899,'Raw Orders'!$B$5:$B$899,$A51,'Raw Orders'!$D$5:$D$899,$B51)</f>
        <v>12166000</v>
      </c>
      <c r="F51" s="15">
        <f>SUMIFS('Raw Orders'!$F$5:$F$899,'Raw Orders'!$B$5:$B$899,$A51,'Raw Orders'!$I$5:$I$899,$B51,'Raw Orders'!$J$5:$J$899,FALSE)</f>
        <v>1346400</v>
      </c>
      <c r="G51" s="15">
        <f>SUMIFS('Raw Orders'!$F$5:$F$899,'Raw Orders'!$B$5:$B$899,$A51,'Raw Orders'!$D$5:$D$899,"&lt;="&amp;$B51)-SUMIFS('Raw Orders'!$F$5:$F$899,'Raw Orders'!$B$5:$B$899,$A51,'Raw Orders'!$I$5:$I$899,"&lt;="&amp;$B51,'Raw Orders'!$J$5:$J$899,FALSE)</f>
        <v>104560300</v>
      </c>
      <c r="H51" s="16">
        <f t="shared" si="2"/>
        <v>9.0359477124183005</v>
      </c>
      <c r="I51" s="15">
        <f t="shared" si="3"/>
        <v>78420225</v>
      </c>
    </row>
    <row r="52" spans="1:9" x14ac:dyDescent="0.3">
      <c r="A52" s="4" t="s">
        <v>56</v>
      </c>
      <c r="B52" s="14">
        <v>45992</v>
      </c>
      <c r="C52" s="15">
        <f>COUNTIFS('Raw Orders'!$B$5:$B$899,$A52,'Raw Orders'!$D$5:$D$899,$B52)</f>
        <v>6</v>
      </c>
      <c r="D52" s="15">
        <f>SUMIFS('Raw Orders'!$E$5:$E$899,'Raw Orders'!$B$5:$B$899,$A52,'Raw Orders'!$D$5:$D$899,$B52)</f>
        <v>134.6</v>
      </c>
      <c r="E52" s="15">
        <f>SUMIFS('Raw Orders'!$F$5:$F$899,'Raw Orders'!$B$5:$B$899,$A52,'Raw Orders'!$D$5:$D$899,$B52)</f>
        <v>11760100</v>
      </c>
      <c r="F52" s="15">
        <f>SUMIFS('Raw Orders'!$F$5:$F$899,'Raw Orders'!$B$5:$B$899,$A52,'Raw Orders'!$I$5:$I$899,$B52,'Raw Orders'!$J$5:$J$899,FALSE)</f>
        <v>13657300</v>
      </c>
      <c r="G52" s="15">
        <f>SUMIFS('Raw Orders'!$F$5:$F$899,'Raw Orders'!$B$5:$B$899,$A52,'Raw Orders'!$D$5:$D$899,"&lt;="&amp;$B52)-SUMIFS('Raw Orders'!$F$5:$F$899,'Raw Orders'!$B$5:$B$899,$A52,'Raw Orders'!$I$5:$I$899,"&lt;="&amp;$B52,'Raw Orders'!$J$5:$J$899,FALSE)</f>
        <v>102663100</v>
      </c>
      <c r="H52" s="16">
        <f t="shared" si="2"/>
        <v>0.86108528039949328</v>
      </c>
      <c r="I52" s="15">
        <f t="shared" si="3"/>
        <v>76997325</v>
      </c>
    </row>
    <row r="53" spans="1:9" x14ac:dyDescent="0.3">
      <c r="A53" s="4" t="s">
        <v>65</v>
      </c>
      <c r="B53" s="14">
        <v>45292</v>
      </c>
      <c r="C53" s="15">
        <f>COUNTIFS('Raw Orders'!$B$5:$B$899,$A53,'Raw Orders'!$D$5:$D$899,$B53)</f>
        <v>4</v>
      </c>
      <c r="D53" s="15">
        <f>SUMIFS('Raw Orders'!$E$5:$E$899,'Raw Orders'!$B$5:$B$899,$A53,'Raw Orders'!$D$5:$D$899,$B53)</f>
        <v>74</v>
      </c>
      <c r="E53" s="15">
        <f>SUMIFS('Raw Orders'!$F$5:$F$899,'Raw Orders'!$B$5:$B$899,$A53,'Raw Orders'!$D$5:$D$899,$B53)</f>
        <v>5585500</v>
      </c>
      <c r="F53" s="15">
        <f>SUMIFS('Raw Orders'!$F$5:$F$899,'Raw Orders'!$B$5:$B$899,$A53,'Raw Orders'!$I$5:$I$899,$B53,'Raw Orders'!$J$5:$J$899,FALSE)</f>
        <v>0</v>
      </c>
      <c r="G53" s="15">
        <f>SUMIFS('Raw Orders'!$F$5:$F$899,'Raw Orders'!$B$5:$B$899,$A53,'Raw Orders'!$D$5:$D$899,"&lt;="&amp;$B53)-SUMIFS('Raw Orders'!$F$5:$F$899,'Raw Orders'!$B$5:$B$899,$A53,'Raw Orders'!$I$5:$I$899,"&lt;="&amp;$B53,'Raw Orders'!$J$5:$J$899,FALSE)</f>
        <v>5585500</v>
      </c>
      <c r="H53" s="16" t="str">
        <f t="shared" si="2"/>
        <v/>
      </c>
      <c r="I53" s="15">
        <f t="shared" si="3"/>
        <v>4189125</v>
      </c>
    </row>
    <row r="54" spans="1:9" x14ac:dyDescent="0.3">
      <c r="A54" s="4" t="s">
        <v>65</v>
      </c>
      <c r="B54" s="14">
        <v>45323</v>
      </c>
      <c r="C54" s="15">
        <f>COUNTIFS('Raw Orders'!$B$5:$B$899,$A54,'Raw Orders'!$D$5:$D$899,$B54)</f>
        <v>5</v>
      </c>
      <c r="D54" s="15">
        <f>SUMIFS('Raw Orders'!$E$5:$E$899,'Raw Orders'!$B$5:$B$899,$A54,'Raw Orders'!$D$5:$D$899,$B54)</f>
        <v>137.70000000000002</v>
      </c>
      <c r="E54" s="15">
        <f>SUMIFS('Raw Orders'!$F$5:$F$899,'Raw Orders'!$B$5:$B$899,$A54,'Raw Orders'!$D$5:$D$899,$B54)</f>
        <v>10373400</v>
      </c>
      <c r="F54" s="15">
        <f>SUMIFS('Raw Orders'!$F$5:$F$899,'Raw Orders'!$B$5:$B$899,$A54,'Raw Orders'!$I$5:$I$899,$B54,'Raw Orders'!$J$5:$J$899,FALSE)</f>
        <v>0</v>
      </c>
      <c r="G54" s="15">
        <f>SUMIFS('Raw Orders'!$F$5:$F$899,'Raw Orders'!$B$5:$B$899,$A54,'Raw Orders'!$D$5:$D$899,"&lt;="&amp;$B54)-SUMIFS('Raw Orders'!$F$5:$F$899,'Raw Orders'!$B$5:$B$899,$A54,'Raw Orders'!$I$5:$I$899,"&lt;="&amp;$B54,'Raw Orders'!$J$5:$J$899,FALSE)</f>
        <v>15958900</v>
      </c>
      <c r="H54" s="16" t="str">
        <f t="shared" si="2"/>
        <v/>
      </c>
      <c r="I54" s="15">
        <f t="shared" si="3"/>
        <v>11969175</v>
      </c>
    </row>
    <row r="55" spans="1:9" x14ac:dyDescent="0.3">
      <c r="A55" s="4" t="s">
        <v>65</v>
      </c>
      <c r="B55" s="14">
        <v>45352</v>
      </c>
      <c r="C55" s="15">
        <f>COUNTIFS('Raw Orders'!$B$5:$B$899,$A55,'Raw Orders'!$D$5:$D$899,$B55)</f>
        <v>3</v>
      </c>
      <c r="D55" s="15">
        <f>SUMIFS('Raw Orders'!$E$5:$E$899,'Raw Orders'!$B$5:$B$899,$A55,'Raw Orders'!$D$5:$D$899,$B55)</f>
        <v>103.39999999999999</v>
      </c>
      <c r="E55" s="15">
        <f>SUMIFS('Raw Orders'!$F$5:$F$899,'Raw Orders'!$B$5:$B$899,$A55,'Raw Orders'!$D$5:$D$899,$B55)</f>
        <v>7341400</v>
      </c>
      <c r="F55" s="15">
        <f>SUMIFS('Raw Orders'!$F$5:$F$899,'Raw Orders'!$B$5:$B$899,$A55,'Raw Orders'!$I$5:$I$899,$B55,'Raw Orders'!$J$5:$J$899,FALSE)</f>
        <v>0</v>
      </c>
      <c r="G55" s="15">
        <f>SUMIFS('Raw Orders'!$F$5:$F$899,'Raw Orders'!$B$5:$B$899,$A55,'Raw Orders'!$D$5:$D$899,"&lt;="&amp;$B55)-SUMIFS('Raw Orders'!$F$5:$F$899,'Raw Orders'!$B$5:$B$899,$A55,'Raw Orders'!$I$5:$I$899,"&lt;="&amp;$B55,'Raw Orders'!$J$5:$J$899,FALSE)</f>
        <v>23300300</v>
      </c>
      <c r="H55" s="16" t="str">
        <f t="shared" si="2"/>
        <v/>
      </c>
      <c r="I55" s="15">
        <f t="shared" si="3"/>
        <v>17475225</v>
      </c>
    </row>
    <row r="56" spans="1:9" x14ac:dyDescent="0.3">
      <c r="A56" s="4" t="s">
        <v>65</v>
      </c>
      <c r="B56" s="14">
        <v>45383</v>
      </c>
      <c r="C56" s="15">
        <f>COUNTIFS('Raw Orders'!$B$5:$B$899,$A56,'Raw Orders'!$D$5:$D$899,$B56)</f>
        <v>4</v>
      </c>
      <c r="D56" s="15">
        <f>SUMIFS('Raw Orders'!$E$5:$E$899,'Raw Orders'!$B$5:$B$899,$A56,'Raw Orders'!$D$5:$D$899,$B56)</f>
        <v>87.8</v>
      </c>
      <c r="E56" s="15">
        <f>SUMIFS('Raw Orders'!$F$5:$F$899,'Raw Orders'!$B$5:$B$899,$A56,'Raw Orders'!$D$5:$D$899,$B56)</f>
        <v>6374200</v>
      </c>
      <c r="F56" s="15">
        <f>SUMIFS('Raw Orders'!$F$5:$F$899,'Raw Orders'!$B$5:$B$899,$A56,'Raw Orders'!$I$5:$I$899,$B56,'Raw Orders'!$J$5:$J$899,FALSE)</f>
        <v>0</v>
      </c>
      <c r="G56" s="15">
        <f>SUMIFS('Raw Orders'!$F$5:$F$899,'Raw Orders'!$B$5:$B$899,$A56,'Raw Orders'!$D$5:$D$899,"&lt;="&amp;$B56)-SUMIFS('Raw Orders'!$F$5:$F$899,'Raw Orders'!$B$5:$B$899,$A56,'Raw Orders'!$I$5:$I$899,"&lt;="&amp;$B56,'Raw Orders'!$J$5:$J$899,FALSE)</f>
        <v>29674500</v>
      </c>
      <c r="H56" s="16" t="str">
        <f t="shared" si="2"/>
        <v/>
      </c>
      <c r="I56" s="15">
        <f t="shared" si="3"/>
        <v>22255875</v>
      </c>
    </row>
    <row r="57" spans="1:9" x14ac:dyDescent="0.3">
      <c r="A57" s="4" t="s">
        <v>65</v>
      </c>
      <c r="B57" s="14">
        <v>45413</v>
      </c>
      <c r="C57" s="15">
        <f>COUNTIFS('Raw Orders'!$B$5:$B$899,$A57,'Raw Orders'!$D$5:$D$899,$B57)</f>
        <v>1</v>
      </c>
      <c r="D57" s="15">
        <f>SUMIFS('Raw Orders'!$E$5:$E$899,'Raw Orders'!$B$5:$B$899,$A57,'Raw Orders'!$D$5:$D$899,$B57)</f>
        <v>20.5</v>
      </c>
      <c r="E57" s="15">
        <f>SUMIFS('Raw Orders'!$F$5:$F$899,'Raw Orders'!$B$5:$B$899,$A57,'Raw Orders'!$D$5:$D$899,$B57)</f>
        <v>1722000</v>
      </c>
      <c r="F57" s="15">
        <f>SUMIFS('Raw Orders'!$F$5:$F$899,'Raw Orders'!$B$5:$B$899,$A57,'Raw Orders'!$I$5:$I$899,$B57,'Raw Orders'!$J$5:$J$899,FALSE)</f>
        <v>0</v>
      </c>
      <c r="G57" s="15">
        <f>SUMIFS('Raw Orders'!$F$5:$F$899,'Raw Orders'!$B$5:$B$899,$A57,'Raw Orders'!$D$5:$D$899,"&lt;="&amp;$B57)-SUMIFS('Raw Orders'!$F$5:$F$899,'Raw Orders'!$B$5:$B$899,$A57,'Raw Orders'!$I$5:$I$899,"&lt;="&amp;$B57,'Raw Orders'!$J$5:$J$899,FALSE)</f>
        <v>31396500</v>
      </c>
      <c r="H57" s="16" t="str">
        <f t="shared" si="2"/>
        <v/>
      </c>
      <c r="I57" s="15">
        <f t="shared" si="3"/>
        <v>23547375</v>
      </c>
    </row>
    <row r="58" spans="1:9" x14ac:dyDescent="0.3">
      <c r="A58" s="4" t="s">
        <v>65</v>
      </c>
      <c r="B58" s="14">
        <v>45444</v>
      </c>
      <c r="C58" s="15">
        <f>COUNTIFS('Raw Orders'!$B$5:$B$899,$A58,'Raw Orders'!$D$5:$D$899,$B58)</f>
        <v>6</v>
      </c>
      <c r="D58" s="15">
        <f>SUMIFS('Raw Orders'!$E$5:$E$899,'Raw Orders'!$B$5:$B$899,$A58,'Raw Orders'!$D$5:$D$899,$B58)</f>
        <v>88.2</v>
      </c>
      <c r="E58" s="15">
        <f>SUMIFS('Raw Orders'!$F$5:$F$899,'Raw Orders'!$B$5:$B$899,$A58,'Raw Orders'!$D$5:$D$899,$B58)</f>
        <v>6705500</v>
      </c>
      <c r="F58" s="15">
        <f>SUMIFS('Raw Orders'!$F$5:$F$899,'Raw Orders'!$B$5:$B$899,$A58,'Raw Orders'!$I$5:$I$899,$B58,'Raw Orders'!$J$5:$J$899,FALSE)</f>
        <v>0</v>
      </c>
      <c r="G58" s="15">
        <f>SUMIFS('Raw Orders'!$F$5:$F$899,'Raw Orders'!$B$5:$B$899,$A58,'Raw Orders'!$D$5:$D$899,"&lt;="&amp;$B58)-SUMIFS('Raw Orders'!$F$5:$F$899,'Raw Orders'!$B$5:$B$899,$A58,'Raw Orders'!$I$5:$I$899,"&lt;="&amp;$B58,'Raw Orders'!$J$5:$J$899,FALSE)</f>
        <v>38102000</v>
      </c>
      <c r="H58" s="16" t="str">
        <f t="shared" si="2"/>
        <v/>
      </c>
      <c r="I58" s="15">
        <f t="shared" si="3"/>
        <v>28576500</v>
      </c>
    </row>
    <row r="59" spans="1:9" x14ac:dyDescent="0.3">
      <c r="A59" s="4" t="s">
        <v>65</v>
      </c>
      <c r="B59" s="14">
        <v>45474</v>
      </c>
      <c r="C59" s="15">
        <f>COUNTIFS('Raw Orders'!$B$5:$B$899,$A59,'Raw Orders'!$D$5:$D$899,$B59)</f>
        <v>2</v>
      </c>
      <c r="D59" s="15">
        <f>SUMIFS('Raw Orders'!$E$5:$E$899,'Raw Orders'!$B$5:$B$899,$A59,'Raw Orders'!$D$5:$D$899,$B59)</f>
        <v>18.899999999999999</v>
      </c>
      <c r="E59" s="15">
        <f>SUMIFS('Raw Orders'!$F$5:$F$899,'Raw Orders'!$B$5:$B$899,$A59,'Raw Orders'!$D$5:$D$899,$B59)</f>
        <v>1341900</v>
      </c>
      <c r="F59" s="15">
        <f>SUMIFS('Raw Orders'!$F$5:$F$899,'Raw Orders'!$B$5:$B$899,$A59,'Raw Orders'!$I$5:$I$899,$B59,'Raw Orders'!$J$5:$J$899,FALSE)</f>
        <v>0</v>
      </c>
      <c r="G59" s="15">
        <f>SUMIFS('Raw Orders'!$F$5:$F$899,'Raw Orders'!$B$5:$B$899,$A59,'Raw Orders'!$D$5:$D$899,"&lt;="&amp;$B59)-SUMIFS('Raw Orders'!$F$5:$F$899,'Raw Orders'!$B$5:$B$899,$A59,'Raw Orders'!$I$5:$I$899,"&lt;="&amp;$B59,'Raw Orders'!$J$5:$J$899,FALSE)</f>
        <v>39443900</v>
      </c>
      <c r="H59" s="16" t="str">
        <f t="shared" si="2"/>
        <v/>
      </c>
      <c r="I59" s="15">
        <f t="shared" si="3"/>
        <v>29582925</v>
      </c>
    </row>
    <row r="60" spans="1:9" x14ac:dyDescent="0.3">
      <c r="A60" s="4" t="s">
        <v>65</v>
      </c>
      <c r="B60" s="14">
        <v>45505</v>
      </c>
      <c r="C60" s="15">
        <f>COUNTIFS('Raw Orders'!$B$5:$B$899,$A60,'Raw Orders'!$D$5:$D$899,$B60)</f>
        <v>4</v>
      </c>
      <c r="D60" s="15">
        <f>SUMIFS('Raw Orders'!$E$5:$E$899,'Raw Orders'!$B$5:$B$899,$A60,'Raw Orders'!$D$5:$D$899,$B60)</f>
        <v>106.1</v>
      </c>
      <c r="E60" s="15">
        <f>SUMIFS('Raw Orders'!$F$5:$F$899,'Raw Orders'!$B$5:$B$899,$A60,'Raw Orders'!$D$5:$D$899,$B60)</f>
        <v>7832100</v>
      </c>
      <c r="F60" s="15">
        <f>SUMIFS('Raw Orders'!$F$5:$F$899,'Raw Orders'!$B$5:$B$899,$A60,'Raw Orders'!$I$5:$I$899,$B60,'Raw Orders'!$J$5:$J$899,FALSE)</f>
        <v>0</v>
      </c>
      <c r="G60" s="15">
        <f>SUMIFS('Raw Orders'!$F$5:$F$899,'Raw Orders'!$B$5:$B$899,$A60,'Raw Orders'!$D$5:$D$899,"&lt;="&amp;$B60)-SUMIFS('Raw Orders'!$F$5:$F$899,'Raw Orders'!$B$5:$B$899,$A60,'Raw Orders'!$I$5:$I$899,"&lt;="&amp;$B60,'Raw Orders'!$J$5:$J$899,FALSE)</f>
        <v>47276000</v>
      </c>
      <c r="H60" s="16" t="str">
        <f t="shared" si="2"/>
        <v/>
      </c>
      <c r="I60" s="15">
        <f t="shared" si="3"/>
        <v>35457000</v>
      </c>
    </row>
    <row r="61" spans="1:9" x14ac:dyDescent="0.3">
      <c r="A61" s="4" t="s">
        <v>65</v>
      </c>
      <c r="B61" s="14">
        <v>45536</v>
      </c>
      <c r="C61" s="15">
        <f>COUNTIFS('Raw Orders'!$B$5:$B$899,$A61,'Raw Orders'!$D$5:$D$899,$B61)</f>
        <v>0</v>
      </c>
      <c r="D61" s="15">
        <f>SUMIFS('Raw Orders'!$E$5:$E$899,'Raw Orders'!$B$5:$B$899,$A61,'Raw Orders'!$D$5:$D$899,$B61)</f>
        <v>0</v>
      </c>
      <c r="E61" s="15">
        <f>SUMIFS('Raw Orders'!$F$5:$F$899,'Raw Orders'!$B$5:$B$899,$A61,'Raw Orders'!$D$5:$D$899,$B61)</f>
        <v>0</v>
      </c>
      <c r="F61" s="15">
        <f>SUMIFS('Raw Orders'!$F$5:$F$899,'Raw Orders'!$B$5:$B$899,$A61,'Raw Orders'!$I$5:$I$899,$B61,'Raw Orders'!$J$5:$J$899,FALSE)</f>
        <v>1370300</v>
      </c>
      <c r="G61" s="15">
        <f>SUMIFS('Raw Orders'!$F$5:$F$899,'Raw Orders'!$B$5:$B$899,$A61,'Raw Orders'!$D$5:$D$899,"&lt;="&amp;$B61)-SUMIFS('Raw Orders'!$F$5:$F$899,'Raw Orders'!$B$5:$B$899,$A61,'Raw Orders'!$I$5:$I$899,"&lt;="&amp;$B61,'Raw Orders'!$J$5:$J$899,FALSE)</f>
        <v>45905700</v>
      </c>
      <c r="H61" s="16">
        <f t="shared" si="2"/>
        <v>0</v>
      </c>
      <c r="I61" s="15">
        <f t="shared" si="3"/>
        <v>34429275</v>
      </c>
    </row>
    <row r="62" spans="1:9" x14ac:dyDescent="0.3">
      <c r="A62" s="4" t="s">
        <v>65</v>
      </c>
      <c r="B62" s="14">
        <v>45566</v>
      </c>
      <c r="C62" s="15">
        <f>COUNTIFS('Raw Orders'!$B$5:$B$899,$A62,'Raw Orders'!$D$5:$D$899,$B62)</f>
        <v>5</v>
      </c>
      <c r="D62" s="15">
        <f>SUMIFS('Raw Orders'!$E$5:$E$899,'Raw Orders'!$B$5:$B$899,$A62,'Raw Orders'!$D$5:$D$899,$B62)</f>
        <v>110.8</v>
      </c>
      <c r="E62" s="15">
        <f>SUMIFS('Raw Orders'!$F$5:$F$899,'Raw Orders'!$B$5:$B$899,$A62,'Raw Orders'!$D$5:$D$899,$B62)</f>
        <v>8338700</v>
      </c>
      <c r="F62" s="15">
        <f>SUMIFS('Raw Orders'!$F$5:$F$899,'Raw Orders'!$B$5:$B$899,$A62,'Raw Orders'!$I$5:$I$899,$B62,'Raw Orders'!$J$5:$J$899,FALSE)</f>
        <v>3185700</v>
      </c>
      <c r="G62" s="15">
        <f>SUMIFS('Raw Orders'!$F$5:$F$899,'Raw Orders'!$B$5:$B$899,$A62,'Raw Orders'!$D$5:$D$899,"&lt;="&amp;$B62)-SUMIFS('Raw Orders'!$F$5:$F$899,'Raw Orders'!$B$5:$B$899,$A62,'Raw Orders'!$I$5:$I$899,"&lt;="&amp;$B62,'Raw Orders'!$J$5:$J$899,FALSE)</f>
        <v>51058700</v>
      </c>
      <c r="H62" s="16">
        <f t="shared" si="2"/>
        <v>2.6175408858335687</v>
      </c>
      <c r="I62" s="15">
        <f t="shared" si="3"/>
        <v>38294025</v>
      </c>
    </row>
    <row r="63" spans="1:9" x14ac:dyDescent="0.3">
      <c r="A63" s="4" t="s">
        <v>65</v>
      </c>
      <c r="B63" s="14">
        <v>45597</v>
      </c>
      <c r="C63" s="15">
        <f>COUNTIFS('Raw Orders'!$B$5:$B$899,$A63,'Raw Orders'!$D$5:$D$899,$B63)</f>
        <v>3</v>
      </c>
      <c r="D63" s="15">
        <f>SUMIFS('Raw Orders'!$E$5:$E$899,'Raw Orders'!$B$5:$B$899,$A63,'Raw Orders'!$D$5:$D$899,$B63)</f>
        <v>26.7</v>
      </c>
      <c r="E63" s="15">
        <f>SUMIFS('Raw Orders'!$F$5:$F$899,'Raw Orders'!$B$5:$B$899,$A63,'Raw Orders'!$D$5:$D$899,$B63)</f>
        <v>2015300</v>
      </c>
      <c r="F63" s="15">
        <f>SUMIFS('Raw Orders'!$F$5:$F$899,'Raw Orders'!$B$5:$B$899,$A63,'Raw Orders'!$I$5:$I$899,$B63,'Raw Orders'!$J$5:$J$899,FALSE)</f>
        <v>2805600</v>
      </c>
      <c r="G63" s="15">
        <f>SUMIFS('Raw Orders'!$F$5:$F$899,'Raw Orders'!$B$5:$B$899,$A63,'Raw Orders'!$D$5:$D$899,"&lt;="&amp;$B63)-SUMIFS('Raw Orders'!$F$5:$F$899,'Raw Orders'!$B$5:$B$899,$A63,'Raw Orders'!$I$5:$I$899,"&lt;="&amp;$B63,'Raw Orders'!$J$5:$J$899,FALSE)</f>
        <v>50268400</v>
      </c>
      <c r="H63" s="16">
        <f t="shared" si="2"/>
        <v>0.71831337325349298</v>
      </c>
      <c r="I63" s="15">
        <f t="shared" si="3"/>
        <v>37701300</v>
      </c>
    </row>
    <row r="64" spans="1:9" x14ac:dyDescent="0.3">
      <c r="A64" s="4" t="s">
        <v>65</v>
      </c>
      <c r="B64" s="14">
        <v>45627</v>
      </c>
      <c r="C64" s="15">
        <f>COUNTIFS('Raw Orders'!$B$5:$B$899,$A64,'Raw Orders'!$D$5:$D$899,$B64)</f>
        <v>2</v>
      </c>
      <c r="D64" s="15">
        <f>SUMIFS('Raw Orders'!$E$5:$E$899,'Raw Orders'!$B$5:$B$899,$A64,'Raw Orders'!$D$5:$D$899,$B64)</f>
        <v>97.8</v>
      </c>
      <c r="E64" s="15">
        <f>SUMIFS('Raw Orders'!$F$5:$F$899,'Raw Orders'!$B$5:$B$899,$A64,'Raw Orders'!$D$5:$D$899,$B64)</f>
        <v>7760200</v>
      </c>
      <c r="F64" s="15">
        <f>SUMIFS('Raw Orders'!$F$5:$F$899,'Raw Orders'!$B$5:$B$899,$A64,'Raw Orders'!$I$5:$I$899,$B64,'Raw Orders'!$J$5:$J$899,FALSE)</f>
        <v>8068600</v>
      </c>
      <c r="G64" s="15">
        <f>SUMIFS('Raw Orders'!$F$5:$F$899,'Raw Orders'!$B$5:$B$899,$A64,'Raw Orders'!$D$5:$D$899,"&lt;="&amp;$B64)-SUMIFS('Raw Orders'!$F$5:$F$899,'Raw Orders'!$B$5:$B$899,$A64,'Raw Orders'!$I$5:$I$899,"&lt;="&amp;$B64,'Raw Orders'!$J$5:$J$899,FALSE)</f>
        <v>49960000</v>
      </c>
      <c r="H64" s="16">
        <f t="shared" si="2"/>
        <v>0.96177775574449098</v>
      </c>
      <c r="I64" s="15">
        <f t="shared" si="3"/>
        <v>37470000</v>
      </c>
    </row>
    <row r="65" spans="1:9" x14ac:dyDescent="0.3">
      <c r="A65" s="4" t="s">
        <v>65</v>
      </c>
      <c r="B65" s="14">
        <v>45658</v>
      </c>
      <c r="C65" s="15">
        <f>COUNTIFS('Raw Orders'!$B$5:$B$899,$A65,'Raw Orders'!$D$5:$D$899,$B65)</f>
        <v>4</v>
      </c>
      <c r="D65" s="15">
        <f>SUMIFS('Raw Orders'!$E$5:$E$899,'Raw Orders'!$B$5:$B$899,$A65,'Raw Orders'!$D$5:$D$899,$B65)</f>
        <v>52.9</v>
      </c>
      <c r="E65" s="15">
        <f>SUMIFS('Raw Orders'!$F$5:$F$899,'Raw Orders'!$B$5:$B$899,$A65,'Raw Orders'!$D$5:$D$899,$B65)</f>
        <v>4204400</v>
      </c>
      <c r="F65" s="15">
        <f>SUMIFS('Raw Orders'!$F$5:$F$899,'Raw Orders'!$B$5:$B$899,$A65,'Raw Orders'!$I$5:$I$899,$B65,'Raw Orders'!$J$5:$J$899,FALSE)</f>
        <v>1226700</v>
      </c>
      <c r="G65" s="15">
        <f>SUMIFS('Raw Orders'!$F$5:$F$899,'Raw Orders'!$B$5:$B$899,$A65,'Raw Orders'!$D$5:$D$899,"&lt;="&amp;$B65)-SUMIFS('Raw Orders'!$F$5:$F$899,'Raw Orders'!$B$5:$B$899,$A65,'Raw Orders'!$I$5:$I$899,"&lt;="&amp;$B65,'Raw Orders'!$J$5:$J$899,FALSE)</f>
        <v>52937700</v>
      </c>
      <c r="H65" s="16">
        <f t="shared" si="2"/>
        <v>3.4274068639439146</v>
      </c>
      <c r="I65" s="15">
        <f t="shared" si="3"/>
        <v>39703275</v>
      </c>
    </row>
    <row r="66" spans="1:9" x14ac:dyDescent="0.3">
      <c r="A66" s="4" t="s">
        <v>65</v>
      </c>
      <c r="B66" s="14">
        <v>45689</v>
      </c>
      <c r="C66" s="15">
        <f>COUNTIFS('Raw Orders'!$B$5:$B$899,$A66,'Raw Orders'!$D$5:$D$899,$B66)</f>
        <v>3</v>
      </c>
      <c r="D66" s="15">
        <f>SUMIFS('Raw Orders'!$E$5:$E$899,'Raw Orders'!$B$5:$B$899,$A66,'Raw Orders'!$D$5:$D$899,$B66)</f>
        <v>62.4</v>
      </c>
      <c r="E66" s="15">
        <f>SUMIFS('Raw Orders'!$F$5:$F$899,'Raw Orders'!$B$5:$B$899,$A66,'Raw Orders'!$D$5:$D$899,$B66)</f>
        <v>5241600</v>
      </c>
      <c r="F66" s="15">
        <f>SUMIFS('Raw Orders'!$F$5:$F$899,'Raw Orders'!$B$5:$B$899,$A66,'Raw Orders'!$I$5:$I$899,$B66,'Raw Orders'!$J$5:$J$899,FALSE)</f>
        <v>5630300</v>
      </c>
      <c r="G66" s="15">
        <f>SUMIFS('Raw Orders'!$F$5:$F$899,'Raw Orders'!$B$5:$B$899,$A66,'Raw Orders'!$D$5:$D$899,"&lt;="&amp;$B66)-SUMIFS('Raw Orders'!$F$5:$F$899,'Raw Orders'!$B$5:$B$899,$A66,'Raw Orders'!$I$5:$I$899,"&lt;="&amp;$B66,'Raw Orders'!$J$5:$J$899,FALSE)</f>
        <v>52549000</v>
      </c>
      <c r="H66" s="16">
        <f t="shared" si="2"/>
        <v>0.93096282613715076</v>
      </c>
      <c r="I66" s="15">
        <f t="shared" si="3"/>
        <v>39411750</v>
      </c>
    </row>
    <row r="67" spans="1:9" x14ac:dyDescent="0.3">
      <c r="A67" s="4" t="s">
        <v>65</v>
      </c>
      <c r="B67" s="14">
        <v>45717</v>
      </c>
      <c r="C67" s="15">
        <f>COUNTIFS('Raw Orders'!$B$5:$B$899,$A67,'Raw Orders'!$D$5:$D$899,$B67)</f>
        <v>5</v>
      </c>
      <c r="D67" s="15">
        <f>SUMIFS('Raw Orders'!$E$5:$E$899,'Raw Orders'!$B$5:$B$899,$A67,'Raw Orders'!$D$5:$D$899,$B67)</f>
        <v>59.4</v>
      </c>
      <c r="E67" s="15">
        <f>SUMIFS('Raw Orders'!$F$5:$F$899,'Raw Orders'!$B$5:$B$899,$A67,'Raw Orders'!$D$5:$D$899,$B67)</f>
        <v>4677600</v>
      </c>
      <c r="F67" s="15">
        <f>SUMIFS('Raw Orders'!$F$5:$F$899,'Raw Orders'!$B$5:$B$899,$A67,'Raw Orders'!$I$5:$I$899,$B67,'Raw Orders'!$J$5:$J$899,FALSE)</f>
        <v>2392700</v>
      </c>
      <c r="G67" s="15">
        <f>SUMIFS('Raw Orders'!$F$5:$F$899,'Raw Orders'!$B$5:$B$899,$A67,'Raw Orders'!$D$5:$D$899,"&lt;="&amp;$B67)-SUMIFS('Raw Orders'!$F$5:$F$899,'Raw Orders'!$B$5:$B$899,$A67,'Raw Orders'!$I$5:$I$899,"&lt;="&amp;$B67,'Raw Orders'!$J$5:$J$899,FALSE)</f>
        <v>54833900</v>
      </c>
      <c r="H67" s="16">
        <f t="shared" si="2"/>
        <v>1.9549462949805658</v>
      </c>
      <c r="I67" s="15">
        <f t="shared" si="3"/>
        <v>41125425</v>
      </c>
    </row>
    <row r="68" spans="1:9" x14ac:dyDescent="0.3">
      <c r="A68" s="4" t="s">
        <v>65</v>
      </c>
      <c r="B68" s="14">
        <v>45748</v>
      </c>
      <c r="C68" s="15">
        <f>COUNTIFS('Raw Orders'!$B$5:$B$899,$A68,'Raw Orders'!$D$5:$D$899,$B68)</f>
        <v>4</v>
      </c>
      <c r="D68" s="15">
        <f>SUMIFS('Raw Orders'!$E$5:$E$899,'Raw Orders'!$B$5:$B$899,$A68,'Raw Orders'!$D$5:$D$899,$B68)</f>
        <v>76</v>
      </c>
      <c r="E68" s="15">
        <f>SUMIFS('Raw Orders'!$F$5:$F$899,'Raw Orders'!$B$5:$B$899,$A68,'Raw Orders'!$D$5:$D$899,$B68)</f>
        <v>5532500</v>
      </c>
      <c r="F68" s="15">
        <f>SUMIFS('Raw Orders'!$F$5:$F$899,'Raw Orders'!$B$5:$B$899,$A68,'Raw Orders'!$I$5:$I$899,$B68,'Raw Orders'!$J$5:$J$899,FALSE)</f>
        <v>1663200</v>
      </c>
      <c r="G68" s="15">
        <f>SUMIFS('Raw Orders'!$F$5:$F$899,'Raw Orders'!$B$5:$B$899,$A68,'Raw Orders'!$D$5:$D$899,"&lt;="&amp;$B68)-SUMIFS('Raw Orders'!$F$5:$F$899,'Raw Orders'!$B$5:$B$899,$A68,'Raw Orders'!$I$5:$I$899,"&lt;="&amp;$B68,'Raw Orders'!$J$5:$J$899,FALSE)</f>
        <v>58703200</v>
      </c>
      <c r="H68" s="16">
        <f t="shared" si="2"/>
        <v>3.3264189514189515</v>
      </c>
      <c r="I68" s="15">
        <f t="shared" si="3"/>
        <v>44027400</v>
      </c>
    </row>
    <row r="69" spans="1:9" x14ac:dyDescent="0.3">
      <c r="A69" s="4" t="s">
        <v>65</v>
      </c>
      <c r="B69" s="14">
        <v>45778</v>
      </c>
      <c r="C69" s="15">
        <f>COUNTIFS('Raw Orders'!$B$5:$B$899,$A69,'Raw Orders'!$D$5:$D$899,$B69)</f>
        <v>4</v>
      </c>
      <c r="D69" s="15">
        <f>SUMIFS('Raw Orders'!$E$5:$E$899,'Raw Orders'!$B$5:$B$899,$A69,'Raw Orders'!$D$5:$D$899,$B69)</f>
        <v>76.3</v>
      </c>
      <c r="E69" s="15">
        <f>SUMIFS('Raw Orders'!$F$5:$F$899,'Raw Orders'!$B$5:$B$899,$A69,'Raw Orders'!$D$5:$D$899,$B69)</f>
        <v>5564200</v>
      </c>
      <c r="F69" s="15">
        <f>SUMIFS('Raw Orders'!$F$5:$F$899,'Raw Orders'!$B$5:$B$899,$A69,'Raw Orders'!$I$5:$I$899,$B69,'Raw Orders'!$J$5:$J$899,FALSE)</f>
        <v>8413500</v>
      </c>
      <c r="G69" s="15">
        <f>SUMIFS('Raw Orders'!$F$5:$F$899,'Raw Orders'!$B$5:$B$899,$A69,'Raw Orders'!$D$5:$D$899,"&lt;="&amp;$B69)-SUMIFS('Raw Orders'!$F$5:$F$899,'Raw Orders'!$B$5:$B$899,$A69,'Raw Orders'!$I$5:$I$899,"&lt;="&amp;$B69,'Raw Orders'!$J$5:$J$899,FALSE)</f>
        <v>55853900</v>
      </c>
      <c r="H69" s="16">
        <f t="shared" ref="H69:H100" si="4">IF(F69=0,"",E69/F69)</f>
        <v>0.66134189100849827</v>
      </c>
      <c r="I69" s="15">
        <f t="shared" ref="I69:I100" si="5">G69*0.75</f>
        <v>41890425</v>
      </c>
    </row>
    <row r="70" spans="1:9" x14ac:dyDescent="0.3">
      <c r="A70" s="4" t="s">
        <v>65</v>
      </c>
      <c r="B70" s="14">
        <v>45809</v>
      </c>
      <c r="C70" s="15">
        <f>COUNTIFS('Raw Orders'!$B$5:$B$899,$A70,'Raw Orders'!$D$5:$D$899,$B70)</f>
        <v>7</v>
      </c>
      <c r="D70" s="15">
        <f>SUMIFS('Raw Orders'!$E$5:$E$899,'Raw Orders'!$B$5:$B$899,$A70,'Raw Orders'!$D$5:$D$899,$B70)</f>
        <v>171.79999999999998</v>
      </c>
      <c r="E70" s="15">
        <f>SUMIFS('Raw Orders'!$F$5:$F$899,'Raw Orders'!$B$5:$B$899,$A70,'Raw Orders'!$D$5:$D$899,$B70)</f>
        <v>12556600</v>
      </c>
      <c r="F70" s="15">
        <f>SUMIFS('Raw Orders'!$F$5:$F$899,'Raw Orders'!$B$5:$B$899,$A70,'Raw Orders'!$I$5:$I$899,$B70,'Raw Orders'!$J$5:$J$899,FALSE)</f>
        <v>4277300</v>
      </c>
      <c r="G70" s="15">
        <f>SUMIFS('Raw Orders'!$F$5:$F$899,'Raw Orders'!$B$5:$B$899,$A70,'Raw Orders'!$D$5:$D$899,"&lt;="&amp;$B70)-SUMIFS('Raw Orders'!$F$5:$F$899,'Raw Orders'!$B$5:$B$899,$A70,'Raw Orders'!$I$5:$I$899,"&lt;="&amp;$B70,'Raw Orders'!$J$5:$J$899,FALSE)</f>
        <v>64133200</v>
      </c>
      <c r="H70" s="16">
        <f t="shared" si="4"/>
        <v>2.9356369672456926</v>
      </c>
      <c r="I70" s="15">
        <f t="shared" si="5"/>
        <v>48099900</v>
      </c>
    </row>
    <row r="71" spans="1:9" x14ac:dyDescent="0.3">
      <c r="A71" s="4" t="s">
        <v>65</v>
      </c>
      <c r="B71" s="14">
        <v>45839</v>
      </c>
      <c r="C71" s="15">
        <f>COUNTIFS('Raw Orders'!$B$5:$B$899,$A71,'Raw Orders'!$D$5:$D$899,$B71)</f>
        <v>0</v>
      </c>
      <c r="D71" s="15">
        <f>SUMIFS('Raw Orders'!$E$5:$E$899,'Raw Orders'!$B$5:$B$899,$A71,'Raw Orders'!$D$5:$D$899,$B71)</f>
        <v>0</v>
      </c>
      <c r="E71" s="15">
        <f>SUMIFS('Raw Orders'!$F$5:$F$899,'Raw Orders'!$B$5:$B$899,$A71,'Raw Orders'!$D$5:$D$899,$B71)</f>
        <v>0</v>
      </c>
      <c r="F71" s="15">
        <f>SUMIFS('Raw Orders'!$F$5:$F$899,'Raw Orders'!$B$5:$B$899,$A71,'Raw Orders'!$I$5:$I$899,$B71,'Raw Orders'!$J$5:$J$899,FALSE)</f>
        <v>3707000</v>
      </c>
      <c r="G71" s="15">
        <f>SUMIFS('Raw Orders'!$F$5:$F$899,'Raw Orders'!$B$5:$B$899,$A71,'Raw Orders'!$D$5:$D$899,"&lt;="&amp;$B71)-SUMIFS('Raw Orders'!$F$5:$F$899,'Raw Orders'!$B$5:$B$899,$A71,'Raw Orders'!$I$5:$I$899,"&lt;="&amp;$B71,'Raw Orders'!$J$5:$J$899,FALSE)</f>
        <v>60426200</v>
      </c>
      <c r="H71" s="16">
        <f t="shared" si="4"/>
        <v>0</v>
      </c>
      <c r="I71" s="15">
        <f t="shared" si="5"/>
        <v>45319650</v>
      </c>
    </row>
    <row r="72" spans="1:9" x14ac:dyDescent="0.3">
      <c r="A72" s="4" t="s">
        <v>65</v>
      </c>
      <c r="B72" s="14">
        <v>45870</v>
      </c>
      <c r="C72" s="15">
        <f>COUNTIFS('Raw Orders'!$B$5:$B$899,$A72,'Raw Orders'!$D$5:$D$899,$B72)</f>
        <v>1</v>
      </c>
      <c r="D72" s="15">
        <f>SUMIFS('Raw Orders'!$E$5:$E$899,'Raw Orders'!$B$5:$B$899,$A72,'Raw Orders'!$D$5:$D$899,$B72)</f>
        <v>17.600000000000001</v>
      </c>
      <c r="E72" s="15">
        <f>SUMIFS('Raw Orders'!$F$5:$F$899,'Raw Orders'!$B$5:$B$899,$A72,'Raw Orders'!$D$5:$D$899,$B72)</f>
        <v>1478400</v>
      </c>
      <c r="F72" s="15">
        <f>SUMIFS('Raw Orders'!$F$5:$F$899,'Raw Orders'!$B$5:$B$899,$A72,'Raw Orders'!$I$5:$I$899,$B72,'Raw Orders'!$J$5:$J$899,FALSE)</f>
        <v>2879800</v>
      </c>
      <c r="G72" s="15">
        <f>SUMIFS('Raw Orders'!$F$5:$F$899,'Raw Orders'!$B$5:$B$899,$A72,'Raw Orders'!$D$5:$D$899,"&lt;="&amp;$B72)-SUMIFS('Raw Orders'!$F$5:$F$899,'Raw Orders'!$B$5:$B$899,$A72,'Raw Orders'!$I$5:$I$899,"&lt;="&amp;$B72,'Raw Orders'!$J$5:$J$899,FALSE)</f>
        <v>59024800</v>
      </c>
      <c r="H72" s="16">
        <f t="shared" si="4"/>
        <v>0.5133689839572193</v>
      </c>
      <c r="I72" s="15">
        <f t="shared" si="5"/>
        <v>44268600</v>
      </c>
    </row>
    <row r="73" spans="1:9" x14ac:dyDescent="0.3">
      <c r="A73" s="4" t="s">
        <v>65</v>
      </c>
      <c r="B73" s="14">
        <v>45901</v>
      </c>
      <c r="C73" s="15">
        <f>COUNTIFS('Raw Orders'!$B$5:$B$899,$A73,'Raw Orders'!$D$5:$D$899,$B73)</f>
        <v>2</v>
      </c>
      <c r="D73" s="15">
        <f>SUMIFS('Raw Orders'!$E$5:$E$899,'Raw Orders'!$B$5:$B$899,$A73,'Raw Orders'!$D$5:$D$899,$B73)</f>
        <v>17.7</v>
      </c>
      <c r="E73" s="15">
        <f>SUMIFS('Raw Orders'!$F$5:$F$899,'Raw Orders'!$B$5:$B$899,$A73,'Raw Orders'!$D$5:$D$899,$B73)</f>
        <v>1256700</v>
      </c>
      <c r="F73" s="15">
        <f>SUMIFS('Raw Orders'!$F$5:$F$899,'Raw Orders'!$B$5:$B$899,$A73,'Raw Orders'!$I$5:$I$899,$B73,'Raw Orders'!$J$5:$J$899,FALSE)</f>
        <v>3568200</v>
      </c>
      <c r="G73" s="15">
        <f>SUMIFS('Raw Orders'!$F$5:$F$899,'Raw Orders'!$B$5:$B$899,$A73,'Raw Orders'!$D$5:$D$899,"&lt;="&amp;$B73)-SUMIFS('Raw Orders'!$F$5:$F$899,'Raw Orders'!$B$5:$B$899,$A73,'Raw Orders'!$I$5:$I$899,"&lt;="&amp;$B73,'Raw Orders'!$J$5:$J$899,FALSE)</f>
        <v>56713300</v>
      </c>
      <c r="H73" s="16">
        <f t="shared" si="4"/>
        <v>0.35219438372288547</v>
      </c>
      <c r="I73" s="15">
        <f t="shared" si="5"/>
        <v>42534975</v>
      </c>
    </row>
    <row r="74" spans="1:9" x14ac:dyDescent="0.3">
      <c r="A74" s="4" t="s">
        <v>65</v>
      </c>
      <c r="B74" s="14">
        <v>45931</v>
      </c>
      <c r="C74" s="15">
        <f>COUNTIFS('Raw Orders'!$B$5:$B$899,$A74,'Raw Orders'!$D$5:$D$899,$B74)</f>
        <v>3</v>
      </c>
      <c r="D74" s="15">
        <f>SUMIFS('Raw Orders'!$E$5:$E$899,'Raw Orders'!$B$5:$B$899,$A74,'Raw Orders'!$D$5:$D$899,$B74)</f>
        <v>27</v>
      </c>
      <c r="E74" s="15">
        <f>SUMIFS('Raw Orders'!$F$5:$F$899,'Raw Orders'!$B$5:$B$899,$A74,'Raw Orders'!$D$5:$D$899,$B74)</f>
        <v>2182200</v>
      </c>
      <c r="F74" s="15">
        <f>SUMIFS('Raw Orders'!$F$5:$F$899,'Raw Orders'!$B$5:$B$899,$A74,'Raw Orders'!$I$5:$I$899,$B74,'Raw Orders'!$J$5:$J$899,FALSE)</f>
        <v>5234200</v>
      </c>
      <c r="G74" s="15">
        <f>SUMIFS('Raw Orders'!$F$5:$F$899,'Raw Orders'!$B$5:$B$899,$A74,'Raw Orders'!$D$5:$D$899,"&lt;="&amp;$B74)-SUMIFS('Raw Orders'!$F$5:$F$899,'Raw Orders'!$B$5:$B$899,$A74,'Raw Orders'!$I$5:$I$899,"&lt;="&amp;$B74,'Raw Orders'!$J$5:$J$899,FALSE)</f>
        <v>53661300</v>
      </c>
      <c r="H74" s="16">
        <f t="shared" si="4"/>
        <v>0.41691184899316036</v>
      </c>
      <c r="I74" s="15">
        <f t="shared" si="5"/>
        <v>40245975</v>
      </c>
    </row>
    <row r="75" spans="1:9" x14ac:dyDescent="0.3">
      <c r="A75" s="4" t="s">
        <v>65</v>
      </c>
      <c r="B75" s="14">
        <v>45962</v>
      </c>
      <c r="C75" s="15">
        <f>COUNTIFS('Raw Orders'!$B$5:$B$899,$A75,'Raw Orders'!$D$5:$D$899,$B75)</f>
        <v>4</v>
      </c>
      <c r="D75" s="15">
        <f>SUMIFS('Raw Orders'!$E$5:$E$899,'Raw Orders'!$B$5:$B$899,$A75,'Raw Orders'!$D$5:$D$899,$B75)</f>
        <v>103.10000000000001</v>
      </c>
      <c r="E75" s="15">
        <f>SUMIFS('Raw Orders'!$F$5:$F$899,'Raw Orders'!$B$5:$B$899,$A75,'Raw Orders'!$D$5:$D$899,$B75)</f>
        <v>7911600</v>
      </c>
      <c r="F75" s="15">
        <f>SUMIFS('Raw Orders'!$F$5:$F$899,'Raw Orders'!$B$5:$B$899,$A75,'Raw Orders'!$I$5:$I$899,$B75,'Raw Orders'!$J$5:$J$899,FALSE)</f>
        <v>5529400</v>
      </c>
      <c r="G75" s="15">
        <f>SUMIFS('Raw Orders'!$F$5:$F$899,'Raw Orders'!$B$5:$B$899,$A75,'Raw Orders'!$D$5:$D$899,"&lt;="&amp;$B75)-SUMIFS('Raw Orders'!$F$5:$F$899,'Raw Orders'!$B$5:$B$899,$A75,'Raw Orders'!$I$5:$I$899,"&lt;="&amp;$B75,'Raw Orders'!$J$5:$J$899,FALSE)</f>
        <v>56043500</v>
      </c>
      <c r="H75" s="16">
        <f t="shared" si="4"/>
        <v>1.4308243209028104</v>
      </c>
      <c r="I75" s="15">
        <f t="shared" si="5"/>
        <v>42032625</v>
      </c>
    </row>
    <row r="76" spans="1:9" x14ac:dyDescent="0.3">
      <c r="A76" s="4" t="s">
        <v>65</v>
      </c>
      <c r="B76" s="14">
        <v>45992</v>
      </c>
      <c r="C76" s="15">
        <f>COUNTIFS('Raw Orders'!$B$5:$B$899,$A76,'Raw Orders'!$D$5:$D$899,$B76)</f>
        <v>4</v>
      </c>
      <c r="D76" s="15">
        <f>SUMIFS('Raw Orders'!$E$5:$E$899,'Raw Orders'!$B$5:$B$899,$A76,'Raw Orders'!$D$5:$D$899,$B76)</f>
        <v>58.400000000000006</v>
      </c>
      <c r="E76" s="15">
        <f>SUMIFS('Raw Orders'!$F$5:$F$899,'Raw Orders'!$B$5:$B$899,$A76,'Raw Orders'!$D$5:$D$899,$B76)</f>
        <v>4146400</v>
      </c>
      <c r="F76" s="15">
        <f>SUMIFS('Raw Orders'!$F$5:$F$899,'Raw Orders'!$B$5:$B$899,$A76,'Raw Orders'!$I$5:$I$899,$B76,'Raw Orders'!$J$5:$J$899,FALSE)</f>
        <v>6373300</v>
      </c>
      <c r="G76" s="15">
        <f>SUMIFS('Raw Orders'!$F$5:$F$899,'Raw Orders'!$B$5:$B$899,$A76,'Raw Orders'!$D$5:$D$899,"&lt;="&amp;$B76)-SUMIFS('Raw Orders'!$F$5:$F$899,'Raw Orders'!$B$5:$B$899,$A76,'Raw Orders'!$I$5:$I$899,"&lt;="&amp;$B76,'Raw Orders'!$J$5:$J$899,FALSE)</f>
        <v>53816600</v>
      </c>
      <c r="H76" s="16">
        <f t="shared" si="4"/>
        <v>0.65058917672163552</v>
      </c>
      <c r="I76" s="15">
        <f t="shared" si="5"/>
        <v>40362450</v>
      </c>
    </row>
    <row r="77" spans="1:9" x14ac:dyDescent="0.3">
      <c r="A77" s="4" t="s">
        <v>72</v>
      </c>
      <c r="B77" s="14">
        <v>45292</v>
      </c>
      <c r="C77" s="15">
        <f>COUNTIFS('Raw Orders'!$B$5:$B$899,$A77,'Raw Orders'!$D$5:$D$899,$B77)</f>
        <v>2</v>
      </c>
      <c r="D77" s="15">
        <f>SUMIFS('Raw Orders'!$E$5:$E$899,'Raw Orders'!$B$5:$B$899,$A77,'Raw Orders'!$D$5:$D$899,$B77)</f>
        <v>33.700000000000003</v>
      </c>
      <c r="E77" s="15">
        <f>SUMIFS('Raw Orders'!$F$5:$F$899,'Raw Orders'!$B$5:$B$899,$A77,'Raw Orders'!$D$5:$D$899,$B77)</f>
        <v>2662300</v>
      </c>
      <c r="F77" s="15">
        <f>SUMIFS('Raw Orders'!$F$5:$F$899,'Raw Orders'!$B$5:$B$899,$A77,'Raw Orders'!$I$5:$I$899,$B77,'Raw Orders'!$J$5:$J$899,FALSE)</f>
        <v>0</v>
      </c>
      <c r="G77" s="15">
        <f>SUMIFS('Raw Orders'!$F$5:$F$899,'Raw Orders'!$B$5:$B$899,$A77,'Raw Orders'!$D$5:$D$899,"&lt;="&amp;$B77)-SUMIFS('Raw Orders'!$F$5:$F$899,'Raw Orders'!$B$5:$B$899,$A77,'Raw Orders'!$I$5:$I$899,"&lt;="&amp;$B77,'Raw Orders'!$J$5:$J$899,FALSE)</f>
        <v>2662300</v>
      </c>
      <c r="H77" s="16" t="str">
        <f t="shared" si="4"/>
        <v/>
      </c>
      <c r="I77" s="15">
        <f t="shared" si="5"/>
        <v>1996725</v>
      </c>
    </row>
    <row r="78" spans="1:9" x14ac:dyDescent="0.3">
      <c r="A78" s="4" t="s">
        <v>72</v>
      </c>
      <c r="B78" s="14">
        <v>45323</v>
      </c>
      <c r="C78" s="15">
        <f>COUNTIFS('Raw Orders'!$B$5:$B$899,$A78,'Raw Orders'!$D$5:$D$899,$B78)</f>
        <v>1</v>
      </c>
      <c r="D78" s="15">
        <f>SUMIFS('Raw Orders'!$E$5:$E$899,'Raw Orders'!$B$5:$B$899,$A78,'Raw Orders'!$D$5:$D$899,$B78)</f>
        <v>13.6</v>
      </c>
      <c r="E78" s="15">
        <f>SUMIFS('Raw Orders'!$F$5:$F$899,'Raw Orders'!$B$5:$B$899,$A78,'Raw Orders'!$D$5:$D$899,$B78)</f>
        <v>1074400</v>
      </c>
      <c r="F78" s="15">
        <f>SUMIFS('Raw Orders'!$F$5:$F$899,'Raw Orders'!$B$5:$B$899,$A78,'Raw Orders'!$I$5:$I$899,$B78,'Raw Orders'!$J$5:$J$899,FALSE)</f>
        <v>0</v>
      </c>
      <c r="G78" s="15">
        <f>SUMIFS('Raw Orders'!$F$5:$F$899,'Raw Orders'!$B$5:$B$899,$A78,'Raw Orders'!$D$5:$D$899,"&lt;="&amp;$B78)-SUMIFS('Raw Orders'!$F$5:$F$899,'Raw Orders'!$B$5:$B$899,$A78,'Raw Orders'!$I$5:$I$899,"&lt;="&amp;$B78,'Raw Orders'!$J$5:$J$899,FALSE)</f>
        <v>3736700</v>
      </c>
      <c r="H78" s="16" t="str">
        <f t="shared" si="4"/>
        <v/>
      </c>
      <c r="I78" s="15">
        <f t="shared" si="5"/>
        <v>2802525</v>
      </c>
    </row>
    <row r="79" spans="1:9" x14ac:dyDescent="0.3">
      <c r="A79" s="4" t="s">
        <v>72</v>
      </c>
      <c r="B79" s="14">
        <v>45352</v>
      </c>
      <c r="C79" s="15">
        <f>COUNTIFS('Raw Orders'!$B$5:$B$899,$A79,'Raw Orders'!$D$5:$D$899,$B79)</f>
        <v>3</v>
      </c>
      <c r="D79" s="15">
        <f>SUMIFS('Raw Orders'!$E$5:$E$899,'Raw Orders'!$B$5:$B$899,$A79,'Raw Orders'!$D$5:$D$899,$B79)</f>
        <v>68.400000000000006</v>
      </c>
      <c r="E79" s="15">
        <f>SUMIFS('Raw Orders'!$F$5:$F$899,'Raw Orders'!$B$5:$B$899,$A79,'Raw Orders'!$D$5:$D$899,$B79)</f>
        <v>5403600</v>
      </c>
      <c r="F79" s="15">
        <f>SUMIFS('Raw Orders'!$F$5:$F$899,'Raw Orders'!$B$5:$B$899,$A79,'Raw Orders'!$I$5:$I$899,$B79,'Raw Orders'!$J$5:$J$899,FALSE)</f>
        <v>0</v>
      </c>
      <c r="G79" s="15">
        <f>SUMIFS('Raw Orders'!$F$5:$F$899,'Raw Orders'!$B$5:$B$899,$A79,'Raw Orders'!$D$5:$D$899,"&lt;="&amp;$B79)-SUMIFS('Raw Orders'!$F$5:$F$899,'Raw Orders'!$B$5:$B$899,$A79,'Raw Orders'!$I$5:$I$899,"&lt;="&amp;$B79,'Raw Orders'!$J$5:$J$899,FALSE)</f>
        <v>9140300</v>
      </c>
      <c r="H79" s="16" t="str">
        <f t="shared" si="4"/>
        <v/>
      </c>
      <c r="I79" s="15">
        <f t="shared" si="5"/>
        <v>6855225</v>
      </c>
    </row>
    <row r="80" spans="1:9" x14ac:dyDescent="0.3">
      <c r="A80" s="4" t="s">
        <v>72</v>
      </c>
      <c r="B80" s="14">
        <v>45383</v>
      </c>
      <c r="C80" s="15">
        <f>COUNTIFS('Raw Orders'!$B$5:$B$899,$A80,'Raw Orders'!$D$5:$D$899,$B80)</f>
        <v>2</v>
      </c>
      <c r="D80" s="15">
        <f>SUMIFS('Raw Orders'!$E$5:$E$899,'Raw Orders'!$B$5:$B$899,$A80,'Raw Orders'!$D$5:$D$899,$B80)</f>
        <v>75.5</v>
      </c>
      <c r="E80" s="15">
        <f>SUMIFS('Raw Orders'!$F$5:$F$899,'Raw Orders'!$B$5:$B$899,$A80,'Raw Orders'!$D$5:$D$899,$B80)</f>
        <v>5964500</v>
      </c>
      <c r="F80" s="15">
        <f>SUMIFS('Raw Orders'!$F$5:$F$899,'Raw Orders'!$B$5:$B$899,$A80,'Raw Orders'!$I$5:$I$899,$B80,'Raw Orders'!$J$5:$J$899,FALSE)</f>
        <v>0</v>
      </c>
      <c r="G80" s="15">
        <f>SUMIFS('Raw Orders'!$F$5:$F$899,'Raw Orders'!$B$5:$B$899,$A80,'Raw Orders'!$D$5:$D$899,"&lt;="&amp;$B80)-SUMIFS('Raw Orders'!$F$5:$F$899,'Raw Orders'!$B$5:$B$899,$A80,'Raw Orders'!$I$5:$I$899,"&lt;="&amp;$B80,'Raw Orders'!$J$5:$J$899,FALSE)</f>
        <v>15104800</v>
      </c>
      <c r="H80" s="16" t="str">
        <f t="shared" si="4"/>
        <v/>
      </c>
      <c r="I80" s="15">
        <f t="shared" si="5"/>
        <v>11328600</v>
      </c>
    </row>
    <row r="81" spans="1:9" x14ac:dyDescent="0.3">
      <c r="A81" s="4" t="s">
        <v>72</v>
      </c>
      <c r="B81" s="14">
        <v>45413</v>
      </c>
      <c r="C81" s="15">
        <f>COUNTIFS('Raw Orders'!$B$5:$B$899,$A81,'Raw Orders'!$D$5:$D$899,$B81)</f>
        <v>5</v>
      </c>
      <c r="D81" s="15">
        <f>SUMIFS('Raw Orders'!$E$5:$E$899,'Raw Orders'!$B$5:$B$899,$A81,'Raw Orders'!$D$5:$D$899,$B81)</f>
        <v>49.3</v>
      </c>
      <c r="E81" s="15">
        <f>SUMIFS('Raw Orders'!$F$5:$F$899,'Raw Orders'!$B$5:$B$899,$A81,'Raw Orders'!$D$5:$D$899,$B81)</f>
        <v>3894700</v>
      </c>
      <c r="F81" s="15">
        <f>SUMIFS('Raw Orders'!$F$5:$F$899,'Raw Orders'!$B$5:$B$899,$A81,'Raw Orders'!$I$5:$I$899,$B81,'Raw Orders'!$J$5:$J$899,FALSE)</f>
        <v>0</v>
      </c>
      <c r="G81" s="15">
        <f>SUMIFS('Raw Orders'!$F$5:$F$899,'Raw Orders'!$B$5:$B$899,$A81,'Raw Orders'!$D$5:$D$899,"&lt;="&amp;$B81)-SUMIFS('Raw Orders'!$F$5:$F$899,'Raw Orders'!$B$5:$B$899,$A81,'Raw Orders'!$I$5:$I$899,"&lt;="&amp;$B81,'Raw Orders'!$J$5:$J$899,FALSE)</f>
        <v>18999500</v>
      </c>
      <c r="H81" s="16" t="str">
        <f t="shared" si="4"/>
        <v/>
      </c>
      <c r="I81" s="15">
        <f t="shared" si="5"/>
        <v>14249625</v>
      </c>
    </row>
    <row r="82" spans="1:9" x14ac:dyDescent="0.3">
      <c r="A82" s="4" t="s">
        <v>72</v>
      </c>
      <c r="B82" s="14">
        <v>45444</v>
      </c>
      <c r="C82" s="15">
        <f>COUNTIFS('Raw Orders'!$B$5:$B$899,$A82,'Raw Orders'!$D$5:$D$899,$B82)</f>
        <v>5</v>
      </c>
      <c r="D82" s="15">
        <f>SUMIFS('Raw Orders'!$E$5:$E$899,'Raw Orders'!$B$5:$B$899,$A82,'Raw Orders'!$D$5:$D$899,$B82)</f>
        <v>124.39999999999999</v>
      </c>
      <c r="E82" s="15">
        <f>SUMIFS('Raw Orders'!$F$5:$F$899,'Raw Orders'!$B$5:$B$899,$A82,'Raw Orders'!$D$5:$D$899,$B82)</f>
        <v>9827600</v>
      </c>
      <c r="F82" s="15">
        <f>SUMIFS('Raw Orders'!$F$5:$F$899,'Raw Orders'!$B$5:$B$899,$A82,'Raw Orders'!$I$5:$I$899,$B82,'Raw Orders'!$J$5:$J$899,FALSE)</f>
        <v>0</v>
      </c>
      <c r="G82" s="15">
        <f>SUMIFS('Raw Orders'!$F$5:$F$899,'Raw Orders'!$B$5:$B$899,$A82,'Raw Orders'!$D$5:$D$899,"&lt;="&amp;$B82)-SUMIFS('Raw Orders'!$F$5:$F$899,'Raw Orders'!$B$5:$B$899,$A82,'Raw Orders'!$I$5:$I$899,"&lt;="&amp;$B82,'Raw Orders'!$J$5:$J$899,FALSE)</f>
        <v>28827100</v>
      </c>
      <c r="H82" s="16" t="str">
        <f t="shared" si="4"/>
        <v/>
      </c>
      <c r="I82" s="15">
        <f t="shared" si="5"/>
        <v>21620325</v>
      </c>
    </row>
    <row r="83" spans="1:9" x14ac:dyDescent="0.3">
      <c r="A83" s="4" t="s">
        <v>72</v>
      </c>
      <c r="B83" s="14">
        <v>45474</v>
      </c>
      <c r="C83" s="15">
        <f>COUNTIFS('Raw Orders'!$B$5:$B$899,$A83,'Raw Orders'!$D$5:$D$899,$B83)</f>
        <v>1</v>
      </c>
      <c r="D83" s="15">
        <f>SUMIFS('Raw Orders'!$E$5:$E$899,'Raw Orders'!$B$5:$B$899,$A83,'Raw Orders'!$D$5:$D$899,$B83)</f>
        <v>7.4</v>
      </c>
      <c r="E83" s="15">
        <f>SUMIFS('Raw Orders'!$F$5:$F$899,'Raw Orders'!$B$5:$B$899,$A83,'Raw Orders'!$D$5:$D$899,$B83)</f>
        <v>584600</v>
      </c>
      <c r="F83" s="15">
        <f>SUMIFS('Raw Orders'!$F$5:$F$899,'Raw Orders'!$B$5:$B$899,$A83,'Raw Orders'!$I$5:$I$899,$B83,'Raw Orders'!$J$5:$J$899,FALSE)</f>
        <v>0</v>
      </c>
      <c r="G83" s="15">
        <f>SUMIFS('Raw Orders'!$F$5:$F$899,'Raw Orders'!$B$5:$B$899,$A83,'Raw Orders'!$D$5:$D$899,"&lt;="&amp;$B83)-SUMIFS('Raw Orders'!$F$5:$F$899,'Raw Orders'!$B$5:$B$899,$A83,'Raw Orders'!$I$5:$I$899,"&lt;="&amp;$B83,'Raw Orders'!$J$5:$J$899,FALSE)</f>
        <v>29411700</v>
      </c>
      <c r="H83" s="16" t="str">
        <f t="shared" si="4"/>
        <v/>
      </c>
      <c r="I83" s="15">
        <f t="shared" si="5"/>
        <v>22058775</v>
      </c>
    </row>
    <row r="84" spans="1:9" x14ac:dyDescent="0.3">
      <c r="A84" s="4" t="s">
        <v>72</v>
      </c>
      <c r="B84" s="14">
        <v>45505</v>
      </c>
      <c r="C84" s="15">
        <f>COUNTIFS('Raw Orders'!$B$5:$B$899,$A84,'Raw Orders'!$D$5:$D$899,$B84)</f>
        <v>2</v>
      </c>
      <c r="D84" s="15">
        <f>SUMIFS('Raw Orders'!$E$5:$E$899,'Raw Orders'!$B$5:$B$899,$A84,'Raw Orders'!$D$5:$D$899,$B84)</f>
        <v>91</v>
      </c>
      <c r="E84" s="15">
        <f>SUMIFS('Raw Orders'!$F$5:$F$899,'Raw Orders'!$B$5:$B$899,$A84,'Raw Orders'!$D$5:$D$899,$B84)</f>
        <v>7189000</v>
      </c>
      <c r="F84" s="15">
        <f>SUMIFS('Raw Orders'!$F$5:$F$899,'Raw Orders'!$B$5:$B$899,$A84,'Raw Orders'!$I$5:$I$899,$B84,'Raw Orders'!$J$5:$J$899,FALSE)</f>
        <v>0</v>
      </c>
      <c r="G84" s="15">
        <f>SUMIFS('Raw Orders'!$F$5:$F$899,'Raw Orders'!$B$5:$B$899,$A84,'Raw Orders'!$D$5:$D$899,"&lt;="&amp;$B84)-SUMIFS('Raw Orders'!$F$5:$F$899,'Raw Orders'!$B$5:$B$899,$A84,'Raw Orders'!$I$5:$I$899,"&lt;="&amp;$B84,'Raw Orders'!$J$5:$J$899,FALSE)</f>
        <v>36600700</v>
      </c>
      <c r="H84" s="16" t="str">
        <f t="shared" si="4"/>
        <v/>
      </c>
      <c r="I84" s="15">
        <f t="shared" si="5"/>
        <v>27450525</v>
      </c>
    </row>
    <row r="85" spans="1:9" x14ac:dyDescent="0.3">
      <c r="A85" s="4" t="s">
        <v>72</v>
      </c>
      <c r="B85" s="14">
        <v>45536</v>
      </c>
      <c r="C85" s="15">
        <f>COUNTIFS('Raw Orders'!$B$5:$B$899,$A85,'Raw Orders'!$D$5:$D$899,$B85)</f>
        <v>1</v>
      </c>
      <c r="D85" s="15">
        <f>SUMIFS('Raw Orders'!$E$5:$E$899,'Raw Orders'!$B$5:$B$899,$A85,'Raw Orders'!$D$5:$D$899,$B85)</f>
        <v>44.2</v>
      </c>
      <c r="E85" s="15">
        <f>SUMIFS('Raw Orders'!$F$5:$F$899,'Raw Orders'!$B$5:$B$899,$A85,'Raw Orders'!$D$5:$D$899,$B85)</f>
        <v>3491800</v>
      </c>
      <c r="F85" s="15">
        <f>SUMIFS('Raw Orders'!$F$5:$F$899,'Raw Orders'!$B$5:$B$899,$A85,'Raw Orders'!$I$5:$I$899,$B85,'Raw Orders'!$J$5:$J$899,FALSE)</f>
        <v>0</v>
      </c>
      <c r="G85" s="15">
        <f>SUMIFS('Raw Orders'!$F$5:$F$899,'Raw Orders'!$B$5:$B$899,$A85,'Raw Orders'!$D$5:$D$899,"&lt;="&amp;$B85)-SUMIFS('Raw Orders'!$F$5:$F$899,'Raw Orders'!$B$5:$B$899,$A85,'Raw Orders'!$I$5:$I$899,"&lt;="&amp;$B85,'Raw Orders'!$J$5:$J$899,FALSE)</f>
        <v>40092500</v>
      </c>
      <c r="H85" s="16" t="str">
        <f t="shared" si="4"/>
        <v/>
      </c>
      <c r="I85" s="15">
        <f t="shared" si="5"/>
        <v>30069375</v>
      </c>
    </row>
    <row r="86" spans="1:9" x14ac:dyDescent="0.3">
      <c r="A86" s="4" t="s">
        <v>72</v>
      </c>
      <c r="B86" s="14">
        <v>45566</v>
      </c>
      <c r="C86" s="15">
        <f>COUNTIFS('Raw Orders'!$B$5:$B$899,$A86,'Raw Orders'!$D$5:$D$899,$B86)</f>
        <v>1</v>
      </c>
      <c r="D86" s="15">
        <f>SUMIFS('Raw Orders'!$E$5:$E$899,'Raw Orders'!$B$5:$B$899,$A86,'Raw Orders'!$D$5:$D$899,$B86)</f>
        <v>8.8000000000000007</v>
      </c>
      <c r="E86" s="15">
        <f>SUMIFS('Raw Orders'!$F$5:$F$899,'Raw Orders'!$B$5:$B$899,$A86,'Raw Orders'!$D$5:$D$899,$B86)</f>
        <v>695200</v>
      </c>
      <c r="F86" s="15">
        <f>SUMIFS('Raw Orders'!$F$5:$F$899,'Raw Orders'!$B$5:$B$899,$A86,'Raw Orders'!$I$5:$I$899,$B86,'Raw Orders'!$J$5:$J$899,FALSE)</f>
        <v>0</v>
      </c>
      <c r="G86" s="15">
        <f>SUMIFS('Raw Orders'!$F$5:$F$899,'Raw Orders'!$B$5:$B$899,$A86,'Raw Orders'!$D$5:$D$899,"&lt;="&amp;$B86)-SUMIFS('Raw Orders'!$F$5:$F$899,'Raw Orders'!$B$5:$B$899,$A86,'Raw Orders'!$I$5:$I$899,"&lt;="&amp;$B86,'Raw Orders'!$J$5:$J$899,FALSE)</f>
        <v>40787700</v>
      </c>
      <c r="H86" s="16" t="str">
        <f t="shared" si="4"/>
        <v/>
      </c>
      <c r="I86" s="15">
        <f t="shared" si="5"/>
        <v>30590775</v>
      </c>
    </row>
    <row r="87" spans="1:9" x14ac:dyDescent="0.3">
      <c r="A87" s="4" t="s">
        <v>72</v>
      </c>
      <c r="B87" s="14">
        <v>45597</v>
      </c>
      <c r="C87" s="15">
        <f>COUNTIFS('Raw Orders'!$B$5:$B$899,$A87,'Raw Orders'!$D$5:$D$899,$B87)</f>
        <v>0</v>
      </c>
      <c r="D87" s="15">
        <f>SUMIFS('Raw Orders'!$E$5:$E$899,'Raw Orders'!$B$5:$B$899,$A87,'Raw Orders'!$D$5:$D$899,$B87)</f>
        <v>0</v>
      </c>
      <c r="E87" s="15">
        <f>SUMIFS('Raw Orders'!$F$5:$F$899,'Raw Orders'!$B$5:$B$899,$A87,'Raw Orders'!$D$5:$D$899,$B87)</f>
        <v>0</v>
      </c>
      <c r="F87" s="15">
        <f>SUMIFS('Raw Orders'!$F$5:$F$899,'Raw Orders'!$B$5:$B$899,$A87,'Raw Orders'!$I$5:$I$899,$B87,'Raw Orders'!$J$5:$J$899,FALSE)</f>
        <v>9859200</v>
      </c>
      <c r="G87" s="15">
        <f>SUMIFS('Raw Orders'!$F$5:$F$899,'Raw Orders'!$B$5:$B$899,$A87,'Raw Orders'!$D$5:$D$899,"&lt;="&amp;$B87)-SUMIFS('Raw Orders'!$F$5:$F$899,'Raw Orders'!$B$5:$B$899,$A87,'Raw Orders'!$I$5:$I$899,"&lt;="&amp;$B87,'Raw Orders'!$J$5:$J$899,FALSE)</f>
        <v>30928500</v>
      </c>
      <c r="H87" s="16">
        <f t="shared" si="4"/>
        <v>0</v>
      </c>
      <c r="I87" s="15">
        <f t="shared" si="5"/>
        <v>23196375</v>
      </c>
    </row>
    <row r="88" spans="1:9" x14ac:dyDescent="0.3">
      <c r="A88" s="4" t="s">
        <v>72</v>
      </c>
      <c r="B88" s="14">
        <v>45627</v>
      </c>
      <c r="C88" s="15">
        <f>COUNTIFS('Raw Orders'!$B$5:$B$899,$A88,'Raw Orders'!$D$5:$D$899,$B88)</f>
        <v>2</v>
      </c>
      <c r="D88" s="15">
        <f>SUMIFS('Raw Orders'!$E$5:$E$899,'Raw Orders'!$B$5:$B$899,$A88,'Raw Orders'!$D$5:$D$899,$B88)</f>
        <v>12.1</v>
      </c>
      <c r="E88" s="15">
        <f>SUMIFS('Raw Orders'!$F$5:$F$899,'Raw Orders'!$B$5:$B$899,$A88,'Raw Orders'!$D$5:$D$899,$B88)</f>
        <v>955900</v>
      </c>
      <c r="F88" s="15">
        <f>SUMIFS('Raw Orders'!$F$5:$F$899,'Raw Orders'!$B$5:$B$899,$A88,'Raw Orders'!$I$5:$I$899,$B88,'Raw Orders'!$J$5:$J$899,FALSE)</f>
        <v>987500</v>
      </c>
      <c r="G88" s="15">
        <f>SUMIFS('Raw Orders'!$F$5:$F$899,'Raw Orders'!$B$5:$B$899,$A88,'Raw Orders'!$D$5:$D$899,"&lt;="&amp;$B88)-SUMIFS('Raw Orders'!$F$5:$F$899,'Raw Orders'!$B$5:$B$899,$A88,'Raw Orders'!$I$5:$I$899,"&lt;="&amp;$B88,'Raw Orders'!$J$5:$J$899,FALSE)</f>
        <v>30896900</v>
      </c>
      <c r="H88" s="16">
        <f t="shared" si="4"/>
        <v>0.96799999999999997</v>
      </c>
      <c r="I88" s="15">
        <f t="shared" si="5"/>
        <v>23172675</v>
      </c>
    </row>
    <row r="89" spans="1:9" x14ac:dyDescent="0.3">
      <c r="A89" s="4" t="s">
        <v>72</v>
      </c>
      <c r="B89" s="14">
        <v>45658</v>
      </c>
      <c r="C89" s="15">
        <f>COUNTIFS('Raw Orders'!$B$5:$B$899,$A89,'Raw Orders'!$D$5:$D$899,$B89)</f>
        <v>3</v>
      </c>
      <c r="D89" s="15">
        <f>SUMIFS('Raw Orders'!$E$5:$E$899,'Raw Orders'!$B$5:$B$899,$A89,'Raw Orders'!$D$5:$D$899,$B89)</f>
        <v>31.700000000000003</v>
      </c>
      <c r="E89" s="15">
        <f>SUMIFS('Raw Orders'!$F$5:$F$899,'Raw Orders'!$B$5:$B$899,$A89,'Raw Orders'!$D$5:$D$899,$B89)</f>
        <v>2504300</v>
      </c>
      <c r="F89" s="15">
        <f>SUMIFS('Raw Orders'!$F$5:$F$899,'Raw Orders'!$B$5:$B$899,$A89,'Raw Orders'!$I$5:$I$899,$B89,'Raw Orders'!$J$5:$J$899,FALSE)</f>
        <v>7805200</v>
      </c>
      <c r="G89" s="15">
        <f>SUMIFS('Raw Orders'!$F$5:$F$899,'Raw Orders'!$B$5:$B$899,$A89,'Raw Orders'!$D$5:$D$899,"&lt;="&amp;$B89)-SUMIFS('Raw Orders'!$F$5:$F$899,'Raw Orders'!$B$5:$B$899,$A89,'Raw Orders'!$I$5:$I$899,"&lt;="&amp;$B89,'Raw Orders'!$J$5:$J$899,FALSE)</f>
        <v>25596000</v>
      </c>
      <c r="H89" s="16">
        <f t="shared" si="4"/>
        <v>0.3208502024291498</v>
      </c>
      <c r="I89" s="15">
        <f t="shared" si="5"/>
        <v>19197000</v>
      </c>
    </row>
    <row r="90" spans="1:9" x14ac:dyDescent="0.3">
      <c r="A90" s="4" t="s">
        <v>72</v>
      </c>
      <c r="B90" s="14">
        <v>45689</v>
      </c>
      <c r="C90" s="15">
        <f>COUNTIFS('Raw Orders'!$B$5:$B$899,$A90,'Raw Orders'!$D$5:$D$899,$B90)</f>
        <v>2</v>
      </c>
      <c r="D90" s="15">
        <f>SUMIFS('Raw Orders'!$E$5:$E$899,'Raw Orders'!$B$5:$B$899,$A90,'Raw Orders'!$D$5:$D$899,$B90)</f>
        <v>23.5</v>
      </c>
      <c r="E90" s="15">
        <f>SUMIFS('Raw Orders'!$F$5:$F$899,'Raw Orders'!$B$5:$B$899,$A90,'Raw Orders'!$D$5:$D$899,$B90)</f>
        <v>1856500</v>
      </c>
      <c r="F90" s="15">
        <f>SUMIFS('Raw Orders'!$F$5:$F$899,'Raw Orders'!$B$5:$B$899,$A90,'Raw Orders'!$I$5:$I$899,$B90,'Raw Orders'!$J$5:$J$899,FALSE)</f>
        <v>5656400</v>
      </c>
      <c r="G90" s="15">
        <f>SUMIFS('Raw Orders'!$F$5:$F$899,'Raw Orders'!$B$5:$B$899,$A90,'Raw Orders'!$D$5:$D$899,"&lt;="&amp;$B90)-SUMIFS('Raw Orders'!$F$5:$F$899,'Raw Orders'!$B$5:$B$899,$A90,'Raw Orders'!$I$5:$I$899,"&lt;="&amp;$B90,'Raw Orders'!$J$5:$J$899,FALSE)</f>
        <v>21796100</v>
      </c>
      <c r="H90" s="16">
        <f t="shared" si="4"/>
        <v>0.32821229050279327</v>
      </c>
      <c r="I90" s="15">
        <f t="shared" si="5"/>
        <v>16347075</v>
      </c>
    </row>
    <row r="91" spans="1:9" x14ac:dyDescent="0.3">
      <c r="A91" s="4" t="s">
        <v>72</v>
      </c>
      <c r="B91" s="14">
        <v>45717</v>
      </c>
      <c r="C91" s="15">
        <f>COUNTIFS('Raw Orders'!$B$5:$B$899,$A91,'Raw Orders'!$D$5:$D$899,$B91)</f>
        <v>3</v>
      </c>
      <c r="D91" s="15">
        <f>SUMIFS('Raw Orders'!$E$5:$E$899,'Raw Orders'!$B$5:$B$899,$A91,'Raw Orders'!$D$5:$D$899,$B91)</f>
        <v>34.5</v>
      </c>
      <c r="E91" s="15">
        <f>SUMIFS('Raw Orders'!$F$5:$F$899,'Raw Orders'!$B$5:$B$899,$A91,'Raw Orders'!$D$5:$D$899,$B91)</f>
        <v>2725500</v>
      </c>
      <c r="F91" s="15">
        <f>SUMIFS('Raw Orders'!$F$5:$F$899,'Raw Orders'!$B$5:$B$899,$A91,'Raw Orders'!$I$5:$I$899,$B91,'Raw Orders'!$J$5:$J$899,FALSE)</f>
        <v>0</v>
      </c>
      <c r="G91" s="15">
        <f>SUMIFS('Raw Orders'!$F$5:$F$899,'Raw Orders'!$B$5:$B$899,$A91,'Raw Orders'!$D$5:$D$899,"&lt;="&amp;$B91)-SUMIFS('Raw Orders'!$F$5:$F$899,'Raw Orders'!$B$5:$B$899,$A91,'Raw Orders'!$I$5:$I$899,"&lt;="&amp;$B91,'Raw Orders'!$J$5:$J$899,FALSE)</f>
        <v>24521600</v>
      </c>
      <c r="H91" s="16" t="str">
        <f t="shared" si="4"/>
        <v/>
      </c>
      <c r="I91" s="15">
        <f t="shared" si="5"/>
        <v>18391200</v>
      </c>
    </row>
    <row r="92" spans="1:9" x14ac:dyDescent="0.3">
      <c r="A92" s="4" t="s">
        <v>72</v>
      </c>
      <c r="B92" s="14">
        <v>45748</v>
      </c>
      <c r="C92" s="15">
        <f>COUNTIFS('Raw Orders'!$B$5:$B$899,$A92,'Raw Orders'!$D$5:$D$899,$B92)</f>
        <v>3</v>
      </c>
      <c r="D92" s="15">
        <f>SUMIFS('Raw Orders'!$E$5:$E$899,'Raw Orders'!$B$5:$B$899,$A92,'Raw Orders'!$D$5:$D$899,$B92)</f>
        <v>34.799999999999997</v>
      </c>
      <c r="E92" s="15">
        <f>SUMIFS('Raw Orders'!$F$5:$F$899,'Raw Orders'!$B$5:$B$899,$A92,'Raw Orders'!$D$5:$D$899,$B92)</f>
        <v>2749200</v>
      </c>
      <c r="F92" s="15">
        <f>SUMIFS('Raw Orders'!$F$5:$F$899,'Raw Orders'!$B$5:$B$899,$A92,'Raw Orders'!$I$5:$I$899,$B92,'Raw Orders'!$J$5:$J$899,FALSE)</f>
        <v>6904600</v>
      </c>
      <c r="G92" s="15">
        <f>SUMIFS('Raw Orders'!$F$5:$F$899,'Raw Orders'!$B$5:$B$899,$A92,'Raw Orders'!$D$5:$D$899,"&lt;="&amp;$B92)-SUMIFS('Raw Orders'!$F$5:$F$899,'Raw Orders'!$B$5:$B$899,$A92,'Raw Orders'!$I$5:$I$899,"&lt;="&amp;$B92,'Raw Orders'!$J$5:$J$899,FALSE)</f>
        <v>20366200</v>
      </c>
      <c r="H92" s="16">
        <f t="shared" si="4"/>
        <v>0.39816933638443935</v>
      </c>
      <c r="I92" s="15">
        <f t="shared" si="5"/>
        <v>15274650</v>
      </c>
    </row>
    <row r="93" spans="1:9" x14ac:dyDescent="0.3">
      <c r="A93" s="4" t="s">
        <v>72</v>
      </c>
      <c r="B93" s="14">
        <v>45778</v>
      </c>
      <c r="C93" s="15">
        <f>COUNTIFS('Raw Orders'!$B$5:$B$899,$A93,'Raw Orders'!$D$5:$D$899,$B93)</f>
        <v>8</v>
      </c>
      <c r="D93" s="15">
        <f>SUMIFS('Raw Orders'!$E$5:$E$899,'Raw Orders'!$B$5:$B$899,$A93,'Raw Orders'!$D$5:$D$899,$B93)</f>
        <v>121.7</v>
      </c>
      <c r="E93" s="15">
        <f>SUMIFS('Raw Orders'!$F$5:$F$899,'Raw Orders'!$B$5:$B$899,$A93,'Raw Orders'!$D$5:$D$899,$B93)</f>
        <v>9614300</v>
      </c>
      <c r="F93" s="15">
        <f>SUMIFS('Raw Orders'!$F$5:$F$899,'Raw Orders'!$B$5:$B$899,$A93,'Raw Orders'!$I$5:$I$899,$B93,'Raw Orders'!$J$5:$J$899,FALSE)</f>
        <v>1303500</v>
      </c>
      <c r="G93" s="15">
        <f>SUMIFS('Raw Orders'!$F$5:$F$899,'Raw Orders'!$B$5:$B$899,$A93,'Raw Orders'!$D$5:$D$899,"&lt;="&amp;$B93)-SUMIFS('Raw Orders'!$F$5:$F$899,'Raw Orders'!$B$5:$B$899,$A93,'Raw Orders'!$I$5:$I$899,"&lt;="&amp;$B93,'Raw Orders'!$J$5:$J$899,FALSE)</f>
        <v>28677000</v>
      </c>
      <c r="H93" s="16">
        <f t="shared" si="4"/>
        <v>7.375757575757576</v>
      </c>
      <c r="I93" s="15">
        <f t="shared" si="5"/>
        <v>21507750</v>
      </c>
    </row>
    <row r="94" spans="1:9" x14ac:dyDescent="0.3">
      <c r="A94" s="4" t="s">
        <v>72</v>
      </c>
      <c r="B94" s="14">
        <v>45809</v>
      </c>
      <c r="C94" s="15">
        <f>COUNTIFS('Raw Orders'!$B$5:$B$899,$A94,'Raw Orders'!$D$5:$D$899,$B94)</f>
        <v>1</v>
      </c>
      <c r="D94" s="15">
        <f>SUMIFS('Raw Orders'!$E$5:$E$899,'Raw Orders'!$B$5:$B$899,$A94,'Raw Orders'!$D$5:$D$899,$B94)</f>
        <v>13.3</v>
      </c>
      <c r="E94" s="15">
        <f>SUMIFS('Raw Orders'!$F$5:$F$899,'Raw Orders'!$B$5:$B$899,$A94,'Raw Orders'!$D$5:$D$899,$B94)</f>
        <v>1050700</v>
      </c>
      <c r="F94" s="15">
        <f>SUMIFS('Raw Orders'!$F$5:$F$899,'Raw Orders'!$B$5:$B$899,$A94,'Raw Orders'!$I$5:$I$899,$B94,'Raw Orders'!$J$5:$J$899,FALSE)</f>
        <v>0</v>
      </c>
      <c r="G94" s="15">
        <f>SUMIFS('Raw Orders'!$F$5:$F$899,'Raw Orders'!$B$5:$B$899,$A94,'Raw Orders'!$D$5:$D$899,"&lt;="&amp;$B94)-SUMIFS('Raw Orders'!$F$5:$F$899,'Raw Orders'!$B$5:$B$899,$A94,'Raw Orders'!$I$5:$I$899,"&lt;="&amp;$B94,'Raw Orders'!$J$5:$J$899,FALSE)</f>
        <v>29727700</v>
      </c>
      <c r="H94" s="16" t="str">
        <f t="shared" si="4"/>
        <v/>
      </c>
      <c r="I94" s="15">
        <f t="shared" si="5"/>
        <v>22295775</v>
      </c>
    </row>
    <row r="95" spans="1:9" x14ac:dyDescent="0.3">
      <c r="A95" s="4" t="s">
        <v>72</v>
      </c>
      <c r="B95" s="14">
        <v>45839</v>
      </c>
      <c r="C95" s="15">
        <f>COUNTIFS('Raw Orders'!$B$5:$B$899,$A95,'Raw Orders'!$D$5:$D$899,$B95)</f>
        <v>1</v>
      </c>
      <c r="D95" s="15">
        <f>SUMIFS('Raw Orders'!$E$5:$E$899,'Raw Orders'!$B$5:$B$899,$A95,'Raw Orders'!$D$5:$D$899,$B95)</f>
        <v>7.5</v>
      </c>
      <c r="E95" s="15">
        <f>SUMIFS('Raw Orders'!$F$5:$F$899,'Raw Orders'!$B$5:$B$899,$A95,'Raw Orders'!$D$5:$D$899,$B95)</f>
        <v>592500</v>
      </c>
      <c r="F95" s="15">
        <f>SUMIFS('Raw Orders'!$F$5:$F$899,'Raw Orders'!$B$5:$B$899,$A95,'Raw Orders'!$I$5:$I$899,$B95,'Raw Orders'!$J$5:$J$899,FALSE)</f>
        <v>1090200</v>
      </c>
      <c r="G95" s="15">
        <f>SUMIFS('Raw Orders'!$F$5:$F$899,'Raw Orders'!$B$5:$B$899,$A95,'Raw Orders'!$D$5:$D$899,"&lt;="&amp;$B95)-SUMIFS('Raw Orders'!$F$5:$F$899,'Raw Orders'!$B$5:$B$899,$A95,'Raw Orders'!$I$5:$I$899,"&lt;="&amp;$B95,'Raw Orders'!$J$5:$J$899,FALSE)</f>
        <v>29230000</v>
      </c>
      <c r="H95" s="16">
        <f t="shared" si="4"/>
        <v>0.54347826086956519</v>
      </c>
      <c r="I95" s="15">
        <f t="shared" si="5"/>
        <v>21922500</v>
      </c>
    </row>
    <row r="96" spans="1:9" x14ac:dyDescent="0.3">
      <c r="A96" s="4" t="s">
        <v>72</v>
      </c>
      <c r="B96" s="14">
        <v>45870</v>
      </c>
      <c r="C96" s="15">
        <f>COUNTIFS('Raw Orders'!$B$5:$B$899,$A96,'Raw Orders'!$D$5:$D$899,$B96)</f>
        <v>3</v>
      </c>
      <c r="D96" s="15">
        <f>SUMIFS('Raw Orders'!$E$5:$E$899,'Raw Orders'!$B$5:$B$899,$A96,'Raw Orders'!$D$5:$D$899,$B96)</f>
        <v>90.5</v>
      </c>
      <c r="E96" s="15">
        <f>SUMIFS('Raw Orders'!$F$5:$F$899,'Raw Orders'!$B$5:$B$899,$A96,'Raw Orders'!$D$5:$D$899,$B96)</f>
        <v>7149500</v>
      </c>
      <c r="F96" s="15">
        <f>SUMIFS('Raw Orders'!$F$5:$F$899,'Raw Orders'!$B$5:$B$899,$A96,'Raw Orders'!$I$5:$I$899,$B96,'Raw Orders'!$J$5:$J$899,FALSE)</f>
        <v>6446400</v>
      </c>
      <c r="G96" s="15">
        <f>SUMIFS('Raw Orders'!$F$5:$F$899,'Raw Orders'!$B$5:$B$899,$A96,'Raw Orders'!$D$5:$D$899,"&lt;="&amp;$B96)-SUMIFS('Raw Orders'!$F$5:$F$899,'Raw Orders'!$B$5:$B$899,$A96,'Raw Orders'!$I$5:$I$899,"&lt;="&amp;$B96,'Raw Orders'!$J$5:$J$899,FALSE)</f>
        <v>29933100</v>
      </c>
      <c r="H96" s="16">
        <f t="shared" si="4"/>
        <v>1.1090686274509804</v>
      </c>
      <c r="I96" s="15">
        <f t="shared" si="5"/>
        <v>22449825</v>
      </c>
    </row>
    <row r="97" spans="1:9" x14ac:dyDescent="0.3">
      <c r="A97" s="4" t="s">
        <v>72</v>
      </c>
      <c r="B97" s="14">
        <v>45901</v>
      </c>
      <c r="C97" s="15">
        <f>COUNTIFS('Raw Orders'!$B$5:$B$899,$A97,'Raw Orders'!$D$5:$D$899,$B97)</f>
        <v>4</v>
      </c>
      <c r="D97" s="15">
        <f>SUMIFS('Raw Orders'!$E$5:$E$899,'Raw Orders'!$B$5:$B$899,$A97,'Raw Orders'!$D$5:$D$899,$B97)</f>
        <v>35.299999999999997</v>
      </c>
      <c r="E97" s="15">
        <f>SUMIFS('Raw Orders'!$F$5:$F$899,'Raw Orders'!$B$5:$B$899,$A97,'Raw Orders'!$D$5:$D$899,$B97)</f>
        <v>2788700</v>
      </c>
      <c r="F97" s="15">
        <f>SUMIFS('Raw Orders'!$F$5:$F$899,'Raw Orders'!$B$5:$B$899,$A97,'Raw Orders'!$I$5:$I$899,$B97,'Raw Orders'!$J$5:$J$899,FALSE)</f>
        <v>3918400</v>
      </c>
      <c r="G97" s="15">
        <f>SUMIFS('Raw Orders'!$F$5:$F$899,'Raw Orders'!$B$5:$B$899,$A97,'Raw Orders'!$D$5:$D$899,"&lt;="&amp;$B97)-SUMIFS('Raw Orders'!$F$5:$F$899,'Raw Orders'!$B$5:$B$899,$A97,'Raw Orders'!$I$5:$I$899,"&lt;="&amp;$B97,'Raw Orders'!$J$5:$J$899,FALSE)</f>
        <v>28803400</v>
      </c>
      <c r="H97" s="16">
        <f t="shared" si="4"/>
        <v>0.71169354838709675</v>
      </c>
      <c r="I97" s="15">
        <f t="shared" si="5"/>
        <v>21602550</v>
      </c>
    </row>
    <row r="98" spans="1:9" x14ac:dyDescent="0.3">
      <c r="A98" s="4" t="s">
        <v>72</v>
      </c>
      <c r="B98" s="14">
        <v>45931</v>
      </c>
      <c r="C98" s="15">
        <f>COUNTIFS('Raw Orders'!$B$5:$B$899,$A98,'Raw Orders'!$D$5:$D$899,$B98)</f>
        <v>2</v>
      </c>
      <c r="D98" s="15">
        <f>SUMIFS('Raw Orders'!$E$5:$E$899,'Raw Orders'!$B$5:$B$899,$A98,'Raw Orders'!$D$5:$D$899,$B98)</f>
        <v>24.7</v>
      </c>
      <c r="E98" s="15">
        <f>SUMIFS('Raw Orders'!$F$5:$F$899,'Raw Orders'!$B$5:$B$899,$A98,'Raw Orders'!$D$5:$D$899,$B98)</f>
        <v>1951300</v>
      </c>
      <c r="F98" s="15">
        <f>SUMIFS('Raw Orders'!$F$5:$F$899,'Raw Orders'!$B$5:$B$899,$A98,'Raw Orders'!$I$5:$I$899,$B98,'Raw Orders'!$J$5:$J$899,FALSE)</f>
        <v>695200</v>
      </c>
      <c r="G98" s="15">
        <f>SUMIFS('Raw Orders'!$F$5:$F$899,'Raw Orders'!$B$5:$B$899,$A98,'Raw Orders'!$D$5:$D$899,"&lt;="&amp;$B98)-SUMIFS('Raw Orders'!$F$5:$F$899,'Raw Orders'!$B$5:$B$899,$A98,'Raw Orders'!$I$5:$I$899,"&lt;="&amp;$B98,'Raw Orders'!$J$5:$J$899,FALSE)</f>
        <v>30059500</v>
      </c>
      <c r="H98" s="16">
        <f t="shared" si="4"/>
        <v>2.8068181818181817</v>
      </c>
      <c r="I98" s="15">
        <f t="shared" si="5"/>
        <v>22544625</v>
      </c>
    </row>
    <row r="99" spans="1:9" x14ac:dyDescent="0.3">
      <c r="A99" s="4" t="s">
        <v>72</v>
      </c>
      <c r="B99" s="14">
        <v>45962</v>
      </c>
      <c r="C99" s="15">
        <f>COUNTIFS('Raw Orders'!$B$5:$B$899,$A99,'Raw Orders'!$D$5:$D$899,$B99)</f>
        <v>2</v>
      </c>
      <c r="D99" s="15">
        <f>SUMIFS('Raw Orders'!$E$5:$E$899,'Raw Orders'!$B$5:$B$899,$A99,'Raw Orders'!$D$5:$D$899,$B99)</f>
        <v>26.900000000000002</v>
      </c>
      <c r="E99" s="15">
        <f>SUMIFS('Raw Orders'!$F$5:$F$899,'Raw Orders'!$B$5:$B$899,$A99,'Raw Orders'!$D$5:$D$899,$B99)</f>
        <v>2125100</v>
      </c>
      <c r="F99" s="15">
        <f>SUMIFS('Raw Orders'!$F$5:$F$899,'Raw Orders'!$B$5:$B$899,$A99,'Raw Orders'!$I$5:$I$899,$B99,'Raw Orders'!$J$5:$J$899,FALSE)</f>
        <v>1145500</v>
      </c>
      <c r="G99" s="15">
        <f>SUMIFS('Raw Orders'!$F$5:$F$899,'Raw Orders'!$B$5:$B$899,$A99,'Raw Orders'!$D$5:$D$899,"&lt;="&amp;$B99)-SUMIFS('Raw Orders'!$F$5:$F$899,'Raw Orders'!$B$5:$B$899,$A99,'Raw Orders'!$I$5:$I$899,"&lt;="&amp;$B99,'Raw Orders'!$J$5:$J$899,FALSE)</f>
        <v>31039100</v>
      </c>
      <c r="H99" s="16">
        <f t="shared" si="4"/>
        <v>1.8551724137931034</v>
      </c>
      <c r="I99" s="15">
        <f t="shared" si="5"/>
        <v>23279325</v>
      </c>
    </row>
    <row r="100" spans="1:9" x14ac:dyDescent="0.3">
      <c r="A100" s="4" t="s">
        <v>72</v>
      </c>
      <c r="B100" s="14">
        <v>45992</v>
      </c>
      <c r="C100" s="15">
        <f>COUNTIFS('Raw Orders'!$B$5:$B$899,$A100,'Raw Orders'!$D$5:$D$899,$B100)</f>
        <v>2</v>
      </c>
      <c r="D100" s="15">
        <f>SUMIFS('Raw Orders'!$E$5:$E$899,'Raw Orders'!$B$5:$B$899,$A100,'Raw Orders'!$D$5:$D$899,$B100)</f>
        <v>57.4</v>
      </c>
      <c r="E100" s="15">
        <f>SUMIFS('Raw Orders'!$F$5:$F$899,'Raw Orders'!$B$5:$B$899,$A100,'Raw Orders'!$D$5:$D$899,$B100)</f>
        <v>4534600</v>
      </c>
      <c r="F100" s="15">
        <f>SUMIFS('Raw Orders'!$F$5:$F$899,'Raw Orders'!$B$5:$B$899,$A100,'Raw Orders'!$I$5:$I$899,$B100,'Raw Orders'!$J$5:$J$899,FALSE)</f>
        <v>3302200</v>
      </c>
      <c r="G100" s="15">
        <f>SUMIFS('Raw Orders'!$F$5:$F$899,'Raw Orders'!$B$5:$B$899,$A100,'Raw Orders'!$D$5:$D$899,"&lt;="&amp;$B100)-SUMIFS('Raw Orders'!$F$5:$F$899,'Raw Orders'!$B$5:$B$899,$A100,'Raw Orders'!$I$5:$I$899,"&lt;="&amp;$B100,'Raw Orders'!$J$5:$J$899,FALSE)</f>
        <v>32271500</v>
      </c>
      <c r="H100" s="16">
        <f t="shared" si="4"/>
        <v>1.3732057416267942</v>
      </c>
      <c r="I100" s="15">
        <f t="shared" si="5"/>
        <v>24203625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3"/>
  <sheetViews>
    <sheetView showGridLines="0" workbookViewId="0"/>
  </sheetViews>
  <sheetFormatPr defaultRowHeight="14.4" x14ac:dyDescent="0.3"/>
  <cols>
    <col min="1" max="2" width="16" customWidth="1"/>
    <col min="3" max="7" width="10" customWidth="1"/>
  </cols>
  <sheetData>
    <row r="1" spans="1:7" ht="17.399999999999999" x14ac:dyDescent="0.35">
      <c r="A1" s="1" t="s">
        <v>959</v>
      </c>
    </row>
    <row r="4" spans="1:7" ht="30" customHeight="1" x14ac:dyDescent="0.3">
      <c r="A4" s="2" t="s">
        <v>32</v>
      </c>
      <c r="B4" s="2" t="s">
        <v>31</v>
      </c>
      <c r="C4" s="2" t="s">
        <v>960</v>
      </c>
      <c r="D4" s="2" t="s">
        <v>961</v>
      </c>
      <c r="E4" s="2" t="s">
        <v>962</v>
      </c>
      <c r="F4" s="2" t="s">
        <v>963</v>
      </c>
      <c r="G4" s="2" t="s">
        <v>964</v>
      </c>
    </row>
    <row r="5" spans="1:7" x14ac:dyDescent="0.3">
      <c r="A5" s="3" t="s">
        <v>43</v>
      </c>
      <c r="B5" s="4" t="s">
        <v>42</v>
      </c>
      <c r="C5" s="15">
        <f>COUNTIFS('Raw Orders'!$C$5:$C$899,$A5,'Raw Orders'!$J$5:$J$899,FALSE)</f>
        <v>608</v>
      </c>
      <c r="D5" s="16">
        <f t="array" ref="D5">PERCENTILE(IF(('Raw Orders'!$C$5:$C$899=$A5)*('Raw Orders'!$J$5:$J$899=FALSE),'Raw Orders'!$K$5:$K$899),0.1)</f>
        <v>0</v>
      </c>
      <c r="E5" s="16">
        <f t="array" ref="E5">PERCENTILE(IF(('Raw Orders'!$C$5:$C$899=$A5)*('Raw Orders'!$J$5:$J$899=FALSE),'Raw Orders'!$K$5:$K$899),0.5)</f>
        <v>0.1</v>
      </c>
      <c r="F5" s="16">
        <f t="array" ref="F5">PERCENTILE(IF(('Raw Orders'!$C$5:$C$899=$A5)*('Raw Orders'!$J$5:$J$899=FALSE),'Raw Orders'!$K$5:$K$899),0.9)</f>
        <v>1.7590000000000021</v>
      </c>
      <c r="G5" s="16">
        <f>AVERAGEIFS('Raw Orders'!$K$5:$K$899,'Raw Orders'!$C$5:$C$899,$A5,'Raw Orders'!$J$5:$J$899,FALSE)</f>
        <v>0.60981907894736787</v>
      </c>
    </row>
    <row r="6" spans="1:7" x14ac:dyDescent="0.3">
      <c r="A6" s="3" t="s">
        <v>57</v>
      </c>
      <c r="B6" s="4" t="s">
        <v>56</v>
      </c>
      <c r="C6" s="15">
        <f>COUNTIFS('Raw Orders'!$C$5:$C$899,$A6,'Raw Orders'!$J$5:$J$899,FALSE)</f>
        <v>85</v>
      </c>
      <c r="D6" s="16">
        <f t="array" ref="D6">PERCENTILE(IF(('Raw Orders'!$C$5:$C$899=$A6)*('Raw Orders'!$J$5:$J$899=FALSE),'Raw Orders'!$K$5:$K$899),0.1)</f>
        <v>0.01</v>
      </c>
      <c r="E6" s="16">
        <f t="array" ref="E6">PERCENTILE(IF(('Raw Orders'!$C$5:$C$899=$A6)*('Raw Orders'!$J$5:$J$899=FALSE),'Raw Orders'!$K$5:$K$899),0.5)</f>
        <v>0.41</v>
      </c>
      <c r="F6" s="16">
        <f t="array" ref="F6">PERCENTILE(IF(('Raw Orders'!$C$5:$C$899=$A6)*('Raw Orders'!$J$5:$J$899=FALSE),'Raw Orders'!$K$5:$K$899),0.9)</f>
        <v>3.3500000000000019</v>
      </c>
      <c r="G6" s="16">
        <f>AVERAGEIFS('Raw Orders'!$K$5:$K$899,'Raw Orders'!$C$5:$C$899,$A6,'Raw Orders'!$J$5:$J$899,FALSE)</f>
        <v>1.215529411764706</v>
      </c>
    </row>
    <row r="7" spans="1:7" x14ac:dyDescent="0.3">
      <c r="A7" s="3" t="s">
        <v>62</v>
      </c>
      <c r="B7" s="4" t="s">
        <v>56</v>
      </c>
      <c r="C7" s="15">
        <f>COUNTIFS('Raw Orders'!$C$5:$C$899,$A7,'Raw Orders'!$J$5:$J$899,FALSE)</f>
        <v>52</v>
      </c>
      <c r="D7" s="16">
        <f t="array" ref="D7">PERCENTILE(IF(('Raw Orders'!$C$5:$C$899=$A7)*('Raw Orders'!$J$5:$J$899=FALSE),'Raw Orders'!$K$5:$K$899),0.1)</f>
        <v>3.3000000000000015E-2</v>
      </c>
      <c r="E7" s="16">
        <f t="array" ref="E7">PERCENTILE(IF(('Raw Orders'!$C$5:$C$899=$A7)*('Raw Orders'!$J$5:$J$899=FALSE),'Raw Orders'!$K$5:$K$899),0.5)</f>
        <v>0.62</v>
      </c>
      <c r="F7" s="16">
        <f t="array" ref="F7">PERCENTILE(IF(('Raw Orders'!$C$5:$C$899=$A7)*('Raw Orders'!$J$5:$J$899=FALSE),'Raw Orders'!$K$5:$K$899),0.9)</f>
        <v>7.3999999999999968</v>
      </c>
      <c r="G7" s="16">
        <f>AVERAGEIFS('Raw Orders'!$K$5:$K$899,'Raw Orders'!$C$5:$C$899,$A7,'Raw Orders'!$J$5:$J$899,FALSE)</f>
        <v>2.0863461538461539</v>
      </c>
    </row>
    <row r="8" spans="1:7" x14ac:dyDescent="0.3">
      <c r="A8" s="3" t="s">
        <v>70</v>
      </c>
      <c r="B8" s="4" t="s">
        <v>65</v>
      </c>
      <c r="C8" s="15">
        <f>COUNTIFS('Raw Orders'!$C$5:$C$899,$A8,'Raw Orders'!$J$5:$J$899,FALSE)</f>
        <v>26</v>
      </c>
      <c r="D8" s="16">
        <f t="array" ref="D8">PERCENTILE(IF(('Raw Orders'!$C$5:$C$899=$A8)*('Raw Orders'!$J$5:$J$899=FALSE),'Raw Orders'!$K$5:$K$899),0.1)</f>
        <v>4.4999999999999998E-2</v>
      </c>
      <c r="E8" s="16">
        <f t="array" ref="E8">PERCENTILE(IF(('Raw Orders'!$C$5:$C$899=$A8)*('Raw Orders'!$J$5:$J$899=FALSE),'Raw Orders'!$K$5:$K$899),0.5)</f>
        <v>0.86499999999999999</v>
      </c>
      <c r="F8" s="16">
        <f t="array" ref="F8">PERCENTILE(IF(('Raw Orders'!$C$5:$C$899=$A8)*('Raw Orders'!$J$5:$J$899=FALSE),'Raw Orders'!$K$5:$K$899),0.9)</f>
        <v>4.0750000000000002</v>
      </c>
      <c r="G8" s="16">
        <f>AVERAGEIFS('Raw Orders'!$K$5:$K$899,'Raw Orders'!$C$5:$C$899,$A8,'Raw Orders'!$J$5:$J$899,FALSE)</f>
        <v>1.3846153846153852</v>
      </c>
    </row>
    <row r="9" spans="1:7" x14ac:dyDescent="0.3">
      <c r="A9" s="3" t="s">
        <v>66</v>
      </c>
      <c r="B9" s="4" t="s">
        <v>65</v>
      </c>
      <c r="C9" s="15">
        <f>COUNTIFS('Raw Orders'!$C$5:$C$899,$A9,'Raw Orders'!$J$5:$J$899,FALSE)</f>
        <v>47</v>
      </c>
      <c r="D9" s="16">
        <f t="array" ref="D9">PERCENTILE(IF(('Raw Orders'!$C$5:$C$899=$A9)*('Raw Orders'!$J$5:$J$899=FALSE),'Raw Orders'!$K$5:$K$899),0.1)</f>
        <v>0.38200000000000012</v>
      </c>
      <c r="E9" s="16">
        <f t="array" ref="E9">PERCENTILE(IF(('Raw Orders'!$C$5:$C$899=$A9)*('Raw Orders'!$J$5:$J$899=FALSE),'Raw Orders'!$K$5:$K$899),0.5)</f>
        <v>3.03</v>
      </c>
      <c r="F9" s="16">
        <f t="array" ref="F9">PERCENTILE(IF(('Raw Orders'!$C$5:$C$899=$A9)*('Raw Orders'!$J$5:$J$899=FALSE),'Raw Orders'!$K$5:$K$899),0.9)</f>
        <v>9.8239999999999963</v>
      </c>
      <c r="G9" s="16">
        <f>AVERAGEIFS('Raw Orders'!$K$5:$K$899,'Raw Orders'!$C$5:$C$899,$A9,'Raw Orders'!$J$5:$J$899,FALSE)</f>
        <v>3.9829787234042544</v>
      </c>
    </row>
    <row r="10" spans="1:7" x14ac:dyDescent="0.3">
      <c r="A10" s="3" t="s">
        <v>72</v>
      </c>
      <c r="B10" s="4" t="s">
        <v>72</v>
      </c>
      <c r="C10" s="15">
        <f>COUNTIFS('Raw Orders'!$C$5:$C$899,$A10,'Raw Orders'!$J$5:$J$899,FALSE)</f>
        <v>57</v>
      </c>
      <c r="D10" s="16">
        <f t="array" ref="D10">PERCENTILE(IF(('Raw Orders'!$C$5:$C$899=$A10)*('Raw Orders'!$J$5:$J$899=FALSE),'Raw Orders'!$K$5:$K$899),0.1)</f>
        <v>3.2000000000000015E-2</v>
      </c>
      <c r="E10" s="16">
        <f t="array" ref="E10">PERCENTILE(IF(('Raw Orders'!$C$5:$C$899=$A10)*('Raw Orders'!$J$5:$J$899=FALSE),'Raw Orders'!$K$5:$K$899),0.5)</f>
        <v>0.6</v>
      </c>
      <c r="F10" s="16">
        <f t="array" ref="F10">PERCENTILE(IF(('Raw Orders'!$C$5:$C$899=$A10)*('Raw Orders'!$J$5:$J$899=FALSE),'Raw Orders'!$K$5:$K$899),0.9)</f>
        <v>3.5639999999999992</v>
      </c>
      <c r="G10" s="16">
        <f>AVERAGEIFS('Raw Orders'!$K$5:$K$899,'Raw Orders'!$C$5:$C$899,$A10,'Raw Orders'!$J$5:$J$899,FALSE)</f>
        <v>1.590175438596491</v>
      </c>
    </row>
    <row r="13" spans="1:7" x14ac:dyDescent="0.3">
      <c r="A13" s="13" t="s">
        <v>965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
  <sheetViews>
    <sheetView showGridLines="0" workbookViewId="0"/>
  </sheetViews>
  <sheetFormatPr defaultRowHeight="14.4" x14ac:dyDescent="0.3"/>
  <cols>
    <col min="1" max="1" width="16" customWidth="1"/>
    <col min="2" max="2" width="12" customWidth="1"/>
    <col min="3" max="3" width="16" customWidth="1"/>
    <col min="4" max="4" width="12" customWidth="1"/>
    <col min="5" max="5" width="14" customWidth="1"/>
  </cols>
  <sheetData>
    <row r="1" spans="1:5" ht="17.399999999999999" x14ac:dyDescent="0.35">
      <c r="A1" s="1" t="s">
        <v>966</v>
      </c>
    </row>
    <row r="4" spans="1:5" ht="30" customHeight="1" x14ac:dyDescent="0.3">
      <c r="A4" s="2" t="s">
        <v>31</v>
      </c>
      <c r="B4" s="2" t="s">
        <v>967</v>
      </c>
      <c r="C4" s="2" t="s">
        <v>32</v>
      </c>
      <c r="D4" s="2" t="s">
        <v>968</v>
      </c>
      <c r="E4" s="2" t="s">
        <v>969</v>
      </c>
    </row>
    <row r="5" spans="1:5" x14ac:dyDescent="0.3">
      <c r="A5" s="4" t="s">
        <v>42</v>
      </c>
      <c r="B5" s="16">
        <f t="array" ref="B5">PERCENTILE(IF(('Raw Orders'!$B$5:$B$899=$A5)*('Raw Orders'!$J$5:$J$899=FALSE),'Raw Orders'!$K$5:$K$899),0.9)</f>
        <v>1.7590000000000021</v>
      </c>
      <c r="C5" s="4" t="s">
        <v>43</v>
      </c>
      <c r="D5" s="16">
        <f t="array" ref="D5">PERCENTILE(IF(('Raw Orders'!$C$5:$C$899=$C5)*('Raw Orders'!$J$5:$J$899=FALSE),'Raw Orders'!$K$5:$K$899),0.9)</f>
        <v>1.7590000000000021</v>
      </c>
      <c r="E5" s="17">
        <f t="shared" ref="E5:E10" si="0">D5-B5</f>
        <v>0</v>
      </c>
    </row>
    <row r="6" spans="1:5" x14ac:dyDescent="0.3">
      <c r="A6" s="4" t="s">
        <v>56</v>
      </c>
      <c r="B6" s="16">
        <f t="array" ref="B6">PERCENTILE(IF(('Raw Orders'!$B$5:$B$899=$A6)*('Raw Orders'!$J$5:$J$899=FALSE),'Raw Orders'!$K$5:$K$899),0.9)</f>
        <v>4.7260000000000009</v>
      </c>
      <c r="C6" s="4" t="s">
        <v>57</v>
      </c>
      <c r="D6" s="16">
        <f t="array" ref="D6">PERCENTILE(IF(('Raw Orders'!$C$5:$C$899=$C6)*('Raw Orders'!$J$5:$J$899=FALSE),'Raw Orders'!$K$5:$K$899),0.9)</f>
        <v>3.3500000000000019</v>
      </c>
      <c r="E6" s="17">
        <f t="shared" si="0"/>
        <v>-1.375999999999999</v>
      </c>
    </row>
    <row r="7" spans="1:5" x14ac:dyDescent="0.3">
      <c r="A7" s="4" t="s">
        <v>56</v>
      </c>
      <c r="B7" s="16">
        <f t="array" ref="B7">PERCENTILE(IF(('Raw Orders'!$B$5:$B$899=$A7)*('Raw Orders'!$J$5:$J$899=FALSE),'Raw Orders'!$K$5:$K$899),0.9)</f>
        <v>4.7260000000000009</v>
      </c>
      <c r="C7" s="4" t="s">
        <v>62</v>
      </c>
      <c r="D7" s="16">
        <f t="array" ref="D7">PERCENTILE(IF(('Raw Orders'!$C$5:$C$899=$C7)*('Raw Orders'!$J$5:$J$899=FALSE),'Raw Orders'!$K$5:$K$899),0.9)</f>
        <v>7.3999999999999968</v>
      </c>
      <c r="E7" s="17">
        <f t="shared" si="0"/>
        <v>2.6739999999999959</v>
      </c>
    </row>
    <row r="8" spans="1:5" x14ac:dyDescent="0.3">
      <c r="A8" s="4" t="s">
        <v>65</v>
      </c>
      <c r="B8" s="16">
        <f t="array" ref="B8">PERCENTILE(IF(('Raw Orders'!$B$5:$B$899=$A8)*('Raw Orders'!$J$5:$J$899=FALSE),'Raw Orders'!$K$5:$K$899),0.9)</f>
        <v>5.9999999999999982</v>
      </c>
      <c r="C8" s="4" t="s">
        <v>70</v>
      </c>
      <c r="D8" s="16">
        <f t="array" ref="D8">PERCENTILE(IF(('Raw Orders'!$C$5:$C$899=$C8)*('Raw Orders'!$J$5:$J$899=FALSE),'Raw Orders'!$K$5:$K$899),0.9)</f>
        <v>4.0750000000000002</v>
      </c>
      <c r="E8" s="17">
        <f t="shared" si="0"/>
        <v>-1.924999999999998</v>
      </c>
    </row>
    <row r="9" spans="1:5" x14ac:dyDescent="0.3">
      <c r="A9" s="4" t="s">
        <v>65</v>
      </c>
      <c r="B9" s="16">
        <f t="array" ref="B9">PERCENTILE(IF(('Raw Orders'!$B$5:$B$899=$A9)*('Raw Orders'!$J$5:$J$899=FALSE),'Raw Orders'!$K$5:$K$899),0.9)</f>
        <v>5.9999999999999982</v>
      </c>
      <c r="C9" s="4" t="s">
        <v>66</v>
      </c>
      <c r="D9" s="16">
        <f t="array" ref="D9">PERCENTILE(IF(('Raw Orders'!$C$5:$C$899=$C9)*('Raw Orders'!$J$5:$J$899=FALSE),'Raw Orders'!$K$5:$K$899),0.9)</f>
        <v>9.8239999999999963</v>
      </c>
      <c r="E9" s="17">
        <f t="shared" si="0"/>
        <v>3.8239999999999981</v>
      </c>
    </row>
    <row r="10" spans="1:5" x14ac:dyDescent="0.3">
      <c r="A10" s="4" t="s">
        <v>72</v>
      </c>
      <c r="B10" s="16">
        <f t="array" ref="B10">PERCENTILE(IF(('Raw Orders'!$B$5:$B$899=$A10)*('Raw Orders'!$J$5:$J$899=FALSE),'Raw Orders'!$K$5:$K$899),0.9)</f>
        <v>3.5639999999999992</v>
      </c>
      <c r="C10" s="4" t="s">
        <v>72</v>
      </c>
      <c r="D10" s="16">
        <f t="array" ref="D10">PERCENTILE(IF(('Raw Orders'!$C$5:$C$899=$C10)*('Raw Orders'!$J$5:$J$899=FALSE),'Raw Orders'!$K$5:$K$899),0.9)</f>
        <v>3.5639999999999992</v>
      </c>
      <c r="E10" s="17">
        <f t="shared" si="0"/>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0"/>
  <sheetViews>
    <sheetView showGridLines="0" tabSelected="1" workbookViewId="0">
      <pane ySplit="4" topLeftCell="A5" activePane="bottomLeft" state="frozen"/>
      <selection pane="bottomLeft"/>
    </sheetView>
  </sheetViews>
  <sheetFormatPr defaultRowHeight="14.4" x14ac:dyDescent="0.3"/>
  <cols>
    <col min="1" max="1" width="15" customWidth="1"/>
    <col min="2" max="2" width="12" customWidth="1"/>
    <col min="3" max="3" width="13" customWidth="1"/>
    <col min="4" max="6" width="12" customWidth="1"/>
    <col min="7" max="7" width="18" customWidth="1"/>
  </cols>
  <sheetData>
    <row r="1" spans="1:7" ht="17.399999999999999" x14ac:dyDescent="0.35">
      <c r="A1" s="1" t="s">
        <v>970</v>
      </c>
    </row>
    <row r="4" spans="1:7" ht="30" customHeight="1" x14ac:dyDescent="0.3">
      <c r="A4" s="2" t="s">
        <v>31</v>
      </c>
      <c r="B4" s="2" t="s">
        <v>951</v>
      </c>
      <c r="C4" s="2" t="s">
        <v>971</v>
      </c>
      <c r="D4" s="2" t="s">
        <v>972</v>
      </c>
      <c r="E4" s="2" t="s">
        <v>973</v>
      </c>
      <c r="F4" s="2" t="s">
        <v>974</v>
      </c>
      <c r="G4" s="2" t="s">
        <v>975</v>
      </c>
    </row>
    <row r="5" spans="1:7" x14ac:dyDescent="0.3">
      <c r="A5" s="4" t="s">
        <v>42</v>
      </c>
      <c r="B5" s="14">
        <v>45292</v>
      </c>
      <c r="C5" s="15">
        <f>SUMIFS('Raw Orders'!$E$5:$E$899,'Raw Orders'!$B$5:$B$899,$A5,'Raw Orders'!$H$5:$H$899,$B5)</f>
        <v>0</v>
      </c>
      <c r="D5" s="15">
        <f>SUMIFS('Raw Orders'!$E$5:$E$899,'Raw Orders'!$B$5:$B$899,$A5,'Raw Orders'!$I$5:$I$899,$B5,'Raw Orders'!$J$5:$J$899,FALSE)</f>
        <v>0</v>
      </c>
      <c r="E5" s="18" t="str">
        <f t="shared" ref="E5:E36" si="0">IF(C5=0,"",D5/C5)</f>
        <v/>
      </c>
      <c r="F5" s="15">
        <f t="shared" ref="F5:F36" si="1">D5-C5</f>
        <v>0</v>
      </c>
      <c r="G5" s="15">
        <f>SUM($F$5:$F5)</f>
        <v>0</v>
      </c>
    </row>
    <row r="6" spans="1:7" x14ac:dyDescent="0.3">
      <c r="A6" s="4" t="s">
        <v>42</v>
      </c>
      <c r="B6" s="14">
        <v>45323</v>
      </c>
      <c r="C6" s="15">
        <f>SUMIFS('Raw Orders'!$E$5:$E$899,'Raw Orders'!$B$5:$B$899,$A6,'Raw Orders'!$H$5:$H$899,$B6)</f>
        <v>0</v>
      </c>
      <c r="D6" s="15">
        <f>SUMIFS('Raw Orders'!$E$5:$E$899,'Raw Orders'!$B$5:$B$899,$A6,'Raw Orders'!$I$5:$I$899,$B6,'Raw Orders'!$J$5:$J$899,FALSE)</f>
        <v>0</v>
      </c>
      <c r="E6" s="18" t="str">
        <f t="shared" si="0"/>
        <v/>
      </c>
      <c r="F6" s="15">
        <f t="shared" si="1"/>
        <v>0</v>
      </c>
      <c r="G6" s="15">
        <f>SUM($F$5:$F6)</f>
        <v>0</v>
      </c>
    </row>
    <row r="7" spans="1:7" x14ac:dyDescent="0.3">
      <c r="A7" s="4" t="s">
        <v>42</v>
      </c>
      <c r="B7" s="14">
        <v>45352</v>
      </c>
      <c r="C7" s="15">
        <f>SUMIFS('Raw Orders'!$E$5:$E$899,'Raw Orders'!$B$5:$B$899,$A7,'Raw Orders'!$H$5:$H$899,$B7)</f>
        <v>0</v>
      </c>
      <c r="D7" s="15">
        <f>SUMIFS('Raw Orders'!$E$5:$E$899,'Raw Orders'!$B$5:$B$899,$A7,'Raw Orders'!$I$5:$I$899,$B7,'Raw Orders'!$J$5:$J$899,FALSE)</f>
        <v>0</v>
      </c>
      <c r="E7" s="18" t="str">
        <f t="shared" si="0"/>
        <v/>
      </c>
      <c r="F7" s="15">
        <f t="shared" si="1"/>
        <v>0</v>
      </c>
      <c r="G7" s="15">
        <f>SUM($F$5:$F7)</f>
        <v>0</v>
      </c>
    </row>
    <row r="8" spans="1:7" x14ac:dyDescent="0.3">
      <c r="A8" s="4" t="s">
        <v>42</v>
      </c>
      <c r="B8" s="14">
        <v>45383</v>
      </c>
      <c r="C8" s="15">
        <f>SUMIFS('Raw Orders'!$E$5:$E$899,'Raw Orders'!$B$5:$B$899,$A8,'Raw Orders'!$H$5:$H$899,$B8)</f>
        <v>0</v>
      </c>
      <c r="D8" s="15">
        <f>SUMIFS('Raw Orders'!$E$5:$E$899,'Raw Orders'!$B$5:$B$899,$A8,'Raw Orders'!$I$5:$I$899,$B8,'Raw Orders'!$J$5:$J$899,FALSE)</f>
        <v>0</v>
      </c>
      <c r="E8" s="18" t="str">
        <f t="shared" si="0"/>
        <v/>
      </c>
      <c r="F8" s="15">
        <f t="shared" si="1"/>
        <v>0</v>
      </c>
      <c r="G8" s="15">
        <f>SUM($F$5:$F8)</f>
        <v>0</v>
      </c>
    </row>
    <row r="9" spans="1:7" x14ac:dyDescent="0.3">
      <c r="A9" s="4" t="s">
        <v>42</v>
      </c>
      <c r="B9" s="14">
        <v>45413</v>
      </c>
      <c r="C9" s="15">
        <f>SUMIFS('Raw Orders'!$E$5:$E$899,'Raw Orders'!$B$5:$B$899,$A9,'Raw Orders'!$H$5:$H$899,$B9)</f>
        <v>0</v>
      </c>
      <c r="D9" s="15">
        <f>SUMIFS('Raw Orders'!$E$5:$E$899,'Raw Orders'!$B$5:$B$899,$A9,'Raw Orders'!$I$5:$I$899,$B9,'Raw Orders'!$J$5:$J$899,FALSE)</f>
        <v>0</v>
      </c>
      <c r="E9" s="18" t="str">
        <f t="shared" si="0"/>
        <v/>
      </c>
      <c r="F9" s="15">
        <f t="shared" si="1"/>
        <v>0</v>
      </c>
      <c r="G9" s="15">
        <f>SUM($F$5:$F9)</f>
        <v>0</v>
      </c>
    </row>
    <row r="10" spans="1:7" x14ac:dyDescent="0.3">
      <c r="A10" s="4" t="s">
        <v>42</v>
      </c>
      <c r="B10" s="14">
        <v>45444</v>
      </c>
      <c r="C10" s="15">
        <f>SUMIFS('Raw Orders'!$E$5:$E$899,'Raw Orders'!$B$5:$B$899,$A10,'Raw Orders'!$H$5:$H$899,$B10)</f>
        <v>15.9</v>
      </c>
      <c r="D10" s="15">
        <f>SUMIFS('Raw Orders'!$E$5:$E$899,'Raw Orders'!$B$5:$B$899,$A10,'Raw Orders'!$I$5:$I$899,$B10,'Raw Orders'!$J$5:$J$899,FALSE)</f>
        <v>6</v>
      </c>
      <c r="E10" s="18">
        <f t="shared" si="0"/>
        <v>0.37735849056603771</v>
      </c>
      <c r="F10" s="15">
        <f t="shared" si="1"/>
        <v>-9.9</v>
      </c>
      <c r="G10" s="15">
        <f>SUM($F$5:$F10)</f>
        <v>-9.9</v>
      </c>
    </row>
    <row r="11" spans="1:7" x14ac:dyDescent="0.3">
      <c r="A11" s="4" t="s">
        <v>42</v>
      </c>
      <c r="B11" s="14">
        <v>45474</v>
      </c>
      <c r="C11" s="15">
        <f>SUMIFS('Raw Orders'!$E$5:$E$899,'Raw Orders'!$B$5:$B$899,$A11,'Raw Orders'!$H$5:$H$899,$B11)</f>
        <v>14.200000000000001</v>
      </c>
      <c r="D11" s="15">
        <f>SUMIFS('Raw Orders'!$E$5:$E$899,'Raw Orders'!$B$5:$B$899,$A11,'Raw Orders'!$I$5:$I$899,$B11,'Raw Orders'!$J$5:$J$899,FALSE)</f>
        <v>8.8000000000000007</v>
      </c>
      <c r="E11" s="18">
        <f t="shared" si="0"/>
        <v>0.61971830985915488</v>
      </c>
      <c r="F11" s="15">
        <f t="shared" si="1"/>
        <v>-5.4</v>
      </c>
      <c r="G11" s="15">
        <f>SUM($F$5:$F11)</f>
        <v>-15.3</v>
      </c>
    </row>
    <row r="12" spans="1:7" x14ac:dyDescent="0.3">
      <c r="A12" s="4" t="s">
        <v>42</v>
      </c>
      <c r="B12" s="14">
        <v>45505</v>
      </c>
      <c r="C12" s="15">
        <f>SUMIFS('Raw Orders'!$E$5:$E$899,'Raw Orders'!$B$5:$B$899,$A12,'Raw Orders'!$H$5:$H$899,$B12)</f>
        <v>202.4</v>
      </c>
      <c r="D12" s="15">
        <f>SUMIFS('Raw Orders'!$E$5:$E$899,'Raw Orders'!$B$5:$B$899,$A12,'Raw Orders'!$I$5:$I$899,$B12,'Raw Orders'!$J$5:$J$899,FALSE)</f>
        <v>102</v>
      </c>
      <c r="E12" s="18">
        <f t="shared" si="0"/>
        <v>0.50395256916996045</v>
      </c>
      <c r="F12" s="15">
        <f t="shared" si="1"/>
        <v>-100.4</v>
      </c>
      <c r="G12" s="15">
        <f>SUM($F$5:$F12)</f>
        <v>-115.7</v>
      </c>
    </row>
    <row r="13" spans="1:7" x14ac:dyDescent="0.3">
      <c r="A13" s="4" t="s">
        <v>42</v>
      </c>
      <c r="B13" s="14">
        <v>45536</v>
      </c>
      <c r="C13" s="15">
        <f>SUMIFS('Raw Orders'!$E$5:$E$899,'Raw Orders'!$B$5:$B$899,$A13,'Raw Orders'!$H$5:$H$899,$B13)</f>
        <v>142.4</v>
      </c>
      <c r="D13" s="15">
        <f>SUMIFS('Raw Orders'!$E$5:$E$899,'Raw Orders'!$B$5:$B$899,$A13,'Raw Orders'!$I$5:$I$899,$B13,'Raw Orders'!$J$5:$J$899,FALSE)</f>
        <v>158.19999999999999</v>
      </c>
      <c r="E13" s="18">
        <f t="shared" si="0"/>
        <v>1.1109550561797752</v>
      </c>
      <c r="F13" s="15">
        <f t="shared" si="1"/>
        <v>15.799999999999983</v>
      </c>
      <c r="G13" s="15">
        <f>SUM($F$5:$F13)</f>
        <v>-99.90000000000002</v>
      </c>
    </row>
    <row r="14" spans="1:7" x14ac:dyDescent="0.3">
      <c r="A14" s="4" t="s">
        <v>42</v>
      </c>
      <c r="B14" s="14">
        <v>45566</v>
      </c>
      <c r="C14" s="15">
        <f>SUMIFS('Raw Orders'!$E$5:$E$899,'Raw Orders'!$B$5:$B$899,$A14,'Raw Orders'!$H$5:$H$899,$B14)</f>
        <v>232.60000000000002</v>
      </c>
      <c r="D14" s="15">
        <f>SUMIFS('Raw Orders'!$E$5:$E$899,'Raw Orders'!$B$5:$B$899,$A14,'Raw Orders'!$I$5:$I$899,$B14,'Raw Orders'!$J$5:$J$899,FALSE)</f>
        <v>169.70000000000002</v>
      </c>
      <c r="E14" s="18">
        <f t="shared" si="0"/>
        <v>0.72957867583834912</v>
      </c>
      <c r="F14" s="15">
        <f t="shared" si="1"/>
        <v>-62.900000000000006</v>
      </c>
      <c r="G14" s="15">
        <f>SUM($F$5:$F14)</f>
        <v>-162.80000000000001</v>
      </c>
    </row>
    <row r="15" spans="1:7" x14ac:dyDescent="0.3">
      <c r="A15" s="4" t="s">
        <v>42</v>
      </c>
      <c r="B15" s="14">
        <v>45597</v>
      </c>
      <c r="C15" s="15">
        <f>SUMIFS('Raw Orders'!$E$5:$E$899,'Raw Orders'!$B$5:$B$899,$A15,'Raw Orders'!$H$5:$H$899,$B15)</f>
        <v>294.10000000000002</v>
      </c>
      <c r="D15" s="15">
        <f>SUMIFS('Raw Orders'!$E$5:$E$899,'Raw Orders'!$B$5:$B$899,$A15,'Raw Orders'!$I$5:$I$899,$B15,'Raw Orders'!$J$5:$J$899,FALSE)</f>
        <v>194.19999999999996</v>
      </c>
      <c r="E15" s="18">
        <f t="shared" si="0"/>
        <v>0.66031961917715043</v>
      </c>
      <c r="F15" s="15">
        <f t="shared" si="1"/>
        <v>-99.900000000000063</v>
      </c>
      <c r="G15" s="15">
        <f>SUM($F$5:$F15)</f>
        <v>-262.70000000000005</v>
      </c>
    </row>
    <row r="16" spans="1:7" x14ac:dyDescent="0.3">
      <c r="A16" s="4" t="s">
        <v>42</v>
      </c>
      <c r="B16" s="14">
        <v>45627</v>
      </c>
      <c r="C16" s="15">
        <f>SUMIFS('Raw Orders'!$E$5:$E$899,'Raw Orders'!$B$5:$B$899,$A16,'Raw Orders'!$H$5:$H$899,$B16)</f>
        <v>846.39999999999986</v>
      </c>
      <c r="D16" s="15">
        <f>SUMIFS('Raw Orders'!$E$5:$E$899,'Raw Orders'!$B$5:$B$899,$A16,'Raw Orders'!$I$5:$I$899,$B16,'Raw Orders'!$J$5:$J$899,FALSE)</f>
        <v>800.29999999999984</v>
      </c>
      <c r="E16" s="18">
        <f t="shared" si="0"/>
        <v>0.94553402646502827</v>
      </c>
      <c r="F16" s="15">
        <f t="shared" si="1"/>
        <v>-46.100000000000023</v>
      </c>
      <c r="G16" s="15">
        <f>SUM($F$5:$F16)</f>
        <v>-308.80000000000007</v>
      </c>
    </row>
    <row r="17" spans="1:7" x14ac:dyDescent="0.3">
      <c r="A17" s="4" t="s">
        <v>42</v>
      </c>
      <c r="B17" s="14">
        <v>45658</v>
      </c>
      <c r="C17" s="15">
        <f>SUMIFS('Raw Orders'!$E$5:$E$899,'Raw Orders'!$B$5:$B$899,$A17,'Raw Orders'!$H$5:$H$899,$B17)</f>
        <v>493.49999999999989</v>
      </c>
      <c r="D17" s="15">
        <f>SUMIFS('Raw Orders'!$E$5:$E$899,'Raw Orders'!$B$5:$B$899,$A17,'Raw Orders'!$I$5:$I$899,$B17,'Raw Orders'!$J$5:$J$899,FALSE)</f>
        <v>575.39999999999986</v>
      </c>
      <c r="E17" s="18">
        <f t="shared" si="0"/>
        <v>1.1659574468085105</v>
      </c>
      <c r="F17" s="15">
        <f t="shared" si="1"/>
        <v>81.899999999999977</v>
      </c>
      <c r="G17" s="15">
        <f>SUM($F$5:$F17)</f>
        <v>-226.90000000000009</v>
      </c>
    </row>
    <row r="18" spans="1:7" x14ac:dyDescent="0.3">
      <c r="A18" s="4" t="s">
        <v>42</v>
      </c>
      <c r="B18" s="14">
        <v>45689</v>
      </c>
      <c r="C18" s="15">
        <f>SUMIFS('Raw Orders'!$E$5:$E$899,'Raw Orders'!$B$5:$B$899,$A18,'Raw Orders'!$H$5:$H$899,$B18)</f>
        <v>422.99999999999994</v>
      </c>
      <c r="D18" s="15">
        <f>SUMIFS('Raw Orders'!$E$5:$E$899,'Raw Orders'!$B$5:$B$899,$A18,'Raw Orders'!$I$5:$I$899,$B18,'Raw Orders'!$J$5:$J$899,FALSE)</f>
        <v>245.9</v>
      </c>
      <c r="E18" s="18">
        <f t="shared" si="0"/>
        <v>0.58132387706855804</v>
      </c>
      <c r="F18" s="15">
        <f t="shared" si="1"/>
        <v>-177.09999999999994</v>
      </c>
      <c r="G18" s="15">
        <f>SUM($F$5:$F18)</f>
        <v>-404</v>
      </c>
    </row>
    <row r="19" spans="1:7" x14ac:dyDescent="0.3">
      <c r="A19" s="4" t="s">
        <v>42</v>
      </c>
      <c r="B19" s="14">
        <v>45717</v>
      </c>
      <c r="C19" s="15">
        <f>SUMIFS('Raw Orders'!$E$5:$E$899,'Raw Orders'!$B$5:$B$899,$A19,'Raw Orders'!$H$5:$H$899,$B19)</f>
        <v>336.40000000000003</v>
      </c>
      <c r="D19" s="15">
        <f>SUMIFS('Raw Orders'!$E$5:$E$899,'Raw Orders'!$B$5:$B$899,$A19,'Raw Orders'!$I$5:$I$899,$B19,'Raw Orders'!$J$5:$J$899,FALSE)</f>
        <v>401.4</v>
      </c>
      <c r="E19" s="18">
        <f t="shared" si="0"/>
        <v>1.1932223543400711</v>
      </c>
      <c r="F19" s="15">
        <f t="shared" si="1"/>
        <v>64.999999999999943</v>
      </c>
      <c r="G19" s="15">
        <f>SUM($F$5:$F19)</f>
        <v>-339.00000000000006</v>
      </c>
    </row>
    <row r="20" spans="1:7" x14ac:dyDescent="0.3">
      <c r="A20" s="4" t="s">
        <v>42</v>
      </c>
      <c r="B20" s="14">
        <v>45748</v>
      </c>
      <c r="C20" s="15">
        <f>SUMIFS('Raw Orders'!$E$5:$E$899,'Raw Orders'!$B$5:$B$899,$A20,'Raw Orders'!$H$5:$H$899,$B20)</f>
        <v>404.29999999999995</v>
      </c>
      <c r="D20" s="15">
        <f>SUMIFS('Raw Orders'!$E$5:$E$899,'Raw Orders'!$B$5:$B$899,$A20,'Raw Orders'!$I$5:$I$899,$B20,'Raw Orders'!$J$5:$J$899,FALSE)</f>
        <v>411.4</v>
      </c>
      <c r="E20" s="18">
        <f t="shared" si="0"/>
        <v>1.0175612169181301</v>
      </c>
      <c r="F20" s="15">
        <f t="shared" si="1"/>
        <v>7.1000000000000227</v>
      </c>
      <c r="G20" s="15">
        <f>SUM($F$5:$F20)</f>
        <v>-331.90000000000003</v>
      </c>
    </row>
    <row r="21" spans="1:7" x14ac:dyDescent="0.3">
      <c r="A21" s="4" t="s">
        <v>42</v>
      </c>
      <c r="B21" s="14">
        <v>45778</v>
      </c>
      <c r="C21" s="15">
        <f>SUMIFS('Raw Orders'!$E$5:$E$899,'Raw Orders'!$B$5:$B$899,$A21,'Raw Orders'!$H$5:$H$899,$B21)</f>
        <v>532.70000000000005</v>
      </c>
      <c r="D21" s="15">
        <f>SUMIFS('Raw Orders'!$E$5:$E$899,'Raw Orders'!$B$5:$B$899,$A21,'Raw Orders'!$I$5:$I$899,$B21,'Raw Orders'!$J$5:$J$899,FALSE)</f>
        <v>531.1</v>
      </c>
      <c r="E21" s="18">
        <f t="shared" si="0"/>
        <v>0.9969964332645016</v>
      </c>
      <c r="F21" s="15">
        <f t="shared" si="1"/>
        <v>-1.6000000000000227</v>
      </c>
      <c r="G21" s="15">
        <f>SUM($F$5:$F21)</f>
        <v>-333.50000000000006</v>
      </c>
    </row>
    <row r="22" spans="1:7" x14ac:dyDescent="0.3">
      <c r="A22" s="4" t="s">
        <v>42</v>
      </c>
      <c r="B22" s="14">
        <v>45809</v>
      </c>
      <c r="C22" s="15">
        <f>SUMIFS('Raw Orders'!$E$5:$E$899,'Raw Orders'!$B$5:$B$899,$A22,'Raw Orders'!$H$5:$H$899,$B22)</f>
        <v>319.79999999999995</v>
      </c>
      <c r="D22" s="15">
        <f>SUMIFS('Raw Orders'!$E$5:$E$899,'Raw Orders'!$B$5:$B$899,$A22,'Raw Orders'!$I$5:$I$899,$B22,'Raw Orders'!$J$5:$J$899,FALSE)</f>
        <v>374.49999999999994</v>
      </c>
      <c r="E22" s="18">
        <f t="shared" si="0"/>
        <v>1.1710444027517197</v>
      </c>
      <c r="F22" s="15">
        <f t="shared" si="1"/>
        <v>54.699999999999989</v>
      </c>
      <c r="G22" s="15">
        <f>SUM($F$5:$F22)</f>
        <v>-278.80000000000007</v>
      </c>
    </row>
    <row r="23" spans="1:7" x14ac:dyDescent="0.3">
      <c r="A23" s="4" t="s">
        <v>42</v>
      </c>
      <c r="B23" s="14">
        <v>45839</v>
      </c>
      <c r="C23" s="15">
        <f>SUMIFS('Raw Orders'!$E$5:$E$899,'Raw Orders'!$B$5:$B$899,$A23,'Raw Orders'!$H$5:$H$899,$B23)</f>
        <v>291.60000000000002</v>
      </c>
      <c r="D23" s="15">
        <f>SUMIFS('Raw Orders'!$E$5:$E$899,'Raw Orders'!$B$5:$B$899,$A23,'Raw Orders'!$I$5:$I$899,$B23,'Raw Orders'!$J$5:$J$899,FALSE)</f>
        <v>227.10000000000002</v>
      </c>
      <c r="E23" s="18">
        <f t="shared" si="0"/>
        <v>0.7788065843621399</v>
      </c>
      <c r="F23" s="15">
        <f t="shared" si="1"/>
        <v>-64.5</v>
      </c>
      <c r="G23" s="15">
        <f>SUM($F$5:$F23)</f>
        <v>-343.30000000000007</v>
      </c>
    </row>
    <row r="24" spans="1:7" x14ac:dyDescent="0.3">
      <c r="A24" s="4" t="s">
        <v>42</v>
      </c>
      <c r="B24" s="14">
        <v>45870</v>
      </c>
      <c r="C24" s="15">
        <f>SUMIFS('Raw Orders'!$E$5:$E$899,'Raw Orders'!$B$5:$B$899,$A24,'Raw Orders'!$H$5:$H$899,$B24)</f>
        <v>392.00000000000006</v>
      </c>
      <c r="D24" s="15">
        <f>SUMIFS('Raw Orders'!$E$5:$E$899,'Raw Orders'!$B$5:$B$899,$A24,'Raw Orders'!$I$5:$I$899,$B24,'Raw Orders'!$J$5:$J$899,FALSE)</f>
        <v>420.00000000000006</v>
      </c>
      <c r="E24" s="18">
        <f t="shared" si="0"/>
        <v>1.0714285714285714</v>
      </c>
      <c r="F24" s="15">
        <f t="shared" si="1"/>
        <v>28</v>
      </c>
      <c r="G24" s="15">
        <f>SUM($F$5:$F24)</f>
        <v>-315.30000000000007</v>
      </c>
    </row>
    <row r="25" spans="1:7" x14ac:dyDescent="0.3">
      <c r="A25" s="4" t="s">
        <v>42</v>
      </c>
      <c r="B25" s="14">
        <v>45901</v>
      </c>
      <c r="C25" s="15">
        <f>SUMIFS('Raw Orders'!$E$5:$E$899,'Raw Orders'!$B$5:$B$899,$A25,'Raw Orders'!$H$5:$H$899,$B25)</f>
        <v>290.2</v>
      </c>
      <c r="D25" s="15">
        <f>SUMIFS('Raw Orders'!$E$5:$E$899,'Raw Orders'!$B$5:$B$899,$A25,'Raw Orders'!$I$5:$I$899,$B25,'Raw Orders'!$J$5:$J$899,FALSE)</f>
        <v>345.29999999999995</v>
      </c>
      <c r="E25" s="18">
        <f t="shared" si="0"/>
        <v>1.1898690558235698</v>
      </c>
      <c r="F25" s="15">
        <f t="shared" si="1"/>
        <v>55.099999999999966</v>
      </c>
      <c r="G25" s="15">
        <f>SUM($F$5:$F25)</f>
        <v>-260.2000000000001</v>
      </c>
    </row>
    <row r="26" spans="1:7" x14ac:dyDescent="0.3">
      <c r="A26" s="4" t="s">
        <v>42</v>
      </c>
      <c r="B26" s="14">
        <v>45931</v>
      </c>
      <c r="C26" s="15">
        <f>SUMIFS('Raw Orders'!$E$5:$E$899,'Raw Orders'!$B$5:$B$899,$A26,'Raw Orders'!$H$5:$H$899,$B26)</f>
        <v>462.79999999999995</v>
      </c>
      <c r="D26" s="15">
        <f>SUMIFS('Raw Orders'!$E$5:$E$899,'Raw Orders'!$B$5:$B$899,$A26,'Raw Orders'!$I$5:$I$899,$B26,'Raw Orders'!$J$5:$J$899,FALSE)</f>
        <v>487.59999999999997</v>
      </c>
      <c r="E26" s="18">
        <f t="shared" si="0"/>
        <v>1.0535868625756266</v>
      </c>
      <c r="F26" s="15">
        <f t="shared" si="1"/>
        <v>24.800000000000011</v>
      </c>
      <c r="G26" s="15">
        <f>SUM($F$5:$F26)</f>
        <v>-235.40000000000009</v>
      </c>
    </row>
    <row r="27" spans="1:7" x14ac:dyDescent="0.3">
      <c r="A27" s="4" t="s">
        <v>42</v>
      </c>
      <c r="B27" s="14">
        <v>45962</v>
      </c>
      <c r="C27" s="15">
        <f>SUMIFS('Raw Orders'!$E$5:$E$899,'Raw Orders'!$B$5:$B$899,$A27,'Raw Orders'!$H$5:$H$899,$B27)</f>
        <v>444.20000000000005</v>
      </c>
      <c r="D27" s="15">
        <f>SUMIFS('Raw Orders'!$E$5:$E$899,'Raw Orders'!$B$5:$B$899,$A27,'Raw Orders'!$I$5:$I$899,$B27,'Raw Orders'!$J$5:$J$899,FALSE)</f>
        <v>399.50000000000006</v>
      </c>
      <c r="E27" s="18">
        <f t="shared" si="0"/>
        <v>0.89936965330932017</v>
      </c>
      <c r="F27" s="15">
        <f t="shared" si="1"/>
        <v>-44.699999999999989</v>
      </c>
      <c r="G27" s="15">
        <f>SUM($F$5:$F27)</f>
        <v>-280.10000000000008</v>
      </c>
    </row>
    <row r="28" spans="1:7" x14ac:dyDescent="0.3">
      <c r="A28" s="4" t="s">
        <v>42</v>
      </c>
      <c r="B28" s="14">
        <v>45992</v>
      </c>
      <c r="C28" s="15">
        <f>SUMIFS('Raw Orders'!$E$5:$E$899,'Raw Orders'!$B$5:$B$899,$A28,'Raw Orders'!$H$5:$H$899,$B28)</f>
        <v>479.79999999999995</v>
      </c>
      <c r="D28" s="15">
        <f>SUMIFS('Raw Orders'!$E$5:$E$899,'Raw Orders'!$B$5:$B$899,$A28,'Raw Orders'!$I$5:$I$899,$B28,'Raw Orders'!$J$5:$J$899,FALSE)</f>
        <v>527</v>
      </c>
      <c r="E28" s="18">
        <f t="shared" si="0"/>
        <v>1.0983743226344311</v>
      </c>
      <c r="F28" s="15">
        <f t="shared" si="1"/>
        <v>47.200000000000045</v>
      </c>
      <c r="G28" s="15">
        <f>SUM($F$5:$F28)</f>
        <v>-232.90000000000003</v>
      </c>
    </row>
    <row r="29" spans="1:7" x14ac:dyDescent="0.3">
      <c r="A29" s="4" t="s">
        <v>56</v>
      </c>
      <c r="B29" s="14">
        <v>45292</v>
      </c>
      <c r="C29" s="15">
        <f>SUMIFS('Raw Orders'!$E$5:$E$899,'Raw Orders'!$B$5:$B$899,$A29,'Raw Orders'!$H$5:$H$899,$B29)</f>
        <v>0</v>
      </c>
      <c r="D29" s="15">
        <f>SUMIFS('Raw Orders'!$E$5:$E$899,'Raw Orders'!$B$5:$B$899,$A29,'Raw Orders'!$I$5:$I$899,$B29,'Raw Orders'!$J$5:$J$899,FALSE)</f>
        <v>0</v>
      </c>
      <c r="E29" s="18" t="str">
        <f t="shared" si="0"/>
        <v/>
      </c>
      <c r="F29" s="15">
        <f t="shared" si="1"/>
        <v>0</v>
      </c>
      <c r="G29" s="15">
        <f>SUM($F$29:$F29)</f>
        <v>0</v>
      </c>
    </row>
    <row r="30" spans="1:7" x14ac:dyDescent="0.3">
      <c r="A30" s="4" t="s">
        <v>56</v>
      </c>
      <c r="B30" s="14">
        <v>45323</v>
      </c>
      <c r="C30" s="15">
        <f>SUMIFS('Raw Orders'!$E$5:$E$899,'Raw Orders'!$B$5:$B$899,$A30,'Raw Orders'!$H$5:$H$899,$B30)</f>
        <v>0</v>
      </c>
      <c r="D30" s="15">
        <f>SUMIFS('Raw Orders'!$E$5:$E$899,'Raw Orders'!$B$5:$B$899,$A30,'Raw Orders'!$I$5:$I$899,$B30,'Raw Orders'!$J$5:$J$899,FALSE)</f>
        <v>0</v>
      </c>
      <c r="E30" s="18" t="str">
        <f t="shared" si="0"/>
        <v/>
      </c>
      <c r="F30" s="15">
        <f t="shared" si="1"/>
        <v>0</v>
      </c>
      <c r="G30" s="15">
        <f>SUM($F$29:$F30)</f>
        <v>0</v>
      </c>
    </row>
    <row r="31" spans="1:7" x14ac:dyDescent="0.3">
      <c r="A31" s="4" t="s">
        <v>56</v>
      </c>
      <c r="B31" s="14">
        <v>45352</v>
      </c>
      <c r="C31" s="15">
        <f>SUMIFS('Raw Orders'!$E$5:$E$899,'Raw Orders'!$B$5:$B$899,$A31,'Raw Orders'!$H$5:$H$899,$B31)</f>
        <v>0</v>
      </c>
      <c r="D31" s="15">
        <f>SUMIFS('Raw Orders'!$E$5:$E$899,'Raw Orders'!$B$5:$B$899,$A31,'Raw Orders'!$I$5:$I$899,$B31,'Raw Orders'!$J$5:$J$899,FALSE)</f>
        <v>0</v>
      </c>
      <c r="E31" s="18" t="str">
        <f t="shared" si="0"/>
        <v/>
      </c>
      <c r="F31" s="15">
        <f t="shared" si="1"/>
        <v>0</v>
      </c>
      <c r="G31" s="15">
        <f>SUM($F$29:$F31)</f>
        <v>0</v>
      </c>
    </row>
    <row r="32" spans="1:7" x14ac:dyDescent="0.3">
      <c r="A32" s="4" t="s">
        <v>56</v>
      </c>
      <c r="B32" s="14">
        <v>45383</v>
      </c>
      <c r="C32" s="15">
        <f>SUMIFS('Raw Orders'!$E$5:$E$899,'Raw Orders'!$B$5:$B$899,$A32,'Raw Orders'!$H$5:$H$899,$B32)</f>
        <v>0</v>
      </c>
      <c r="D32" s="15">
        <f>SUMIFS('Raw Orders'!$E$5:$E$899,'Raw Orders'!$B$5:$B$899,$A32,'Raw Orders'!$I$5:$I$899,$B32,'Raw Orders'!$J$5:$J$899,FALSE)</f>
        <v>0</v>
      </c>
      <c r="E32" s="18" t="str">
        <f t="shared" si="0"/>
        <v/>
      </c>
      <c r="F32" s="15">
        <f t="shared" si="1"/>
        <v>0</v>
      </c>
      <c r="G32" s="15">
        <f>SUM($F$29:$F32)</f>
        <v>0</v>
      </c>
    </row>
    <row r="33" spans="1:7" x14ac:dyDescent="0.3">
      <c r="A33" s="4" t="s">
        <v>56</v>
      </c>
      <c r="B33" s="14">
        <v>45413</v>
      </c>
      <c r="C33" s="15">
        <f>SUMIFS('Raw Orders'!$E$5:$E$899,'Raw Orders'!$B$5:$B$899,$A33,'Raw Orders'!$H$5:$H$899,$B33)</f>
        <v>0</v>
      </c>
      <c r="D33" s="15">
        <f>SUMIFS('Raw Orders'!$E$5:$E$899,'Raw Orders'!$B$5:$B$899,$A33,'Raw Orders'!$I$5:$I$899,$B33,'Raw Orders'!$J$5:$J$899,FALSE)</f>
        <v>0</v>
      </c>
      <c r="E33" s="18" t="str">
        <f t="shared" si="0"/>
        <v/>
      </c>
      <c r="F33" s="15">
        <f t="shared" si="1"/>
        <v>0</v>
      </c>
      <c r="G33" s="15">
        <f>SUM($F$29:$F33)</f>
        <v>0</v>
      </c>
    </row>
    <row r="34" spans="1:7" x14ac:dyDescent="0.3">
      <c r="A34" s="4" t="s">
        <v>56</v>
      </c>
      <c r="B34" s="14">
        <v>45444</v>
      </c>
      <c r="C34" s="15">
        <f>SUMIFS('Raw Orders'!$E$5:$E$899,'Raw Orders'!$B$5:$B$899,$A34,'Raw Orders'!$H$5:$H$899,$B34)</f>
        <v>53.8</v>
      </c>
      <c r="D34" s="15">
        <f>SUMIFS('Raw Orders'!$E$5:$E$899,'Raw Orders'!$B$5:$B$899,$A34,'Raw Orders'!$I$5:$I$899,$B34,'Raw Orders'!$J$5:$J$899,FALSE)</f>
        <v>0</v>
      </c>
      <c r="E34" s="18">
        <f t="shared" si="0"/>
        <v>0</v>
      </c>
      <c r="F34" s="15">
        <f t="shared" si="1"/>
        <v>-53.8</v>
      </c>
      <c r="G34" s="15">
        <f>SUM($F$29:$F34)</f>
        <v>-53.8</v>
      </c>
    </row>
    <row r="35" spans="1:7" x14ac:dyDescent="0.3">
      <c r="A35" s="4" t="s">
        <v>56</v>
      </c>
      <c r="B35" s="14">
        <v>45474</v>
      </c>
      <c r="C35" s="15">
        <f>SUMIFS('Raw Orders'!$E$5:$E$899,'Raw Orders'!$B$5:$B$899,$A35,'Raw Orders'!$H$5:$H$899,$B35)</f>
        <v>71.900000000000006</v>
      </c>
      <c r="D35" s="15">
        <f>SUMIFS('Raw Orders'!$E$5:$E$899,'Raw Orders'!$B$5:$B$899,$A35,'Raw Orders'!$I$5:$I$899,$B35,'Raw Orders'!$J$5:$J$899,FALSE)</f>
        <v>0</v>
      </c>
      <c r="E35" s="18">
        <f t="shared" si="0"/>
        <v>0</v>
      </c>
      <c r="F35" s="15">
        <f t="shared" si="1"/>
        <v>-71.900000000000006</v>
      </c>
      <c r="G35" s="15">
        <f>SUM($F$29:$F35)</f>
        <v>-125.7</v>
      </c>
    </row>
    <row r="36" spans="1:7" x14ac:dyDescent="0.3">
      <c r="A36" s="4" t="s">
        <v>56</v>
      </c>
      <c r="B36" s="14">
        <v>45505</v>
      </c>
      <c r="C36" s="15">
        <f>SUMIFS('Raw Orders'!$E$5:$E$899,'Raw Orders'!$B$5:$B$899,$A36,'Raw Orders'!$H$5:$H$899,$B36)</f>
        <v>30.599999999999998</v>
      </c>
      <c r="D36" s="15">
        <f>SUMIFS('Raw Orders'!$E$5:$E$899,'Raw Orders'!$B$5:$B$899,$A36,'Raw Orders'!$I$5:$I$899,$B36,'Raw Orders'!$J$5:$J$899,FALSE)</f>
        <v>30.599999999999998</v>
      </c>
      <c r="E36" s="18">
        <f t="shared" si="0"/>
        <v>1</v>
      </c>
      <c r="F36" s="15">
        <f t="shared" si="1"/>
        <v>0</v>
      </c>
      <c r="G36" s="15">
        <f>SUM($F$29:$F36)</f>
        <v>-125.7</v>
      </c>
    </row>
    <row r="37" spans="1:7" x14ac:dyDescent="0.3">
      <c r="A37" s="4" t="s">
        <v>56</v>
      </c>
      <c r="B37" s="14">
        <v>45536</v>
      </c>
      <c r="C37" s="15">
        <f>SUMIFS('Raw Orders'!$E$5:$E$899,'Raw Orders'!$B$5:$B$899,$A37,'Raw Orders'!$H$5:$H$899,$B37)</f>
        <v>9.8000000000000007</v>
      </c>
      <c r="D37" s="15">
        <f>SUMIFS('Raw Orders'!$E$5:$E$899,'Raw Orders'!$B$5:$B$899,$A37,'Raw Orders'!$I$5:$I$899,$B37,'Raw Orders'!$J$5:$J$899,FALSE)</f>
        <v>34.6</v>
      </c>
      <c r="E37" s="18">
        <f t="shared" ref="E37:E68" si="2">IF(C37=0,"",D37/C37)</f>
        <v>3.5306122448979589</v>
      </c>
      <c r="F37" s="15">
        <f t="shared" ref="F37:F68" si="3">D37-C37</f>
        <v>24.8</v>
      </c>
      <c r="G37" s="15">
        <f>SUM($F$29:$F37)</f>
        <v>-100.9</v>
      </c>
    </row>
    <row r="38" spans="1:7" x14ac:dyDescent="0.3">
      <c r="A38" s="4" t="s">
        <v>56</v>
      </c>
      <c r="B38" s="14">
        <v>45566</v>
      </c>
      <c r="C38" s="15">
        <f>SUMIFS('Raw Orders'!$E$5:$E$899,'Raw Orders'!$B$5:$B$899,$A38,'Raw Orders'!$H$5:$H$899,$B38)</f>
        <v>99.3</v>
      </c>
      <c r="D38" s="15">
        <f>SUMIFS('Raw Orders'!$E$5:$E$899,'Raw Orders'!$B$5:$B$899,$A38,'Raw Orders'!$I$5:$I$899,$B38,'Raw Orders'!$J$5:$J$899,FALSE)</f>
        <v>43.3</v>
      </c>
      <c r="E38" s="18">
        <f t="shared" si="2"/>
        <v>0.43605236656596169</v>
      </c>
      <c r="F38" s="15">
        <f t="shared" si="3"/>
        <v>-56</v>
      </c>
      <c r="G38" s="15">
        <f>SUM($F$29:$F38)</f>
        <v>-156.9</v>
      </c>
    </row>
    <row r="39" spans="1:7" x14ac:dyDescent="0.3">
      <c r="A39" s="4" t="s">
        <v>56</v>
      </c>
      <c r="B39" s="14">
        <v>45597</v>
      </c>
      <c r="C39" s="15">
        <f>SUMIFS('Raw Orders'!$E$5:$E$899,'Raw Orders'!$B$5:$B$899,$A39,'Raw Orders'!$H$5:$H$899,$B39)</f>
        <v>121.8</v>
      </c>
      <c r="D39" s="15">
        <f>SUMIFS('Raw Orders'!$E$5:$E$899,'Raw Orders'!$B$5:$B$899,$A39,'Raw Orders'!$I$5:$I$899,$B39,'Raw Orders'!$J$5:$J$899,FALSE)</f>
        <v>42.2</v>
      </c>
      <c r="E39" s="18">
        <f t="shared" si="2"/>
        <v>0.34646962233169132</v>
      </c>
      <c r="F39" s="15">
        <f t="shared" si="3"/>
        <v>-79.599999999999994</v>
      </c>
      <c r="G39" s="15">
        <f>SUM($F$29:$F39)</f>
        <v>-236.5</v>
      </c>
    </row>
    <row r="40" spans="1:7" x14ac:dyDescent="0.3">
      <c r="A40" s="4" t="s">
        <v>56</v>
      </c>
      <c r="B40" s="14">
        <v>45627</v>
      </c>
      <c r="C40" s="15">
        <f>SUMIFS('Raw Orders'!$E$5:$E$899,'Raw Orders'!$B$5:$B$899,$A40,'Raw Orders'!$H$5:$H$899,$B40)</f>
        <v>84.9</v>
      </c>
      <c r="D40" s="15">
        <f>SUMIFS('Raw Orders'!$E$5:$E$899,'Raw Orders'!$B$5:$B$899,$A40,'Raw Orders'!$I$5:$I$899,$B40,'Raw Orders'!$J$5:$J$899,FALSE)</f>
        <v>97</v>
      </c>
      <c r="E40" s="18">
        <f t="shared" si="2"/>
        <v>1.1425206124852767</v>
      </c>
      <c r="F40" s="15">
        <f t="shared" si="3"/>
        <v>12.099999999999994</v>
      </c>
      <c r="G40" s="15">
        <f>SUM($F$29:$F40)</f>
        <v>-224.4</v>
      </c>
    </row>
    <row r="41" spans="1:7" x14ac:dyDescent="0.3">
      <c r="A41" s="4" t="s">
        <v>56</v>
      </c>
      <c r="B41" s="14">
        <v>45658</v>
      </c>
      <c r="C41" s="15">
        <f>SUMIFS('Raw Orders'!$E$5:$E$899,'Raw Orders'!$B$5:$B$899,$A41,'Raw Orders'!$H$5:$H$899,$B41)</f>
        <v>55.4</v>
      </c>
      <c r="D41" s="15">
        <f>SUMIFS('Raw Orders'!$E$5:$E$899,'Raw Orders'!$B$5:$B$899,$A41,'Raw Orders'!$I$5:$I$899,$B41,'Raw Orders'!$J$5:$J$899,FALSE)</f>
        <v>69.09999999999998</v>
      </c>
      <c r="E41" s="18">
        <f t="shared" si="2"/>
        <v>1.2472924187725629</v>
      </c>
      <c r="F41" s="15">
        <f t="shared" si="3"/>
        <v>13.699999999999982</v>
      </c>
      <c r="G41" s="15">
        <f>SUM($F$29:$F41)</f>
        <v>-210.70000000000002</v>
      </c>
    </row>
    <row r="42" spans="1:7" x14ac:dyDescent="0.3">
      <c r="A42" s="4" t="s">
        <v>56</v>
      </c>
      <c r="B42" s="14">
        <v>45689</v>
      </c>
      <c r="C42" s="15">
        <f>SUMIFS('Raw Orders'!$E$5:$E$899,'Raw Orders'!$B$5:$B$899,$A42,'Raw Orders'!$H$5:$H$899,$B42)</f>
        <v>46.400000000000006</v>
      </c>
      <c r="D42" s="15">
        <f>SUMIFS('Raw Orders'!$E$5:$E$899,'Raw Orders'!$B$5:$B$899,$A42,'Raw Orders'!$I$5:$I$899,$B42,'Raw Orders'!$J$5:$J$899,FALSE)</f>
        <v>56.8</v>
      </c>
      <c r="E42" s="18">
        <f t="shared" si="2"/>
        <v>1.2241379310344827</v>
      </c>
      <c r="F42" s="15">
        <f t="shared" si="3"/>
        <v>10.399999999999991</v>
      </c>
      <c r="G42" s="15">
        <f>SUM($F$29:$F42)</f>
        <v>-200.3</v>
      </c>
    </row>
    <row r="43" spans="1:7" x14ac:dyDescent="0.3">
      <c r="A43" s="4" t="s">
        <v>56</v>
      </c>
      <c r="B43" s="14">
        <v>45717</v>
      </c>
      <c r="C43" s="15">
        <f>SUMIFS('Raw Orders'!$E$5:$E$899,'Raw Orders'!$B$5:$B$899,$A43,'Raw Orders'!$H$5:$H$899,$B43)</f>
        <v>218.60000000000002</v>
      </c>
      <c r="D43" s="15">
        <f>SUMIFS('Raw Orders'!$E$5:$E$899,'Raw Orders'!$B$5:$B$899,$A43,'Raw Orders'!$I$5:$I$899,$B43,'Raw Orders'!$J$5:$J$899,FALSE)</f>
        <v>106.39999999999999</v>
      </c>
      <c r="E43" s="18">
        <f t="shared" si="2"/>
        <v>0.4867337602927721</v>
      </c>
      <c r="F43" s="15">
        <f t="shared" si="3"/>
        <v>-112.20000000000003</v>
      </c>
      <c r="G43" s="15">
        <f>SUM($F$29:$F43)</f>
        <v>-312.50000000000006</v>
      </c>
    </row>
    <row r="44" spans="1:7" x14ac:dyDescent="0.3">
      <c r="A44" s="4" t="s">
        <v>56</v>
      </c>
      <c r="B44" s="14">
        <v>45748</v>
      </c>
      <c r="C44" s="15">
        <f>SUMIFS('Raw Orders'!$E$5:$E$899,'Raw Orders'!$B$5:$B$899,$A44,'Raw Orders'!$H$5:$H$899,$B44)</f>
        <v>32.099999999999994</v>
      </c>
      <c r="D44" s="15">
        <f>SUMIFS('Raw Orders'!$E$5:$E$899,'Raw Orders'!$B$5:$B$899,$A44,'Raw Orders'!$I$5:$I$899,$B44,'Raw Orders'!$J$5:$J$899,FALSE)</f>
        <v>131.19999999999999</v>
      </c>
      <c r="E44" s="18">
        <f t="shared" si="2"/>
        <v>4.0872274143302185</v>
      </c>
      <c r="F44" s="15">
        <f t="shared" si="3"/>
        <v>99.1</v>
      </c>
      <c r="G44" s="15">
        <f>SUM($F$29:$F44)</f>
        <v>-213.40000000000006</v>
      </c>
    </row>
    <row r="45" spans="1:7" x14ac:dyDescent="0.3">
      <c r="A45" s="4" t="s">
        <v>56</v>
      </c>
      <c r="B45" s="14">
        <v>45778</v>
      </c>
      <c r="C45" s="15">
        <f>SUMIFS('Raw Orders'!$E$5:$E$899,'Raw Orders'!$B$5:$B$899,$A45,'Raw Orders'!$H$5:$H$899,$B45)</f>
        <v>3</v>
      </c>
      <c r="D45" s="15">
        <f>SUMIFS('Raw Orders'!$E$5:$E$899,'Raw Orders'!$B$5:$B$899,$A45,'Raw Orders'!$I$5:$I$899,$B45,'Raw Orders'!$J$5:$J$899,FALSE)</f>
        <v>91.8</v>
      </c>
      <c r="E45" s="18">
        <f t="shared" si="2"/>
        <v>30.599999999999998</v>
      </c>
      <c r="F45" s="15">
        <f t="shared" si="3"/>
        <v>88.8</v>
      </c>
      <c r="G45" s="15">
        <f>SUM($F$29:$F45)</f>
        <v>-124.60000000000007</v>
      </c>
    </row>
    <row r="46" spans="1:7" x14ac:dyDescent="0.3">
      <c r="A46" s="4" t="s">
        <v>56</v>
      </c>
      <c r="B46" s="14">
        <v>45809</v>
      </c>
      <c r="C46" s="15">
        <f>SUMIFS('Raw Orders'!$E$5:$E$899,'Raw Orders'!$B$5:$B$899,$A46,'Raw Orders'!$H$5:$H$899,$B46)</f>
        <v>81.999999999999986</v>
      </c>
      <c r="D46" s="15">
        <f>SUMIFS('Raw Orders'!$E$5:$E$899,'Raw Orders'!$B$5:$B$899,$A46,'Raw Orders'!$I$5:$I$899,$B46,'Raw Orders'!$J$5:$J$899,FALSE)</f>
        <v>104</v>
      </c>
      <c r="E46" s="18">
        <f t="shared" si="2"/>
        <v>1.2682926829268295</v>
      </c>
      <c r="F46" s="15">
        <f t="shared" si="3"/>
        <v>22.000000000000014</v>
      </c>
      <c r="G46" s="15">
        <f>SUM($F$29:$F46)</f>
        <v>-102.60000000000005</v>
      </c>
    </row>
    <row r="47" spans="1:7" x14ac:dyDescent="0.3">
      <c r="A47" s="4" t="s">
        <v>56</v>
      </c>
      <c r="B47" s="14">
        <v>45839</v>
      </c>
      <c r="C47" s="15">
        <f>SUMIFS('Raw Orders'!$E$5:$E$899,'Raw Orders'!$B$5:$B$899,$A47,'Raw Orders'!$H$5:$H$899,$B47)</f>
        <v>69.600000000000009</v>
      </c>
      <c r="D47" s="15">
        <f>SUMIFS('Raw Orders'!$E$5:$E$899,'Raw Orders'!$B$5:$B$899,$A47,'Raw Orders'!$I$5:$I$899,$B47,'Raw Orders'!$J$5:$J$899,FALSE)</f>
        <v>45.099999999999994</v>
      </c>
      <c r="E47" s="18">
        <f t="shared" si="2"/>
        <v>0.6479885057471263</v>
      </c>
      <c r="F47" s="15">
        <f t="shared" si="3"/>
        <v>-24.500000000000014</v>
      </c>
      <c r="G47" s="15">
        <f>SUM($F$29:$F47)</f>
        <v>-127.10000000000007</v>
      </c>
    </row>
    <row r="48" spans="1:7" x14ac:dyDescent="0.3">
      <c r="A48" s="4" t="s">
        <v>56</v>
      </c>
      <c r="B48" s="14">
        <v>45870</v>
      </c>
      <c r="C48" s="15">
        <f>SUMIFS('Raw Orders'!$E$5:$E$899,'Raw Orders'!$B$5:$B$899,$A48,'Raw Orders'!$H$5:$H$899,$B48)</f>
        <v>25.800000000000004</v>
      </c>
      <c r="D48" s="15">
        <f>SUMIFS('Raw Orders'!$E$5:$E$899,'Raw Orders'!$B$5:$B$899,$A48,'Raw Orders'!$I$5:$I$899,$B48,'Raw Orders'!$J$5:$J$899,FALSE)</f>
        <v>34</v>
      </c>
      <c r="E48" s="18">
        <f t="shared" si="2"/>
        <v>1.3178294573643408</v>
      </c>
      <c r="F48" s="15">
        <f t="shared" si="3"/>
        <v>8.1999999999999957</v>
      </c>
      <c r="G48" s="15">
        <f>SUM($F$29:$F48)</f>
        <v>-118.90000000000006</v>
      </c>
    </row>
    <row r="49" spans="1:7" x14ac:dyDescent="0.3">
      <c r="A49" s="4" t="s">
        <v>56</v>
      </c>
      <c r="B49" s="14">
        <v>45901</v>
      </c>
      <c r="C49" s="15">
        <f>SUMIFS('Raw Orders'!$E$5:$E$899,'Raw Orders'!$B$5:$B$899,$A49,'Raw Orders'!$H$5:$H$899,$B49)</f>
        <v>110.3</v>
      </c>
      <c r="D49" s="15">
        <f>SUMIFS('Raw Orders'!$E$5:$E$899,'Raw Orders'!$B$5:$B$899,$A49,'Raw Orders'!$I$5:$I$899,$B49,'Raw Orders'!$J$5:$J$899,FALSE)</f>
        <v>106.59999999999998</v>
      </c>
      <c r="E49" s="18">
        <f t="shared" si="2"/>
        <v>0.9664551223934722</v>
      </c>
      <c r="F49" s="15">
        <f t="shared" si="3"/>
        <v>-3.7000000000000171</v>
      </c>
      <c r="G49" s="15">
        <f>SUM($F$29:$F49)</f>
        <v>-122.60000000000008</v>
      </c>
    </row>
    <row r="50" spans="1:7" x14ac:dyDescent="0.3">
      <c r="A50" s="4" t="s">
        <v>56</v>
      </c>
      <c r="B50" s="14">
        <v>45931</v>
      </c>
      <c r="C50" s="15">
        <f>SUMIFS('Raw Orders'!$E$5:$E$899,'Raw Orders'!$B$5:$B$899,$A50,'Raw Orders'!$H$5:$H$899,$B50)</f>
        <v>80.8</v>
      </c>
      <c r="D50" s="15">
        <f>SUMIFS('Raw Orders'!$E$5:$E$899,'Raw Orders'!$B$5:$B$899,$A50,'Raw Orders'!$I$5:$I$899,$B50,'Raw Orders'!$J$5:$J$899,FALSE)</f>
        <v>96.7</v>
      </c>
      <c r="E50" s="18">
        <f t="shared" si="2"/>
        <v>1.1967821782178218</v>
      </c>
      <c r="F50" s="15">
        <f t="shared" si="3"/>
        <v>15.900000000000006</v>
      </c>
      <c r="G50" s="15">
        <f>SUM($F$29:$F50)</f>
        <v>-106.70000000000007</v>
      </c>
    </row>
    <row r="51" spans="1:7" x14ac:dyDescent="0.3">
      <c r="A51" s="4" t="s">
        <v>56</v>
      </c>
      <c r="B51" s="14">
        <v>45962</v>
      </c>
      <c r="C51" s="15">
        <f>SUMIFS('Raw Orders'!$E$5:$E$899,'Raw Orders'!$B$5:$B$899,$A51,'Raw Orders'!$H$5:$H$899,$B51)</f>
        <v>65.7</v>
      </c>
      <c r="D51" s="15">
        <f>SUMIFS('Raw Orders'!$E$5:$E$899,'Raw Orders'!$B$5:$B$899,$A51,'Raw Orders'!$I$5:$I$899,$B51,'Raw Orders'!$J$5:$J$899,FALSE)</f>
        <v>15.299999999999999</v>
      </c>
      <c r="E51" s="18">
        <f t="shared" si="2"/>
        <v>0.23287671232876711</v>
      </c>
      <c r="F51" s="15">
        <f t="shared" si="3"/>
        <v>-50.400000000000006</v>
      </c>
      <c r="G51" s="15">
        <f>SUM($F$29:$F51)</f>
        <v>-157.10000000000008</v>
      </c>
    </row>
    <row r="52" spans="1:7" x14ac:dyDescent="0.3">
      <c r="A52" s="4" t="s">
        <v>56</v>
      </c>
      <c r="B52" s="14">
        <v>45992</v>
      </c>
      <c r="C52" s="15">
        <f>SUMIFS('Raw Orders'!$E$5:$E$899,'Raw Orders'!$B$5:$B$899,$A52,'Raw Orders'!$H$5:$H$899,$B52)</f>
        <v>142.5</v>
      </c>
      <c r="D52" s="15">
        <f>SUMIFS('Raw Orders'!$E$5:$E$899,'Raw Orders'!$B$5:$B$899,$A52,'Raw Orders'!$I$5:$I$899,$B52,'Raw Orders'!$J$5:$J$899,FALSE)</f>
        <v>160.9</v>
      </c>
      <c r="E52" s="18">
        <f t="shared" si="2"/>
        <v>1.1291228070175439</v>
      </c>
      <c r="F52" s="15">
        <f t="shared" si="3"/>
        <v>18.400000000000006</v>
      </c>
      <c r="G52" s="15">
        <f>SUM($F$29:$F52)</f>
        <v>-138.70000000000007</v>
      </c>
    </row>
    <row r="53" spans="1:7" x14ac:dyDescent="0.3">
      <c r="A53" s="4" t="s">
        <v>65</v>
      </c>
      <c r="B53" s="14">
        <v>45292</v>
      </c>
      <c r="C53" s="15">
        <f>SUMIFS('Raw Orders'!$E$5:$E$899,'Raw Orders'!$B$5:$B$899,$A53,'Raw Orders'!$H$5:$H$899,$B53)</f>
        <v>0</v>
      </c>
      <c r="D53" s="15">
        <f>SUMIFS('Raw Orders'!$E$5:$E$899,'Raw Orders'!$B$5:$B$899,$A53,'Raw Orders'!$I$5:$I$899,$B53,'Raw Orders'!$J$5:$J$899,FALSE)</f>
        <v>0</v>
      </c>
      <c r="E53" s="18" t="str">
        <f t="shared" si="2"/>
        <v/>
      </c>
      <c r="F53" s="15">
        <f t="shared" si="3"/>
        <v>0</v>
      </c>
      <c r="G53" s="15">
        <f>SUM($F$53:$F53)</f>
        <v>0</v>
      </c>
    </row>
    <row r="54" spans="1:7" x14ac:dyDescent="0.3">
      <c r="A54" s="4" t="s">
        <v>65</v>
      </c>
      <c r="B54" s="14">
        <v>45323</v>
      </c>
      <c r="C54" s="15">
        <f>SUMIFS('Raw Orders'!$E$5:$E$899,'Raw Orders'!$B$5:$B$899,$A54,'Raw Orders'!$H$5:$H$899,$B54)</f>
        <v>0</v>
      </c>
      <c r="D54" s="15">
        <f>SUMIFS('Raw Orders'!$E$5:$E$899,'Raw Orders'!$B$5:$B$899,$A54,'Raw Orders'!$I$5:$I$899,$B54,'Raw Orders'!$J$5:$J$899,FALSE)</f>
        <v>0</v>
      </c>
      <c r="E54" s="18" t="str">
        <f t="shared" si="2"/>
        <v/>
      </c>
      <c r="F54" s="15">
        <f t="shared" si="3"/>
        <v>0</v>
      </c>
      <c r="G54" s="15">
        <f>SUM($F$53:$F54)</f>
        <v>0</v>
      </c>
    </row>
    <row r="55" spans="1:7" x14ac:dyDescent="0.3">
      <c r="A55" s="4" t="s">
        <v>65</v>
      </c>
      <c r="B55" s="14">
        <v>45352</v>
      </c>
      <c r="C55" s="15">
        <f>SUMIFS('Raw Orders'!$E$5:$E$899,'Raw Orders'!$B$5:$B$899,$A55,'Raw Orders'!$H$5:$H$899,$B55)</f>
        <v>0</v>
      </c>
      <c r="D55" s="15">
        <f>SUMIFS('Raw Orders'!$E$5:$E$899,'Raw Orders'!$B$5:$B$899,$A55,'Raw Orders'!$I$5:$I$899,$B55,'Raw Orders'!$J$5:$J$899,FALSE)</f>
        <v>0</v>
      </c>
      <c r="E55" s="18" t="str">
        <f t="shared" si="2"/>
        <v/>
      </c>
      <c r="F55" s="15">
        <f t="shared" si="3"/>
        <v>0</v>
      </c>
      <c r="G55" s="15">
        <f>SUM($F$53:$F55)</f>
        <v>0</v>
      </c>
    </row>
    <row r="56" spans="1:7" x14ac:dyDescent="0.3">
      <c r="A56" s="4" t="s">
        <v>65</v>
      </c>
      <c r="B56" s="14">
        <v>45383</v>
      </c>
      <c r="C56" s="15">
        <f>SUMIFS('Raw Orders'!$E$5:$E$899,'Raw Orders'!$B$5:$B$899,$A56,'Raw Orders'!$H$5:$H$899,$B56)</f>
        <v>0</v>
      </c>
      <c r="D56" s="15">
        <f>SUMIFS('Raw Orders'!$E$5:$E$899,'Raw Orders'!$B$5:$B$899,$A56,'Raw Orders'!$I$5:$I$899,$B56,'Raw Orders'!$J$5:$J$899,FALSE)</f>
        <v>0</v>
      </c>
      <c r="E56" s="18" t="str">
        <f t="shared" si="2"/>
        <v/>
      </c>
      <c r="F56" s="15">
        <f t="shared" si="3"/>
        <v>0</v>
      </c>
      <c r="G56" s="15">
        <f>SUM($F$53:$F56)</f>
        <v>0</v>
      </c>
    </row>
    <row r="57" spans="1:7" x14ac:dyDescent="0.3">
      <c r="A57" s="4" t="s">
        <v>65</v>
      </c>
      <c r="B57" s="14">
        <v>45413</v>
      </c>
      <c r="C57" s="15">
        <f>SUMIFS('Raw Orders'!$E$5:$E$899,'Raw Orders'!$B$5:$B$899,$A57,'Raw Orders'!$H$5:$H$899,$B57)</f>
        <v>0</v>
      </c>
      <c r="D57" s="15">
        <f>SUMIFS('Raw Orders'!$E$5:$E$899,'Raw Orders'!$B$5:$B$899,$A57,'Raw Orders'!$I$5:$I$899,$B57,'Raw Orders'!$J$5:$J$899,FALSE)</f>
        <v>0</v>
      </c>
      <c r="E57" s="18" t="str">
        <f t="shared" si="2"/>
        <v/>
      </c>
      <c r="F57" s="15">
        <f t="shared" si="3"/>
        <v>0</v>
      </c>
      <c r="G57" s="15">
        <f>SUM($F$53:$F57)</f>
        <v>0</v>
      </c>
    </row>
    <row r="58" spans="1:7" x14ac:dyDescent="0.3">
      <c r="A58" s="4" t="s">
        <v>65</v>
      </c>
      <c r="B58" s="14">
        <v>45444</v>
      </c>
      <c r="C58" s="15">
        <f>SUMIFS('Raw Orders'!$E$5:$E$899,'Raw Orders'!$B$5:$B$899,$A58,'Raw Orders'!$H$5:$H$899,$B58)</f>
        <v>0</v>
      </c>
      <c r="D58" s="15">
        <f>SUMIFS('Raw Orders'!$E$5:$E$899,'Raw Orders'!$B$5:$B$899,$A58,'Raw Orders'!$I$5:$I$899,$B58,'Raw Orders'!$J$5:$J$899,FALSE)</f>
        <v>0</v>
      </c>
      <c r="E58" s="18" t="str">
        <f t="shared" si="2"/>
        <v/>
      </c>
      <c r="F58" s="15">
        <f t="shared" si="3"/>
        <v>0</v>
      </c>
      <c r="G58" s="15">
        <f>SUM($F$53:$F58)</f>
        <v>0</v>
      </c>
    </row>
    <row r="59" spans="1:7" x14ac:dyDescent="0.3">
      <c r="A59" s="4" t="s">
        <v>65</v>
      </c>
      <c r="B59" s="14">
        <v>45474</v>
      </c>
      <c r="C59" s="15">
        <f>SUMIFS('Raw Orders'!$E$5:$E$899,'Raw Orders'!$B$5:$B$899,$A59,'Raw Orders'!$H$5:$H$899,$B59)</f>
        <v>33.799999999999997</v>
      </c>
      <c r="D59" s="15">
        <f>SUMIFS('Raw Orders'!$E$5:$E$899,'Raw Orders'!$B$5:$B$899,$A59,'Raw Orders'!$I$5:$I$899,$B59,'Raw Orders'!$J$5:$J$899,FALSE)</f>
        <v>0</v>
      </c>
      <c r="E59" s="18">
        <f t="shared" si="2"/>
        <v>0</v>
      </c>
      <c r="F59" s="15">
        <f t="shared" si="3"/>
        <v>-33.799999999999997</v>
      </c>
      <c r="G59" s="15">
        <f>SUM($F$53:$F59)</f>
        <v>-33.799999999999997</v>
      </c>
    </row>
    <row r="60" spans="1:7" x14ac:dyDescent="0.3">
      <c r="A60" s="4" t="s">
        <v>65</v>
      </c>
      <c r="B60" s="14">
        <v>45505</v>
      </c>
      <c r="C60" s="15">
        <f>SUMIFS('Raw Orders'!$E$5:$E$899,'Raw Orders'!$B$5:$B$899,$A60,'Raw Orders'!$H$5:$H$899,$B60)</f>
        <v>0</v>
      </c>
      <c r="D60" s="15">
        <f>SUMIFS('Raw Orders'!$E$5:$E$899,'Raw Orders'!$B$5:$B$899,$A60,'Raw Orders'!$I$5:$I$899,$B60,'Raw Orders'!$J$5:$J$899,FALSE)</f>
        <v>0</v>
      </c>
      <c r="E60" s="18" t="str">
        <f t="shared" si="2"/>
        <v/>
      </c>
      <c r="F60" s="15">
        <f t="shared" si="3"/>
        <v>0</v>
      </c>
      <c r="G60" s="15">
        <f>SUM($F$53:$F60)</f>
        <v>-33.799999999999997</v>
      </c>
    </row>
    <row r="61" spans="1:7" x14ac:dyDescent="0.3">
      <c r="A61" s="4" t="s">
        <v>65</v>
      </c>
      <c r="B61" s="14">
        <v>45536</v>
      </c>
      <c r="C61" s="15">
        <f>SUMIFS('Raw Orders'!$E$5:$E$899,'Raw Orders'!$B$5:$B$899,$A61,'Raw Orders'!$H$5:$H$899,$B61)</f>
        <v>65.699999999999989</v>
      </c>
      <c r="D61" s="15">
        <f>SUMIFS('Raw Orders'!$E$5:$E$899,'Raw Orders'!$B$5:$B$899,$A61,'Raw Orders'!$I$5:$I$899,$B61,'Raw Orders'!$J$5:$J$899,FALSE)</f>
        <v>19.3</v>
      </c>
      <c r="E61" s="18">
        <f t="shared" si="2"/>
        <v>0.29375951293759517</v>
      </c>
      <c r="F61" s="15">
        <f t="shared" si="3"/>
        <v>-46.399999999999991</v>
      </c>
      <c r="G61" s="15">
        <f>SUM($F$53:$F61)</f>
        <v>-80.199999999999989</v>
      </c>
    </row>
    <row r="62" spans="1:7" x14ac:dyDescent="0.3">
      <c r="A62" s="4" t="s">
        <v>65</v>
      </c>
      <c r="B62" s="14">
        <v>45566</v>
      </c>
      <c r="C62" s="15">
        <f>SUMIFS('Raw Orders'!$E$5:$E$899,'Raw Orders'!$B$5:$B$899,$A62,'Raw Orders'!$H$5:$H$899,$B62)</f>
        <v>45.7</v>
      </c>
      <c r="D62" s="15">
        <f>SUMIFS('Raw Orders'!$E$5:$E$899,'Raw Orders'!$B$5:$B$899,$A62,'Raw Orders'!$I$5:$I$899,$B62,'Raw Orders'!$J$5:$J$899,FALSE)</f>
        <v>40.200000000000003</v>
      </c>
      <c r="E62" s="18">
        <f t="shared" si="2"/>
        <v>0.87964989059080967</v>
      </c>
      <c r="F62" s="15">
        <f t="shared" si="3"/>
        <v>-5.5</v>
      </c>
      <c r="G62" s="15">
        <f>SUM($F$53:$F62)</f>
        <v>-85.699999999999989</v>
      </c>
    </row>
    <row r="63" spans="1:7" x14ac:dyDescent="0.3">
      <c r="A63" s="4" t="s">
        <v>65</v>
      </c>
      <c r="B63" s="14">
        <v>45597</v>
      </c>
      <c r="C63" s="15">
        <f>SUMIFS('Raw Orders'!$E$5:$E$899,'Raw Orders'!$B$5:$B$899,$A63,'Raw Orders'!$H$5:$H$899,$B63)</f>
        <v>52.2</v>
      </c>
      <c r="D63" s="15">
        <f>SUMIFS('Raw Orders'!$E$5:$E$899,'Raw Orders'!$B$5:$B$899,$A63,'Raw Orders'!$I$5:$I$899,$B63,'Raw Orders'!$J$5:$J$899,FALSE)</f>
        <v>33.4</v>
      </c>
      <c r="E63" s="18">
        <f t="shared" si="2"/>
        <v>0.63984674329501912</v>
      </c>
      <c r="F63" s="15">
        <f t="shared" si="3"/>
        <v>-18.800000000000004</v>
      </c>
      <c r="G63" s="15">
        <f>SUM($F$53:$F63)</f>
        <v>-104.5</v>
      </c>
    </row>
    <row r="64" spans="1:7" x14ac:dyDescent="0.3">
      <c r="A64" s="4" t="s">
        <v>65</v>
      </c>
      <c r="B64" s="14">
        <v>45627</v>
      </c>
      <c r="C64" s="15">
        <f>SUMIFS('Raw Orders'!$E$5:$E$899,'Raw Orders'!$B$5:$B$899,$A64,'Raw Orders'!$H$5:$H$899,$B64)</f>
        <v>85.399999999999991</v>
      </c>
      <c r="D64" s="15">
        <f>SUMIFS('Raw Orders'!$E$5:$E$899,'Raw Orders'!$B$5:$B$899,$A64,'Raw Orders'!$I$5:$I$899,$B64,'Raw Orders'!$J$5:$J$899,FALSE)</f>
        <v>107.6</v>
      </c>
      <c r="E64" s="18">
        <f t="shared" si="2"/>
        <v>1.2599531615925059</v>
      </c>
      <c r="F64" s="15">
        <f t="shared" si="3"/>
        <v>22.200000000000003</v>
      </c>
      <c r="G64" s="15">
        <f>SUM($F$53:$F64)</f>
        <v>-82.3</v>
      </c>
    </row>
    <row r="65" spans="1:7" x14ac:dyDescent="0.3">
      <c r="A65" s="4" t="s">
        <v>65</v>
      </c>
      <c r="B65" s="14">
        <v>45658</v>
      </c>
      <c r="C65" s="15">
        <f>SUMIFS('Raw Orders'!$E$5:$E$899,'Raw Orders'!$B$5:$B$899,$A65,'Raw Orders'!$H$5:$H$899,$B65)</f>
        <v>196.60000000000002</v>
      </c>
      <c r="D65" s="15">
        <f>SUMIFS('Raw Orders'!$E$5:$E$899,'Raw Orders'!$B$5:$B$899,$A65,'Raw Orders'!$I$5:$I$899,$B65,'Raw Orders'!$J$5:$J$899,FALSE)</f>
        <v>15.3</v>
      </c>
      <c r="E65" s="18">
        <f t="shared" si="2"/>
        <v>7.7822990844354012E-2</v>
      </c>
      <c r="F65" s="15">
        <f t="shared" si="3"/>
        <v>-181.3</v>
      </c>
      <c r="G65" s="15">
        <f>SUM($F$53:$F65)</f>
        <v>-263.60000000000002</v>
      </c>
    </row>
    <row r="66" spans="1:7" x14ac:dyDescent="0.3">
      <c r="A66" s="4" t="s">
        <v>65</v>
      </c>
      <c r="B66" s="14">
        <v>45689</v>
      </c>
      <c r="C66" s="15">
        <f>SUMIFS('Raw Orders'!$E$5:$E$899,'Raw Orders'!$B$5:$B$899,$A66,'Raw Orders'!$H$5:$H$899,$B66)</f>
        <v>85.4</v>
      </c>
      <c r="D66" s="15">
        <f>SUMIFS('Raw Orders'!$E$5:$E$899,'Raw Orders'!$B$5:$B$899,$A66,'Raw Orders'!$I$5:$I$899,$B66,'Raw Orders'!$J$5:$J$899,FALSE)</f>
        <v>79.3</v>
      </c>
      <c r="E66" s="18">
        <f t="shared" si="2"/>
        <v>0.92857142857142849</v>
      </c>
      <c r="F66" s="15">
        <f t="shared" si="3"/>
        <v>-6.1000000000000085</v>
      </c>
      <c r="G66" s="15">
        <f>SUM($F$53:$F66)</f>
        <v>-269.70000000000005</v>
      </c>
    </row>
    <row r="67" spans="1:7" x14ac:dyDescent="0.3">
      <c r="A67" s="4" t="s">
        <v>65</v>
      </c>
      <c r="B67" s="14">
        <v>45717</v>
      </c>
      <c r="C67" s="15">
        <f>SUMIFS('Raw Orders'!$E$5:$E$899,'Raw Orders'!$B$5:$B$899,$A67,'Raw Orders'!$H$5:$H$899,$B67)</f>
        <v>19.899999999999999</v>
      </c>
      <c r="D67" s="15">
        <f>SUMIFS('Raw Orders'!$E$5:$E$899,'Raw Orders'!$B$5:$B$899,$A67,'Raw Orders'!$I$5:$I$899,$B67,'Raw Orders'!$J$5:$J$899,FALSE)</f>
        <v>33.700000000000003</v>
      </c>
      <c r="E67" s="18">
        <f t="shared" si="2"/>
        <v>1.6934673366834174</v>
      </c>
      <c r="F67" s="15">
        <f t="shared" si="3"/>
        <v>13.800000000000004</v>
      </c>
      <c r="G67" s="15">
        <f>SUM($F$53:$F67)</f>
        <v>-255.90000000000003</v>
      </c>
    </row>
    <row r="68" spans="1:7" x14ac:dyDescent="0.3">
      <c r="A68" s="4" t="s">
        <v>65</v>
      </c>
      <c r="B68" s="14">
        <v>45748</v>
      </c>
      <c r="C68" s="15">
        <f>SUMIFS('Raw Orders'!$E$5:$E$899,'Raw Orders'!$B$5:$B$899,$A68,'Raw Orders'!$H$5:$H$899,$B68)</f>
        <v>49.8</v>
      </c>
      <c r="D68" s="15">
        <f>SUMIFS('Raw Orders'!$E$5:$E$899,'Raw Orders'!$B$5:$B$899,$A68,'Raw Orders'!$I$5:$I$899,$B68,'Raw Orders'!$J$5:$J$899,FALSE)</f>
        <v>19.8</v>
      </c>
      <c r="E68" s="18">
        <f t="shared" si="2"/>
        <v>0.39759036144578319</v>
      </c>
      <c r="F68" s="15">
        <f t="shared" si="3"/>
        <v>-29.999999999999996</v>
      </c>
      <c r="G68" s="15">
        <f>SUM($F$53:$F68)</f>
        <v>-285.90000000000003</v>
      </c>
    </row>
    <row r="69" spans="1:7" x14ac:dyDescent="0.3">
      <c r="A69" s="4" t="s">
        <v>65</v>
      </c>
      <c r="B69" s="14">
        <v>45778</v>
      </c>
      <c r="C69" s="15">
        <f>SUMIFS('Raw Orders'!$E$5:$E$899,'Raw Orders'!$B$5:$B$899,$A69,'Raw Orders'!$H$5:$H$899,$B69)</f>
        <v>27.6</v>
      </c>
      <c r="D69" s="15">
        <f>SUMIFS('Raw Orders'!$E$5:$E$899,'Raw Orders'!$B$5:$B$899,$A69,'Raw Orders'!$I$5:$I$899,$B69,'Raw Orders'!$J$5:$J$899,FALSE)</f>
        <v>118.5</v>
      </c>
      <c r="E69" s="18">
        <f t="shared" ref="E69:E100" si="4">IF(C69=0,"",D69/C69)</f>
        <v>4.2934782608695654</v>
      </c>
      <c r="F69" s="15">
        <f t="shared" ref="F69:F100" si="5">D69-C69</f>
        <v>90.9</v>
      </c>
      <c r="G69" s="15">
        <f>SUM($F$53:$F69)</f>
        <v>-195.00000000000003</v>
      </c>
    </row>
    <row r="70" spans="1:7" x14ac:dyDescent="0.3">
      <c r="A70" s="4" t="s">
        <v>65</v>
      </c>
      <c r="B70" s="14">
        <v>45809</v>
      </c>
      <c r="C70" s="15">
        <f>SUMIFS('Raw Orders'!$E$5:$E$899,'Raw Orders'!$B$5:$B$899,$A70,'Raw Orders'!$H$5:$H$899,$B70)</f>
        <v>32.1</v>
      </c>
      <c r="D70" s="15">
        <f>SUMIFS('Raw Orders'!$E$5:$E$899,'Raw Orders'!$B$5:$B$899,$A70,'Raw Orders'!$I$5:$I$899,$B70,'Raw Orders'!$J$5:$J$899,FALSE)</f>
        <v>54</v>
      </c>
      <c r="E70" s="18">
        <f t="shared" si="4"/>
        <v>1.6822429906542056</v>
      </c>
      <c r="F70" s="15">
        <f t="shared" si="5"/>
        <v>21.9</v>
      </c>
      <c r="G70" s="15">
        <f>SUM($F$53:$F70)</f>
        <v>-173.10000000000002</v>
      </c>
    </row>
    <row r="71" spans="1:7" x14ac:dyDescent="0.3">
      <c r="A71" s="4" t="s">
        <v>65</v>
      </c>
      <c r="B71" s="14">
        <v>45839</v>
      </c>
      <c r="C71" s="15">
        <f>SUMIFS('Raw Orders'!$E$5:$E$899,'Raw Orders'!$B$5:$B$899,$A71,'Raw Orders'!$H$5:$H$899,$B71)</f>
        <v>80.8</v>
      </c>
      <c r="D71" s="15">
        <f>SUMIFS('Raw Orders'!$E$5:$E$899,'Raw Orders'!$B$5:$B$899,$A71,'Raw Orders'!$I$5:$I$899,$B71,'Raw Orders'!$J$5:$J$899,FALSE)</f>
        <v>48</v>
      </c>
      <c r="E71" s="18">
        <f t="shared" si="4"/>
        <v>0.59405940594059403</v>
      </c>
      <c r="F71" s="15">
        <f t="shared" si="5"/>
        <v>-32.799999999999997</v>
      </c>
      <c r="G71" s="15">
        <f>SUM($F$53:$F71)</f>
        <v>-205.90000000000003</v>
      </c>
    </row>
    <row r="72" spans="1:7" x14ac:dyDescent="0.3">
      <c r="A72" s="4" t="s">
        <v>65</v>
      </c>
      <c r="B72" s="14">
        <v>45870</v>
      </c>
      <c r="C72" s="15">
        <f>SUMIFS('Raw Orders'!$E$5:$E$899,'Raw Orders'!$B$5:$B$899,$A72,'Raw Orders'!$H$5:$H$899,$B72)</f>
        <v>75.900000000000006</v>
      </c>
      <c r="D72" s="15">
        <f>SUMIFS('Raw Orders'!$E$5:$E$899,'Raw Orders'!$B$5:$B$899,$A72,'Raw Orders'!$I$5:$I$899,$B72,'Raw Orders'!$J$5:$J$899,FALSE)</f>
        <v>39.700000000000003</v>
      </c>
      <c r="E72" s="18">
        <f t="shared" si="4"/>
        <v>0.52305665349143615</v>
      </c>
      <c r="F72" s="15">
        <f t="shared" si="5"/>
        <v>-36.200000000000003</v>
      </c>
      <c r="G72" s="15">
        <f>SUM($F$53:$F72)</f>
        <v>-242.10000000000002</v>
      </c>
    </row>
    <row r="73" spans="1:7" x14ac:dyDescent="0.3">
      <c r="A73" s="4" t="s">
        <v>65</v>
      </c>
      <c r="B73" s="14">
        <v>45901</v>
      </c>
      <c r="C73" s="15">
        <f>SUMIFS('Raw Orders'!$E$5:$E$899,'Raw Orders'!$B$5:$B$899,$A73,'Raw Orders'!$H$5:$H$899,$B73)</f>
        <v>125.19999999999999</v>
      </c>
      <c r="D73" s="15">
        <f>SUMIFS('Raw Orders'!$E$5:$E$899,'Raw Orders'!$B$5:$B$899,$A73,'Raw Orders'!$I$5:$I$899,$B73,'Raw Orders'!$J$5:$J$899,FALSE)</f>
        <v>44.8</v>
      </c>
      <c r="E73" s="18">
        <f t="shared" si="4"/>
        <v>0.35782747603833864</v>
      </c>
      <c r="F73" s="15">
        <f t="shared" si="5"/>
        <v>-80.399999999999991</v>
      </c>
      <c r="G73" s="15">
        <f>SUM($F$53:$F73)</f>
        <v>-322.5</v>
      </c>
    </row>
    <row r="74" spans="1:7" x14ac:dyDescent="0.3">
      <c r="A74" s="4" t="s">
        <v>65</v>
      </c>
      <c r="B74" s="14">
        <v>45931</v>
      </c>
      <c r="C74" s="15">
        <f>SUMIFS('Raw Orders'!$E$5:$E$899,'Raw Orders'!$B$5:$B$899,$A74,'Raw Orders'!$H$5:$H$899,$B74)</f>
        <v>42.1</v>
      </c>
      <c r="D74" s="15">
        <f>SUMIFS('Raw Orders'!$E$5:$E$899,'Raw Orders'!$B$5:$B$899,$A74,'Raw Orders'!$I$5:$I$899,$B74,'Raw Orders'!$J$5:$J$899,FALSE)</f>
        <v>70.7</v>
      </c>
      <c r="E74" s="18">
        <f t="shared" si="4"/>
        <v>1.6793349168646081</v>
      </c>
      <c r="F74" s="15">
        <f t="shared" si="5"/>
        <v>28.6</v>
      </c>
      <c r="G74" s="15">
        <f>SUM($F$53:$F74)</f>
        <v>-293.89999999999998</v>
      </c>
    </row>
    <row r="75" spans="1:7" x14ac:dyDescent="0.3">
      <c r="A75" s="4" t="s">
        <v>65</v>
      </c>
      <c r="B75" s="14">
        <v>45962</v>
      </c>
      <c r="C75" s="15">
        <f>SUMIFS('Raw Orders'!$E$5:$E$899,'Raw Orders'!$B$5:$B$899,$A75,'Raw Orders'!$H$5:$H$899,$B75)</f>
        <v>73</v>
      </c>
      <c r="D75" s="15">
        <f>SUMIFS('Raw Orders'!$E$5:$E$899,'Raw Orders'!$B$5:$B$899,$A75,'Raw Orders'!$I$5:$I$899,$B75,'Raw Orders'!$J$5:$J$899,FALSE)</f>
        <v>67.900000000000006</v>
      </c>
      <c r="E75" s="18">
        <f t="shared" si="4"/>
        <v>0.93013698630136998</v>
      </c>
      <c r="F75" s="15">
        <f t="shared" si="5"/>
        <v>-5.0999999999999943</v>
      </c>
      <c r="G75" s="15">
        <f>SUM($F$53:$F75)</f>
        <v>-299</v>
      </c>
    </row>
    <row r="76" spans="1:7" x14ac:dyDescent="0.3">
      <c r="A76" s="4" t="s">
        <v>65</v>
      </c>
      <c r="B76" s="14">
        <v>45992</v>
      </c>
      <c r="C76" s="15">
        <f>SUMIFS('Raw Orders'!$E$5:$E$899,'Raw Orders'!$B$5:$B$899,$A76,'Raw Orders'!$H$5:$H$899,$B76)</f>
        <v>58.9</v>
      </c>
      <c r="D76" s="15">
        <f>SUMIFS('Raw Orders'!$E$5:$E$899,'Raw Orders'!$B$5:$B$899,$A76,'Raw Orders'!$I$5:$I$899,$B76,'Raw Orders'!$J$5:$J$899,FALSE)</f>
        <v>87</v>
      </c>
      <c r="E76" s="18">
        <f t="shared" si="4"/>
        <v>1.4770797962648556</v>
      </c>
      <c r="F76" s="15">
        <f t="shared" si="5"/>
        <v>28.1</v>
      </c>
      <c r="G76" s="15">
        <f>SUM($F$53:$F76)</f>
        <v>-270.89999999999998</v>
      </c>
    </row>
    <row r="77" spans="1:7" x14ac:dyDescent="0.3">
      <c r="A77" s="4" t="s">
        <v>72</v>
      </c>
      <c r="B77" s="14">
        <v>45292</v>
      </c>
      <c r="C77" s="15">
        <f>SUMIFS('Raw Orders'!$E$5:$E$899,'Raw Orders'!$B$5:$B$899,$A77,'Raw Orders'!$H$5:$H$899,$B77)</f>
        <v>0</v>
      </c>
      <c r="D77" s="15">
        <f>SUMIFS('Raw Orders'!$E$5:$E$899,'Raw Orders'!$B$5:$B$899,$A77,'Raw Orders'!$I$5:$I$899,$B77,'Raw Orders'!$J$5:$J$899,FALSE)</f>
        <v>0</v>
      </c>
      <c r="E77" s="18" t="str">
        <f t="shared" si="4"/>
        <v/>
      </c>
      <c r="F77" s="15">
        <f t="shared" si="5"/>
        <v>0</v>
      </c>
      <c r="G77" s="15">
        <f>SUM($F$77:$F77)</f>
        <v>0</v>
      </c>
    </row>
    <row r="78" spans="1:7" x14ac:dyDescent="0.3">
      <c r="A78" s="4" t="s">
        <v>72</v>
      </c>
      <c r="B78" s="14">
        <v>45323</v>
      </c>
      <c r="C78" s="15">
        <f>SUMIFS('Raw Orders'!$E$5:$E$899,'Raw Orders'!$B$5:$B$899,$A78,'Raw Orders'!$H$5:$H$899,$B78)</f>
        <v>0</v>
      </c>
      <c r="D78" s="15">
        <f>SUMIFS('Raw Orders'!$E$5:$E$899,'Raw Orders'!$B$5:$B$899,$A78,'Raw Orders'!$I$5:$I$899,$B78,'Raw Orders'!$J$5:$J$899,FALSE)</f>
        <v>0</v>
      </c>
      <c r="E78" s="18" t="str">
        <f t="shared" si="4"/>
        <v/>
      </c>
      <c r="F78" s="15">
        <f t="shared" si="5"/>
        <v>0</v>
      </c>
      <c r="G78" s="15">
        <f>SUM($F$77:$F78)</f>
        <v>0</v>
      </c>
    </row>
    <row r="79" spans="1:7" x14ac:dyDescent="0.3">
      <c r="A79" s="4" t="s">
        <v>72</v>
      </c>
      <c r="B79" s="14">
        <v>45352</v>
      </c>
      <c r="C79" s="15">
        <f>SUMIFS('Raw Orders'!$E$5:$E$899,'Raw Orders'!$B$5:$B$899,$A79,'Raw Orders'!$H$5:$H$899,$B79)</f>
        <v>0</v>
      </c>
      <c r="D79" s="15">
        <f>SUMIFS('Raw Orders'!$E$5:$E$899,'Raw Orders'!$B$5:$B$899,$A79,'Raw Orders'!$I$5:$I$899,$B79,'Raw Orders'!$J$5:$J$899,FALSE)</f>
        <v>0</v>
      </c>
      <c r="E79" s="18" t="str">
        <f t="shared" si="4"/>
        <v/>
      </c>
      <c r="F79" s="15">
        <f t="shared" si="5"/>
        <v>0</v>
      </c>
      <c r="G79" s="15">
        <f>SUM($F$77:$F79)</f>
        <v>0</v>
      </c>
    </row>
    <row r="80" spans="1:7" x14ac:dyDescent="0.3">
      <c r="A80" s="4" t="s">
        <v>72</v>
      </c>
      <c r="B80" s="14">
        <v>45383</v>
      </c>
      <c r="C80" s="15">
        <f>SUMIFS('Raw Orders'!$E$5:$E$899,'Raw Orders'!$B$5:$B$899,$A80,'Raw Orders'!$H$5:$H$899,$B80)</f>
        <v>0</v>
      </c>
      <c r="D80" s="15">
        <f>SUMIFS('Raw Orders'!$E$5:$E$899,'Raw Orders'!$B$5:$B$899,$A80,'Raw Orders'!$I$5:$I$899,$B80,'Raw Orders'!$J$5:$J$899,FALSE)</f>
        <v>0</v>
      </c>
      <c r="E80" s="18" t="str">
        <f t="shared" si="4"/>
        <v/>
      </c>
      <c r="F80" s="15">
        <f t="shared" si="5"/>
        <v>0</v>
      </c>
      <c r="G80" s="15">
        <f>SUM($F$77:$F80)</f>
        <v>0</v>
      </c>
    </row>
    <row r="81" spans="1:7" x14ac:dyDescent="0.3">
      <c r="A81" s="4" t="s">
        <v>72</v>
      </c>
      <c r="B81" s="14">
        <v>45413</v>
      </c>
      <c r="C81" s="15">
        <f>SUMIFS('Raw Orders'!$E$5:$E$899,'Raw Orders'!$B$5:$B$899,$A81,'Raw Orders'!$H$5:$H$899,$B81)</f>
        <v>0</v>
      </c>
      <c r="D81" s="15">
        <f>SUMIFS('Raw Orders'!$E$5:$E$899,'Raw Orders'!$B$5:$B$899,$A81,'Raw Orders'!$I$5:$I$899,$B81,'Raw Orders'!$J$5:$J$899,FALSE)</f>
        <v>0</v>
      </c>
      <c r="E81" s="18" t="str">
        <f t="shared" si="4"/>
        <v/>
      </c>
      <c r="F81" s="15">
        <f t="shared" si="5"/>
        <v>0</v>
      </c>
      <c r="G81" s="15">
        <f>SUM($F$77:$F81)</f>
        <v>0</v>
      </c>
    </row>
    <row r="82" spans="1:7" x14ac:dyDescent="0.3">
      <c r="A82" s="4" t="s">
        <v>72</v>
      </c>
      <c r="B82" s="14">
        <v>45444</v>
      </c>
      <c r="C82" s="15">
        <f>SUMIFS('Raw Orders'!$E$5:$E$899,'Raw Orders'!$B$5:$B$899,$A82,'Raw Orders'!$H$5:$H$899,$B82)</f>
        <v>0</v>
      </c>
      <c r="D82" s="15">
        <f>SUMIFS('Raw Orders'!$E$5:$E$899,'Raw Orders'!$B$5:$B$899,$A82,'Raw Orders'!$I$5:$I$899,$B82,'Raw Orders'!$J$5:$J$899,FALSE)</f>
        <v>0</v>
      </c>
      <c r="E82" s="18" t="str">
        <f t="shared" si="4"/>
        <v/>
      </c>
      <c r="F82" s="15">
        <f t="shared" si="5"/>
        <v>0</v>
      </c>
      <c r="G82" s="15">
        <f>SUM($F$77:$F82)</f>
        <v>0</v>
      </c>
    </row>
    <row r="83" spans="1:7" x14ac:dyDescent="0.3">
      <c r="A83" s="4" t="s">
        <v>72</v>
      </c>
      <c r="B83" s="14">
        <v>45474</v>
      </c>
      <c r="C83" s="15">
        <f>SUMIFS('Raw Orders'!$E$5:$E$899,'Raw Orders'!$B$5:$B$899,$A83,'Raw Orders'!$H$5:$H$899,$B83)</f>
        <v>0</v>
      </c>
      <c r="D83" s="15">
        <f>SUMIFS('Raw Orders'!$E$5:$E$899,'Raw Orders'!$B$5:$B$899,$A83,'Raw Orders'!$I$5:$I$899,$B83,'Raw Orders'!$J$5:$J$899,FALSE)</f>
        <v>0</v>
      </c>
      <c r="E83" s="18" t="str">
        <f t="shared" si="4"/>
        <v/>
      </c>
      <c r="F83" s="15">
        <f t="shared" si="5"/>
        <v>0</v>
      </c>
      <c r="G83" s="15">
        <f>SUM($F$77:$F83)</f>
        <v>0</v>
      </c>
    </row>
    <row r="84" spans="1:7" x14ac:dyDescent="0.3">
      <c r="A84" s="4" t="s">
        <v>72</v>
      </c>
      <c r="B84" s="14">
        <v>45505</v>
      </c>
      <c r="C84" s="15">
        <f>SUMIFS('Raw Orders'!$E$5:$E$899,'Raw Orders'!$B$5:$B$899,$A84,'Raw Orders'!$H$5:$H$899,$B84)</f>
        <v>30.1</v>
      </c>
      <c r="D84" s="15">
        <f>SUMIFS('Raw Orders'!$E$5:$E$899,'Raw Orders'!$B$5:$B$899,$A84,'Raw Orders'!$I$5:$I$899,$B84,'Raw Orders'!$J$5:$J$899,FALSE)</f>
        <v>0</v>
      </c>
      <c r="E84" s="18">
        <f t="shared" si="4"/>
        <v>0</v>
      </c>
      <c r="F84" s="15">
        <f t="shared" si="5"/>
        <v>-30.1</v>
      </c>
      <c r="G84" s="15">
        <f>SUM($F$77:$F84)</f>
        <v>-30.1</v>
      </c>
    </row>
    <row r="85" spans="1:7" x14ac:dyDescent="0.3">
      <c r="A85" s="4" t="s">
        <v>72</v>
      </c>
      <c r="B85" s="14">
        <v>45536</v>
      </c>
      <c r="C85" s="15">
        <f>SUMIFS('Raw Orders'!$E$5:$E$899,'Raw Orders'!$B$5:$B$899,$A85,'Raw Orders'!$H$5:$H$899,$B85)</f>
        <v>70.900000000000006</v>
      </c>
      <c r="D85" s="15">
        <f>SUMIFS('Raw Orders'!$E$5:$E$899,'Raw Orders'!$B$5:$B$899,$A85,'Raw Orders'!$I$5:$I$899,$B85,'Raw Orders'!$J$5:$J$899,FALSE)</f>
        <v>0</v>
      </c>
      <c r="E85" s="18">
        <f t="shared" si="4"/>
        <v>0</v>
      </c>
      <c r="F85" s="15">
        <f t="shared" si="5"/>
        <v>-70.900000000000006</v>
      </c>
      <c r="G85" s="15">
        <f>SUM($F$77:$F85)</f>
        <v>-101</v>
      </c>
    </row>
    <row r="86" spans="1:7" x14ac:dyDescent="0.3">
      <c r="A86" s="4" t="s">
        <v>72</v>
      </c>
      <c r="B86" s="14">
        <v>45566</v>
      </c>
      <c r="C86" s="15">
        <f>SUMIFS('Raw Orders'!$E$5:$E$899,'Raw Orders'!$B$5:$B$899,$A86,'Raw Orders'!$H$5:$H$899,$B86)</f>
        <v>4.4000000000000004</v>
      </c>
      <c r="D86" s="15">
        <f>SUMIFS('Raw Orders'!$E$5:$E$899,'Raw Orders'!$B$5:$B$899,$A86,'Raw Orders'!$I$5:$I$899,$B86,'Raw Orders'!$J$5:$J$899,FALSE)</f>
        <v>0</v>
      </c>
      <c r="E86" s="18">
        <f t="shared" si="4"/>
        <v>0</v>
      </c>
      <c r="F86" s="15">
        <f t="shared" si="5"/>
        <v>-4.4000000000000004</v>
      </c>
      <c r="G86" s="15">
        <f>SUM($F$77:$F86)</f>
        <v>-105.4</v>
      </c>
    </row>
    <row r="87" spans="1:7" x14ac:dyDescent="0.3">
      <c r="A87" s="4" t="s">
        <v>72</v>
      </c>
      <c r="B87" s="14">
        <v>45597</v>
      </c>
      <c r="C87" s="15">
        <f>SUMIFS('Raw Orders'!$E$5:$E$899,'Raw Orders'!$B$5:$B$899,$A87,'Raw Orders'!$H$5:$H$899,$B87)</f>
        <v>23</v>
      </c>
      <c r="D87" s="15">
        <f>SUMIFS('Raw Orders'!$E$5:$E$899,'Raw Orders'!$B$5:$B$899,$A87,'Raw Orders'!$I$5:$I$899,$B87,'Raw Orders'!$J$5:$J$899,FALSE)</f>
        <v>124.80000000000001</v>
      </c>
      <c r="E87" s="18">
        <f t="shared" si="4"/>
        <v>5.4260869565217398</v>
      </c>
      <c r="F87" s="15">
        <f t="shared" si="5"/>
        <v>101.80000000000001</v>
      </c>
      <c r="G87" s="15">
        <f>SUM($F$77:$F87)</f>
        <v>-3.5999999999999943</v>
      </c>
    </row>
    <row r="88" spans="1:7" x14ac:dyDescent="0.3">
      <c r="A88" s="4" t="s">
        <v>72</v>
      </c>
      <c r="B88" s="14">
        <v>45627</v>
      </c>
      <c r="C88" s="15">
        <f>SUMIFS('Raw Orders'!$E$5:$E$899,'Raw Orders'!$B$5:$B$899,$A88,'Raw Orders'!$H$5:$H$899,$B88)</f>
        <v>18</v>
      </c>
      <c r="D88" s="15">
        <f>SUMIFS('Raw Orders'!$E$5:$E$899,'Raw Orders'!$B$5:$B$899,$A88,'Raw Orders'!$I$5:$I$899,$B88,'Raw Orders'!$J$5:$J$899,FALSE)</f>
        <v>12.5</v>
      </c>
      <c r="E88" s="18">
        <f t="shared" si="4"/>
        <v>0.69444444444444442</v>
      </c>
      <c r="F88" s="15">
        <f t="shared" si="5"/>
        <v>-5.5</v>
      </c>
      <c r="G88" s="15">
        <f>SUM($F$77:$F88)</f>
        <v>-9.0999999999999943</v>
      </c>
    </row>
    <row r="89" spans="1:7" x14ac:dyDescent="0.3">
      <c r="A89" s="4" t="s">
        <v>72</v>
      </c>
      <c r="B89" s="14">
        <v>45658</v>
      </c>
      <c r="C89" s="15">
        <f>SUMIFS('Raw Orders'!$E$5:$E$899,'Raw Orders'!$B$5:$B$899,$A89,'Raw Orders'!$H$5:$H$899,$B89)</f>
        <v>122.6</v>
      </c>
      <c r="D89" s="15">
        <f>SUMIFS('Raw Orders'!$E$5:$E$899,'Raw Orders'!$B$5:$B$899,$A89,'Raw Orders'!$I$5:$I$899,$B89,'Raw Orders'!$J$5:$J$899,FALSE)</f>
        <v>98.8</v>
      </c>
      <c r="E89" s="18">
        <f t="shared" si="4"/>
        <v>0.80587275693311589</v>
      </c>
      <c r="F89" s="15">
        <f t="shared" si="5"/>
        <v>-23.799999999999997</v>
      </c>
      <c r="G89" s="15">
        <f>SUM($F$77:$F89)</f>
        <v>-32.899999999999991</v>
      </c>
    </row>
    <row r="90" spans="1:7" x14ac:dyDescent="0.3">
      <c r="A90" s="4" t="s">
        <v>72</v>
      </c>
      <c r="B90" s="14">
        <v>45689</v>
      </c>
      <c r="C90" s="15">
        <f>SUMIFS('Raw Orders'!$E$5:$E$899,'Raw Orders'!$B$5:$B$899,$A90,'Raw Orders'!$H$5:$H$899,$B90)</f>
        <v>73</v>
      </c>
      <c r="D90" s="15">
        <f>SUMIFS('Raw Orders'!$E$5:$E$899,'Raw Orders'!$B$5:$B$899,$A90,'Raw Orders'!$I$5:$I$899,$B90,'Raw Orders'!$J$5:$J$899,FALSE)</f>
        <v>71.600000000000009</v>
      </c>
      <c r="E90" s="18">
        <f t="shared" si="4"/>
        <v>0.98082191780821926</v>
      </c>
      <c r="F90" s="15">
        <f t="shared" si="5"/>
        <v>-1.3999999999999915</v>
      </c>
      <c r="G90" s="15">
        <f>SUM($F$77:$F90)</f>
        <v>-34.299999999999983</v>
      </c>
    </row>
    <row r="91" spans="1:7" x14ac:dyDescent="0.3">
      <c r="A91" s="4" t="s">
        <v>72</v>
      </c>
      <c r="B91" s="14">
        <v>45717</v>
      </c>
      <c r="C91" s="15">
        <f>SUMIFS('Raw Orders'!$E$5:$E$899,'Raw Orders'!$B$5:$B$899,$A91,'Raw Orders'!$H$5:$H$899,$B91)</f>
        <v>0</v>
      </c>
      <c r="D91" s="15">
        <f>SUMIFS('Raw Orders'!$E$5:$E$899,'Raw Orders'!$B$5:$B$899,$A91,'Raw Orders'!$I$5:$I$899,$B91,'Raw Orders'!$J$5:$J$899,FALSE)</f>
        <v>0</v>
      </c>
      <c r="E91" s="18" t="str">
        <f t="shared" si="4"/>
        <v/>
      </c>
      <c r="F91" s="15">
        <f t="shared" si="5"/>
        <v>0</v>
      </c>
      <c r="G91" s="15">
        <f>SUM($F$77:$F91)</f>
        <v>-34.299999999999983</v>
      </c>
    </row>
    <row r="92" spans="1:7" x14ac:dyDescent="0.3">
      <c r="A92" s="4" t="s">
        <v>72</v>
      </c>
      <c r="B92" s="14">
        <v>45748</v>
      </c>
      <c r="C92" s="15">
        <f>SUMIFS('Raw Orders'!$E$5:$E$899,'Raw Orders'!$B$5:$B$899,$A92,'Raw Orders'!$H$5:$H$899,$B92)</f>
        <v>89.199999999999989</v>
      </c>
      <c r="D92" s="15">
        <f>SUMIFS('Raw Orders'!$E$5:$E$899,'Raw Orders'!$B$5:$B$899,$A92,'Raw Orders'!$I$5:$I$899,$B92,'Raw Orders'!$J$5:$J$899,FALSE)</f>
        <v>87.399999999999991</v>
      </c>
      <c r="E92" s="18">
        <f t="shared" si="4"/>
        <v>0.97982062780269064</v>
      </c>
      <c r="F92" s="15">
        <f t="shared" si="5"/>
        <v>-1.7999999999999972</v>
      </c>
      <c r="G92" s="15">
        <f>SUM($F$77:$F92)</f>
        <v>-36.09999999999998</v>
      </c>
    </row>
    <row r="93" spans="1:7" x14ac:dyDescent="0.3">
      <c r="A93" s="4" t="s">
        <v>72</v>
      </c>
      <c r="B93" s="14">
        <v>45778</v>
      </c>
      <c r="C93" s="15">
        <f>SUMIFS('Raw Orders'!$E$5:$E$899,'Raw Orders'!$B$5:$B$899,$A93,'Raw Orders'!$H$5:$H$899,$B93)</f>
        <v>57.6</v>
      </c>
      <c r="D93" s="15">
        <f>SUMIFS('Raw Orders'!$E$5:$E$899,'Raw Orders'!$B$5:$B$899,$A93,'Raw Orders'!$I$5:$I$899,$B93,'Raw Orders'!$J$5:$J$899,FALSE)</f>
        <v>16.5</v>
      </c>
      <c r="E93" s="18">
        <f t="shared" si="4"/>
        <v>0.28645833333333331</v>
      </c>
      <c r="F93" s="15">
        <f t="shared" si="5"/>
        <v>-41.1</v>
      </c>
      <c r="G93" s="15">
        <f>SUM($F$77:$F93)</f>
        <v>-77.199999999999989</v>
      </c>
    </row>
    <row r="94" spans="1:7" x14ac:dyDescent="0.3">
      <c r="A94" s="4" t="s">
        <v>72</v>
      </c>
      <c r="B94" s="14">
        <v>45809</v>
      </c>
      <c r="C94" s="15">
        <f>SUMIFS('Raw Orders'!$E$5:$E$899,'Raw Orders'!$B$5:$B$899,$A94,'Raw Orders'!$H$5:$H$899,$B94)</f>
        <v>18.7</v>
      </c>
      <c r="D94" s="15">
        <f>SUMIFS('Raw Orders'!$E$5:$E$899,'Raw Orders'!$B$5:$B$899,$A94,'Raw Orders'!$I$5:$I$899,$B94,'Raw Orders'!$J$5:$J$899,FALSE)</f>
        <v>0</v>
      </c>
      <c r="E94" s="18">
        <f t="shared" si="4"/>
        <v>0</v>
      </c>
      <c r="F94" s="15">
        <f t="shared" si="5"/>
        <v>-18.7</v>
      </c>
      <c r="G94" s="15">
        <f>SUM($F$77:$F94)</f>
        <v>-95.899999999999991</v>
      </c>
    </row>
    <row r="95" spans="1:7" x14ac:dyDescent="0.3">
      <c r="A95" s="4" t="s">
        <v>72</v>
      </c>
      <c r="B95" s="14">
        <v>45839</v>
      </c>
      <c r="C95" s="15">
        <f>SUMIFS('Raw Orders'!$E$5:$E$899,'Raw Orders'!$B$5:$B$899,$A95,'Raw Orders'!$H$5:$H$899,$B95)</f>
        <v>13.8</v>
      </c>
      <c r="D95" s="15">
        <f>SUMIFS('Raw Orders'!$E$5:$E$899,'Raw Orders'!$B$5:$B$899,$A95,'Raw Orders'!$I$5:$I$899,$B95,'Raw Orders'!$J$5:$J$899,FALSE)</f>
        <v>13.8</v>
      </c>
      <c r="E95" s="18">
        <f t="shared" si="4"/>
        <v>1</v>
      </c>
      <c r="F95" s="15">
        <f t="shared" si="5"/>
        <v>0</v>
      </c>
      <c r="G95" s="15">
        <f>SUM($F$77:$F95)</f>
        <v>-95.899999999999991</v>
      </c>
    </row>
    <row r="96" spans="1:7" x14ac:dyDescent="0.3">
      <c r="A96" s="4" t="s">
        <v>72</v>
      </c>
      <c r="B96" s="14">
        <v>45870</v>
      </c>
      <c r="C96" s="15">
        <f>SUMIFS('Raw Orders'!$E$5:$E$899,'Raw Orders'!$B$5:$B$899,$A96,'Raw Orders'!$H$5:$H$899,$B96)</f>
        <v>31.2</v>
      </c>
      <c r="D96" s="15">
        <f>SUMIFS('Raw Orders'!$E$5:$E$899,'Raw Orders'!$B$5:$B$899,$A96,'Raw Orders'!$I$5:$I$899,$B96,'Raw Orders'!$J$5:$J$899,FALSE)</f>
        <v>81.600000000000009</v>
      </c>
      <c r="E96" s="18">
        <f t="shared" si="4"/>
        <v>2.6153846153846159</v>
      </c>
      <c r="F96" s="15">
        <f t="shared" si="5"/>
        <v>50.400000000000006</v>
      </c>
      <c r="G96" s="15">
        <f>SUM($F$77:$F96)</f>
        <v>-45.499999999999986</v>
      </c>
    </row>
    <row r="97" spans="1:7" x14ac:dyDescent="0.3">
      <c r="A97" s="4" t="s">
        <v>72</v>
      </c>
      <c r="B97" s="14">
        <v>45901</v>
      </c>
      <c r="C97" s="15">
        <f>SUMIFS('Raw Orders'!$E$5:$E$899,'Raw Orders'!$B$5:$B$899,$A97,'Raw Orders'!$H$5:$H$899,$B97)</f>
        <v>26.700000000000003</v>
      </c>
      <c r="D97" s="15">
        <f>SUMIFS('Raw Orders'!$E$5:$E$899,'Raw Orders'!$B$5:$B$899,$A97,'Raw Orders'!$I$5:$I$899,$B97,'Raw Orders'!$J$5:$J$899,FALSE)</f>
        <v>49.6</v>
      </c>
      <c r="E97" s="18">
        <f t="shared" si="4"/>
        <v>1.8576779026217227</v>
      </c>
      <c r="F97" s="15">
        <f t="shared" si="5"/>
        <v>22.9</v>
      </c>
      <c r="G97" s="15">
        <f>SUM($F$77:$F97)</f>
        <v>-22.599999999999987</v>
      </c>
    </row>
    <row r="98" spans="1:7" x14ac:dyDescent="0.3">
      <c r="A98" s="4" t="s">
        <v>72</v>
      </c>
      <c r="B98" s="14">
        <v>45931</v>
      </c>
      <c r="C98" s="15">
        <f>SUMIFS('Raw Orders'!$E$5:$E$899,'Raw Orders'!$B$5:$B$899,$A98,'Raw Orders'!$H$5:$H$899,$B98)</f>
        <v>29.8</v>
      </c>
      <c r="D98" s="15">
        <f>SUMIFS('Raw Orders'!$E$5:$E$899,'Raw Orders'!$B$5:$B$899,$A98,'Raw Orders'!$I$5:$I$899,$B98,'Raw Orders'!$J$5:$J$899,FALSE)</f>
        <v>8.8000000000000007</v>
      </c>
      <c r="E98" s="18">
        <f t="shared" si="4"/>
        <v>0.29530201342281881</v>
      </c>
      <c r="F98" s="15">
        <f t="shared" si="5"/>
        <v>-21</v>
      </c>
      <c r="G98" s="15">
        <f>SUM($F$77:$F98)</f>
        <v>-43.599999999999987</v>
      </c>
    </row>
    <row r="99" spans="1:7" x14ac:dyDescent="0.3">
      <c r="A99" s="4" t="s">
        <v>72</v>
      </c>
      <c r="B99" s="14">
        <v>45962</v>
      </c>
      <c r="C99" s="15">
        <f>SUMIFS('Raw Orders'!$E$5:$E$899,'Raw Orders'!$B$5:$B$899,$A99,'Raw Orders'!$H$5:$H$899,$B99)</f>
        <v>7.2</v>
      </c>
      <c r="D99" s="15">
        <f>SUMIFS('Raw Orders'!$E$5:$E$899,'Raw Orders'!$B$5:$B$899,$A99,'Raw Orders'!$I$5:$I$899,$B99,'Raw Orders'!$J$5:$J$899,FALSE)</f>
        <v>14.5</v>
      </c>
      <c r="E99" s="18">
        <f t="shared" si="4"/>
        <v>2.0138888888888888</v>
      </c>
      <c r="F99" s="15">
        <f t="shared" si="5"/>
        <v>7.3</v>
      </c>
      <c r="G99" s="15">
        <f>SUM($F$77:$F99)</f>
        <v>-36.29999999999999</v>
      </c>
    </row>
    <row r="100" spans="1:7" x14ac:dyDescent="0.3">
      <c r="A100" s="4" t="s">
        <v>72</v>
      </c>
      <c r="B100" s="14">
        <v>45992</v>
      </c>
      <c r="C100" s="15">
        <f>SUMIFS('Raw Orders'!$E$5:$E$899,'Raw Orders'!$B$5:$B$899,$A100,'Raw Orders'!$H$5:$H$899,$B100)</f>
        <v>82</v>
      </c>
      <c r="D100" s="15">
        <f>SUMIFS('Raw Orders'!$E$5:$E$899,'Raw Orders'!$B$5:$B$899,$A100,'Raw Orders'!$I$5:$I$899,$B100,'Raw Orders'!$J$5:$J$899,FALSE)</f>
        <v>41.800000000000004</v>
      </c>
      <c r="E100" s="18">
        <f t="shared" si="4"/>
        <v>0.50975609756097562</v>
      </c>
      <c r="F100" s="15">
        <f t="shared" si="5"/>
        <v>-40.199999999999996</v>
      </c>
      <c r="G100" s="15">
        <f>SUM($F$77:$F100)</f>
        <v>-76.499999999999986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9"/>
  <sheetViews>
    <sheetView showGridLines="0" workbookViewId="0"/>
  </sheetViews>
  <sheetFormatPr defaultRowHeight="14.4" x14ac:dyDescent="0.3"/>
  <cols>
    <col min="1" max="1" width="16" customWidth="1"/>
    <col min="2" max="2" width="19" customWidth="1"/>
    <col min="3" max="9" width="12" customWidth="1"/>
    <col min="10" max="10" width="20" customWidth="1"/>
  </cols>
  <sheetData>
    <row r="1" spans="1:10" ht="17.399999999999999" x14ac:dyDescent="0.35">
      <c r="A1" s="1" t="s">
        <v>976</v>
      </c>
    </row>
    <row r="4" spans="1:10" ht="30" customHeight="1" x14ac:dyDescent="0.3">
      <c r="A4" s="2" t="s">
        <v>31</v>
      </c>
      <c r="B4" s="2" t="s">
        <v>977</v>
      </c>
      <c r="C4" s="2" t="s">
        <v>978</v>
      </c>
      <c r="D4" s="2" t="s">
        <v>979</v>
      </c>
      <c r="E4" s="2" t="s">
        <v>980</v>
      </c>
      <c r="F4" s="2" t="s">
        <v>981</v>
      </c>
      <c r="G4" s="2" t="s">
        <v>982</v>
      </c>
      <c r="H4" s="2" t="s">
        <v>983</v>
      </c>
      <c r="I4" s="2" t="s">
        <v>984</v>
      </c>
      <c r="J4" s="2" t="s">
        <v>985</v>
      </c>
    </row>
    <row r="5" spans="1:10" x14ac:dyDescent="0.3">
      <c r="A5" s="3" t="s">
        <v>42</v>
      </c>
      <c r="B5" s="15">
        <f>SUMIFS('Raw Orders'!$F$5:$F$899,'Raw Orders'!$B$5:$B$899,$A5,'Raw Orders'!$D$5:$D$899,"&lt;="&amp;DATE(2025,12,1))-SUMIFS('Raw Orders'!$F$5:$F$899,'Raw Orders'!$B$5:$B$899,$A5,'Raw Orders'!$I$5:$I$899,"&lt;="&amp;DATE(2025,12,1),'Raw Orders'!$J$5:$J$899,FALSE)</f>
        <v>392764300</v>
      </c>
      <c r="C5" s="15">
        <f>$B5*0.75*1</f>
        <v>294573225</v>
      </c>
      <c r="D5" s="15">
        <f>$B5*0.75*0.95</f>
        <v>279844563.75</v>
      </c>
      <c r="E5" s="15">
        <f>$B5*0.75*0.9</f>
        <v>265115902.5</v>
      </c>
      <c r="F5" s="15">
        <f>$B5*0.75*0.85</f>
        <v>250387241.25</v>
      </c>
      <c r="G5" s="15">
        <f>$B5*0.75*0.8</f>
        <v>235658580</v>
      </c>
      <c r="H5" s="15">
        <f>$B5*0.75*0.75</f>
        <v>220929918.75</v>
      </c>
      <c r="I5" s="15">
        <f>$B5*0.75*0.7</f>
        <v>206201257.5</v>
      </c>
      <c r="J5" s="15">
        <f>C5-I5</f>
        <v>88371967.5</v>
      </c>
    </row>
    <row r="6" spans="1:10" x14ac:dyDescent="0.3">
      <c r="A6" s="3" t="s">
        <v>56</v>
      </c>
      <c r="B6" s="15">
        <f>SUMIFS('Raw Orders'!$F$5:$F$899,'Raw Orders'!$B$5:$B$899,$A6,'Raw Orders'!$D$5:$D$899,"&lt;="&amp;DATE(2025,12,1))-SUMIFS('Raw Orders'!$F$5:$F$899,'Raw Orders'!$B$5:$B$899,$A6,'Raw Orders'!$I$5:$I$899,"&lt;="&amp;DATE(2025,12,1),'Raw Orders'!$J$5:$J$899,FALSE)</f>
        <v>102663100</v>
      </c>
      <c r="C6" s="15">
        <f>$B6*0.75*1</f>
        <v>76997325</v>
      </c>
      <c r="D6" s="15">
        <f>$B6*0.75*0.95</f>
        <v>73147458.75</v>
      </c>
      <c r="E6" s="15">
        <f>$B6*0.75*0.9</f>
        <v>69297592.5</v>
      </c>
      <c r="F6" s="15">
        <f>$B6*0.75*0.85</f>
        <v>65447726.25</v>
      </c>
      <c r="G6" s="15">
        <f>$B6*0.75*0.8</f>
        <v>61597860</v>
      </c>
      <c r="H6" s="15">
        <f>$B6*0.75*0.75</f>
        <v>57747993.75</v>
      </c>
      <c r="I6" s="15">
        <f>$B6*0.75*0.7</f>
        <v>53898127.5</v>
      </c>
      <c r="J6" s="15">
        <f>C6-I6</f>
        <v>23099197.5</v>
      </c>
    </row>
    <row r="7" spans="1:10" x14ac:dyDescent="0.3">
      <c r="A7" s="3" t="s">
        <v>65</v>
      </c>
      <c r="B7" s="15">
        <f>SUMIFS('Raw Orders'!$F$5:$F$899,'Raw Orders'!$B$5:$B$899,$A7,'Raw Orders'!$D$5:$D$899,"&lt;="&amp;DATE(2025,12,1))-SUMIFS('Raw Orders'!$F$5:$F$899,'Raw Orders'!$B$5:$B$899,$A7,'Raw Orders'!$I$5:$I$899,"&lt;="&amp;DATE(2025,12,1),'Raw Orders'!$J$5:$J$899,FALSE)</f>
        <v>53816600</v>
      </c>
      <c r="C7" s="15">
        <f>$B7*0.75*1</f>
        <v>40362450</v>
      </c>
      <c r="D7" s="15">
        <f>$B7*0.75*0.95</f>
        <v>38344327.5</v>
      </c>
      <c r="E7" s="15">
        <f>$B7*0.75*0.9</f>
        <v>36326205</v>
      </c>
      <c r="F7" s="15">
        <f>$B7*0.75*0.85</f>
        <v>34308082.5</v>
      </c>
      <c r="G7" s="15">
        <f>$B7*0.75*0.8</f>
        <v>32289960</v>
      </c>
      <c r="H7" s="15">
        <f>$B7*0.75*0.75</f>
        <v>30271837.5</v>
      </c>
      <c r="I7" s="15">
        <f>$B7*0.75*0.7</f>
        <v>28253715</v>
      </c>
      <c r="J7" s="15">
        <f>C7-I7</f>
        <v>12108735</v>
      </c>
    </row>
    <row r="8" spans="1:10" x14ac:dyDescent="0.3">
      <c r="A8" s="3" t="s">
        <v>72</v>
      </c>
      <c r="B8" s="15">
        <f>SUMIFS('Raw Orders'!$F$5:$F$899,'Raw Orders'!$B$5:$B$899,$A8,'Raw Orders'!$D$5:$D$899,"&lt;="&amp;DATE(2025,12,1))-SUMIFS('Raw Orders'!$F$5:$F$899,'Raw Orders'!$B$5:$B$899,$A8,'Raw Orders'!$I$5:$I$899,"&lt;="&amp;DATE(2025,12,1),'Raw Orders'!$J$5:$J$899,FALSE)</f>
        <v>32271500</v>
      </c>
      <c r="C8" s="15">
        <f>$B8*0.75*1</f>
        <v>24203625</v>
      </c>
      <c r="D8" s="15">
        <f>$B8*0.75*0.95</f>
        <v>22993443.75</v>
      </c>
      <c r="E8" s="15">
        <f>$B8*0.75*0.9</f>
        <v>21783262.5</v>
      </c>
      <c r="F8" s="15">
        <f>$B8*0.75*0.85</f>
        <v>20573081.25</v>
      </c>
      <c r="G8" s="15">
        <f>$B8*0.75*0.8</f>
        <v>19362900</v>
      </c>
      <c r="H8" s="15">
        <f>$B8*0.75*0.75</f>
        <v>18152718.75</v>
      </c>
      <c r="I8" s="15">
        <f>$B8*0.75*0.7</f>
        <v>16942537.5</v>
      </c>
      <c r="J8" s="15">
        <f>C8-I8</f>
        <v>7261087.5</v>
      </c>
    </row>
    <row r="9" spans="1:10" x14ac:dyDescent="0.3">
      <c r="A9" s="8" t="s">
        <v>986</v>
      </c>
      <c r="B9" s="19">
        <f t="shared" ref="B9:J9" si="0">SUM(B5:B8)</f>
        <v>581515500</v>
      </c>
      <c r="C9" s="19">
        <f t="shared" si="0"/>
        <v>436136625</v>
      </c>
      <c r="D9" s="19">
        <f t="shared" si="0"/>
        <v>414329793.75</v>
      </c>
      <c r="E9" s="19">
        <f t="shared" si="0"/>
        <v>392522962.5</v>
      </c>
      <c r="F9" s="19">
        <f t="shared" si="0"/>
        <v>370716131.25</v>
      </c>
      <c r="G9" s="19">
        <f t="shared" si="0"/>
        <v>348909300</v>
      </c>
      <c r="H9" s="19">
        <f t="shared" si="0"/>
        <v>327102468.75</v>
      </c>
      <c r="I9" s="19">
        <f t="shared" si="0"/>
        <v>305295637.5</v>
      </c>
      <c r="J9" s="19">
        <f t="shared" si="0"/>
        <v>130840987.5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9"/>
  <sheetViews>
    <sheetView showGridLines="0" workbookViewId="0"/>
  </sheetViews>
  <sheetFormatPr defaultRowHeight="14.4" x14ac:dyDescent="0.3"/>
  <cols>
    <col min="1" max="1" width="12" customWidth="1"/>
    <col min="2" max="3" width="18" customWidth="1"/>
    <col min="4" max="4" width="17" customWidth="1"/>
    <col min="5" max="6" width="14" customWidth="1"/>
    <col min="7" max="7" width="12" customWidth="1"/>
    <col min="8" max="9" width="15" customWidth="1"/>
    <col min="10" max="10" width="12" customWidth="1"/>
  </cols>
  <sheetData>
    <row r="1" spans="1:10" ht="17.399999999999999" x14ac:dyDescent="0.35">
      <c r="A1" s="1" t="s">
        <v>987</v>
      </c>
    </row>
    <row r="3" spans="1:10" x14ac:dyDescent="0.3">
      <c r="H3" s="13"/>
    </row>
    <row r="4" spans="1:10" ht="30" customHeight="1" x14ac:dyDescent="0.3">
      <c r="A4" s="2" t="s">
        <v>951</v>
      </c>
      <c r="B4" s="2" t="s">
        <v>988</v>
      </c>
      <c r="C4" s="2" t="s">
        <v>989</v>
      </c>
      <c r="D4" s="2" t="s">
        <v>990</v>
      </c>
      <c r="E4" s="2" t="s">
        <v>991</v>
      </c>
      <c r="F4" s="2" t="s">
        <v>992</v>
      </c>
      <c r="G4" s="2" t="s">
        <v>993</v>
      </c>
      <c r="H4" s="2" t="s">
        <v>994</v>
      </c>
      <c r="I4" s="2" t="s">
        <v>995</v>
      </c>
      <c r="J4" s="2" t="s">
        <v>996</v>
      </c>
    </row>
    <row r="5" spans="1:10" x14ac:dyDescent="0.3">
      <c r="A5" s="14">
        <v>46023</v>
      </c>
      <c r="B5" s="15">
        <v>49591087.5</v>
      </c>
      <c r="C5" s="15">
        <v>0</v>
      </c>
      <c r="D5" s="15">
        <v>49591087.5</v>
      </c>
      <c r="E5" s="15">
        <v>40679235</v>
      </c>
      <c r="F5" s="15">
        <v>56987692.5</v>
      </c>
      <c r="G5" s="15">
        <f t="shared" ref="G5:G16" si="0">F5-E5</f>
        <v>16308457.5</v>
      </c>
      <c r="H5" s="15">
        <f>D5-'MC Calibration'!$C$59*G5</f>
        <v>37609441.738168418</v>
      </c>
      <c r="I5" s="15">
        <f>D5+'MC Calibration'!$C$59*G5</f>
        <v>61572733.261831582</v>
      </c>
      <c r="J5" s="18">
        <f t="shared" ref="J5:J16" si="1">IF(D5=0,"",B5/D5)</f>
        <v>1</v>
      </c>
    </row>
    <row r="6" spans="1:10" x14ac:dyDescent="0.3">
      <c r="A6" s="14">
        <v>46054</v>
      </c>
      <c r="B6" s="15">
        <v>44885737.5</v>
      </c>
      <c r="C6" s="15">
        <v>0</v>
      </c>
      <c r="D6" s="15">
        <v>44885737.5</v>
      </c>
      <c r="E6" s="15">
        <v>36452617.5</v>
      </c>
      <c r="F6" s="15">
        <v>53786407.5</v>
      </c>
      <c r="G6" s="15">
        <f t="shared" si="0"/>
        <v>17333790</v>
      </c>
      <c r="H6" s="15">
        <f>D6-'MC Calibration'!$C$59*G6</f>
        <v>32150791.139194347</v>
      </c>
      <c r="I6" s="15">
        <f>D6+'MC Calibration'!$C$59*G6</f>
        <v>57620683.860805653</v>
      </c>
      <c r="J6" s="18">
        <f t="shared" si="1"/>
        <v>1</v>
      </c>
    </row>
    <row r="7" spans="1:10" x14ac:dyDescent="0.3">
      <c r="A7" s="14">
        <v>46082</v>
      </c>
      <c r="B7" s="15">
        <v>44395312.5</v>
      </c>
      <c r="C7" s="15">
        <v>0</v>
      </c>
      <c r="D7" s="15">
        <v>44395312.5</v>
      </c>
      <c r="E7" s="15">
        <v>36327510</v>
      </c>
      <c r="F7" s="15">
        <v>53136007.5</v>
      </c>
      <c r="G7" s="15">
        <f t="shared" si="0"/>
        <v>16808497.5</v>
      </c>
      <c r="H7" s="15">
        <f>D7-'MC Calibration'!$C$59*G7</f>
        <v>32046292.80677446</v>
      </c>
      <c r="I7" s="15">
        <f>D7+'MC Calibration'!$C$59*G7</f>
        <v>56744332.19322554</v>
      </c>
      <c r="J7" s="18">
        <f t="shared" si="1"/>
        <v>1</v>
      </c>
    </row>
    <row r="8" spans="1:10" x14ac:dyDescent="0.3">
      <c r="A8" s="14">
        <v>46113</v>
      </c>
      <c r="B8" s="15">
        <v>42483750</v>
      </c>
      <c r="C8" s="15">
        <v>0</v>
      </c>
      <c r="D8" s="15">
        <v>42483750</v>
      </c>
      <c r="E8" s="15">
        <v>34615867.5</v>
      </c>
      <c r="F8" s="15">
        <v>51454995</v>
      </c>
      <c r="G8" s="15">
        <f t="shared" si="0"/>
        <v>16839127.5</v>
      </c>
      <c r="H8" s="15">
        <f>D8-'MC Calibration'!$C$59*G8</f>
        <v>30112226.78001941</v>
      </c>
      <c r="I8" s="15">
        <f>D8+'MC Calibration'!$C$59*G8</f>
        <v>54855273.21998059</v>
      </c>
      <c r="J8" s="18">
        <f t="shared" si="1"/>
        <v>1</v>
      </c>
    </row>
    <row r="9" spans="1:10" x14ac:dyDescent="0.3">
      <c r="A9" s="14">
        <v>46143</v>
      </c>
      <c r="B9" s="15">
        <v>43696425</v>
      </c>
      <c r="C9" s="15">
        <v>0</v>
      </c>
      <c r="D9" s="15">
        <v>43696425</v>
      </c>
      <c r="E9" s="15">
        <v>36090667.5</v>
      </c>
      <c r="F9" s="15">
        <v>51870307.5</v>
      </c>
      <c r="G9" s="15">
        <f t="shared" si="0"/>
        <v>15779640</v>
      </c>
      <c r="H9" s="15">
        <f>D9-'MC Calibration'!$C$59*G9</f>
        <v>32103295.684782535</v>
      </c>
      <c r="I9" s="15">
        <f>D9+'MC Calibration'!$C$59*G9</f>
        <v>55289554.315217465</v>
      </c>
      <c r="J9" s="18">
        <f t="shared" si="1"/>
        <v>1</v>
      </c>
    </row>
    <row r="10" spans="1:10" x14ac:dyDescent="0.3">
      <c r="A10" s="14">
        <v>46174</v>
      </c>
      <c r="B10" s="15">
        <v>33939300</v>
      </c>
      <c r="C10" s="15">
        <v>4646400</v>
      </c>
      <c r="D10" s="15">
        <v>38992950</v>
      </c>
      <c r="E10" s="15">
        <v>30726855</v>
      </c>
      <c r="F10" s="15">
        <v>47797207.5</v>
      </c>
      <c r="G10" s="15">
        <f t="shared" si="0"/>
        <v>17070352.5</v>
      </c>
      <c r="H10" s="15">
        <f>D10-'MC Calibration'!$C$59*G10</f>
        <v>26451548.295725018</v>
      </c>
      <c r="I10" s="15">
        <f>D10+'MC Calibration'!$C$59*G10</f>
        <v>51534351.704274982</v>
      </c>
      <c r="J10" s="18">
        <f t="shared" si="1"/>
        <v>0.87039580231811131</v>
      </c>
    </row>
    <row r="11" spans="1:10" x14ac:dyDescent="0.3">
      <c r="A11" s="14">
        <v>46204</v>
      </c>
      <c r="B11" s="15">
        <v>31826587.5</v>
      </c>
      <c r="C11" s="15">
        <v>9875850</v>
      </c>
      <c r="D11" s="15">
        <v>42376162.5</v>
      </c>
      <c r="E11" s="15">
        <v>33818167.5</v>
      </c>
      <c r="F11" s="15">
        <v>52233172.5</v>
      </c>
      <c r="G11" s="15">
        <f t="shared" si="0"/>
        <v>18415005</v>
      </c>
      <c r="H11" s="15">
        <f>D11-'MC Calibration'!$C$59*G11</f>
        <v>28846859.277279064</v>
      </c>
      <c r="I11" s="15">
        <f>D11+'MC Calibration'!$C$59*G11</f>
        <v>55905465.722720936</v>
      </c>
      <c r="J11" s="18">
        <f t="shared" si="1"/>
        <v>0.75104930749687393</v>
      </c>
    </row>
    <row r="12" spans="1:10" x14ac:dyDescent="0.3">
      <c r="A12" s="14">
        <v>46235</v>
      </c>
      <c r="B12" s="15">
        <v>28579650</v>
      </c>
      <c r="C12" s="15">
        <v>15342600</v>
      </c>
      <c r="D12" s="15">
        <v>44110500</v>
      </c>
      <c r="E12" s="15">
        <v>34724355</v>
      </c>
      <c r="F12" s="15">
        <v>54606562.5</v>
      </c>
      <c r="G12" s="15">
        <f t="shared" si="0"/>
        <v>19882207.5</v>
      </c>
      <c r="H12" s="15">
        <f>D12-'MC Calibration'!$C$59*G12</f>
        <v>29503259.111140274</v>
      </c>
      <c r="I12" s="15">
        <f>D12+'MC Calibration'!$C$59*G12</f>
        <v>58717740.888859726</v>
      </c>
      <c r="J12" s="18">
        <f t="shared" si="1"/>
        <v>0.64791036147855952</v>
      </c>
    </row>
    <row r="13" spans="1:10" x14ac:dyDescent="0.3">
      <c r="A13" s="14">
        <v>46266</v>
      </c>
      <c r="B13" s="15">
        <v>20480550</v>
      </c>
      <c r="C13" s="15">
        <v>22163100</v>
      </c>
      <c r="D13" s="15">
        <v>42939900</v>
      </c>
      <c r="E13" s="15">
        <v>33829170</v>
      </c>
      <c r="F13" s="15">
        <v>54049012.5</v>
      </c>
      <c r="G13" s="15">
        <f t="shared" si="0"/>
        <v>20219842.5</v>
      </c>
      <c r="H13" s="15">
        <f>D13-'MC Calibration'!$C$59*G13</f>
        <v>28084602.361027882</v>
      </c>
      <c r="I13" s="15">
        <f>D13+'MC Calibration'!$C$59*G13</f>
        <v>57795197.638972118</v>
      </c>
      <c r="J13" s="18">
        <f t="shared" si="1"/>
        <v>0.47695849314972788</v>
      </c>
    </row>
    <row r="14" spans="1:10" x14ac:dyDescent="0.3">
      <c r="A14" s="14">
        <v>46296</v>
      </c>
      <c r="B14" s="15">
        <v>23191800</v>
      </c>
      <c r="C14" s="15">
        <v>29705775</v>
      </c>
      <c r="D14" s="15">
        <v>53313900</v>
      </c>
      <c r="E14" s="15">
        <v>42231007.5</v>
      </c>
      <c r="F14" s="15">
        <v>65105280</v>
      </c>
      <c r="G14" s="15">
        <f t="shared" si="0"/>
        <v>22874272.5</v>
      </c>
      <c r="H14" s="15">
        <f>D14-'MC Calibration'!$C$59*G14</f>
        <v>36508421.606068157</v>
      </c>
      <c r="I14" s="15">
        <f>D14+'MC Calibration'!$C$59*G14</f>
        <v>70119378.393931836</v>
      </c>
      <c r="J14" s="18">
        <f t="shared" si="1"/>
        <v>0.43500475485755125</v>
      </c>
    </row>
    <row r="15" spans="1:10" x14ac:dyDescent="0.3">
      <c r="A15" s="14">
        <v>46327</v>
      </c>
      <c r="B15" s="15">
        <v>13112850</v>
      </c>
      <c r="C15" s="15">
        <v>34921650</v>
      </c>
      <c r="D15" s="15">
        <v>48703312.5</v>
      </c>
      <c r="E15" s="15">
        <v>37542637.5</v>
      </c>
      <c r="F15" s="15">
        <v>60936930</v>
      </c>
      <c r="G15" s="15">
        <f t="shared" si="0"/>
        <v>23394292.5</v>
      </c>
      <c r="H15" s="15">
        <f>D15-'MC Calibration'!$C$59*G15</f>
        <v>31515781.086702734</v>
      </c>
      <c r="I15" s="15">
        <f>D15+'MC Calibration'!$C$59*G15</f>
        <v>65890843.913297266</v>
      </c>
      <c r="J15" s="18">
        <f t="shared" si="1"/>
        <v>0.26923938695134958</v>
      </c>
    </row>
    <row r="16" spans="1:10" x14ac:dyDescent="0.3">
      <c r="A16" s="14">
        <v>46357</v>
      </c>
      <c r="B16" s="15">
        <v>6361875</v>
      </c>
      <c r="C16" s="15">
        <v>42880875</v>
      </c>
      <c r="D16" s="15">
        <v>49548375</v>
      </c>
      <c r="E16" s="15">
        <v>37257142.5</v>
      </c>
      <c r="F16" s="15">
        <v>62391517.5</v>
      </c>
      <c r="G16" s="15">
        <f t="shared" si="0"/>
        <v>25134375</v>
      </c>
      <c r="H16" s="15">
        <f>D16-'MC Calibration'!$C$59*G16</f>
        <v>31082423.962323036</v>
      </c>
      <c r="I16" s="15">
        <f>D16+'MC Calibration'!$C$59*G16</f>
        <v>68014326.03767696</v>
      </c>
      <c r="J16" s="18">
        <f t="shared" si="1"/>
        <v>0.12839724814385942</v>
      </c>
    </row>
    <row r="18" spans="1:8" x14ac:dyDescent="0.3">
      <c r="A18" s="26" t="s">
        <v>997</v>
      </c>
      <c r="B18" s="24"/>
      <c r="C18" s="24"/>
      <c r="D18" s="24"/>
      <c r="E18" s="24"/>
      <c r="F18" s="24"/>
      <c r="G18" s="24"/>
      <c r="H18" s="24"/>
    </row>
    <row r="19" spans="1:8" x14ac:dyDescent="0.3">
      <c r="A19" s="24"/>
      <c r="B19" s="24"/>
      <c r="C19" s="24"/>
      <c r="D19" s="24"/>
      <c r="E19" s="24"/>
      <c r="F19" s="24"/>
      <c r="G19" s="24"/>
      <c r="H19" s="24"/>
    </row>
  </sheetData>
  <mergeCells count="1">
    <mergeCell ref="A18:H19"/>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63"/>
  <sheetViews>
    <sheetView showGridLines="0" workbookViewId="0"/>
  </sheetViews>
  <sheetFormatPr defaultRowHeight="14.4" x14ac:dyDescent="0.3"/>
  <cols>
    <col min="1" max="2" width="12" customWidth="1"/>
    <col min="3" max="3" width="14" customWidth="1"/>
    <col min="4" max="6" width="13" customWidth="1"/>
    <col min="7" max="7" width="16" customWidth="1"/>
    <col min="8" max="8" width="10" customWidth="1"/>
    <col min="9" max="9" width="14" customWidth="1"/>
    <col min="10" max="11" width="15" customWidth="1"/>
    <col min="12" max="12" width="16" customWidth="1"/>
  </cols>
  <sheetData>
    <row r="1" spans="1:12" ht="17.399999999999999" x14ac:dyDescent="0.35">
      <c r="A1" s="1" t="s">
        <v>998</v>
      </c>
    </row>
    <row r="3" spans="1:12" x14ac:dyDescent="0.3">
      <c r="H3" s="13"/>
    </row>
    <row r="4" spans="1:12" ht="30" customHeight="1" x14ac:dyDescent="0.3">
      <c r="A4" s="2" t="s">
        <v>999</v>
      </c>
      <c r="B4" s="2" t="s">
        <v>951</v>
      </c>
      <c r="C4" s="2" t="s">
        <v>1000</v>
      </c>
      <c r="D4" s="2" t="s">
        <v>961</v>
      </c>
      <c r="E4" s="2" t="s">
        <v>1001</v>
      </c>
      <c r="F4" s="2" t="s">
        <v>963</v>
      </c>
      <c r="G4" s="2" t="s">
        <v>1002</v>
      </c>
      <c r="H4" s="2" t="s">
        <v>1003</v>
      </c>
      <c r="I4" s="2" t="s">
        <v>1004</v>
      </c>
      <c r="J4" s="2" t="s">
        <v>994</v>
      </c>
      <c r="K4" s="2" t="s">
        <v>995</v>
      </c>
      <c r="L4" s="2" t="s">
        <v>1005</v>
      </c>
    </row>
    <row r="5" spans="1:12" x14ac:dyDescent="0.3">
      <c r="A5" s="14">
        <v>45566</v>
      </c>
      <c r="B5" s="14">
        <v>45597</v>
      </c>
      <c r="C5" s="15">
        <v>24372750</v>
      </c>
      <c r="D5" s="15">
        <v>17841652.5</v>
      </c>
      <c r="E5" s="15">
        <v>23064937.5</v>
      </c>
      <c r="F5" s="15">
        <v>28510792.5</v>
      </c>
      <c r="G5" s="15">
        <f t="shared" ref="G5:G52" si="0">F5-D5</f>
        <v>10669140</v>
      </c>
      <c r="H5" s="20">
        <f t="shared" ref="H5:H52" si="1">IF(G5=0,"",ABS(C5-E5)/G5)</f>
        <v>0.12257899886963711</v>
      </c>
      <c r="I5" s="4">
        <f t="shared" ref="I5:I52" si="2">IF(AND(C5&gt;=D5,C5&lt;=F5),1,0)</f>
        <v>1</v>
      </c>
      <c r="J5" s="15">
        <f t="shared" ref="J5:J52" si="3">E5-$C$59*G5</f>
        <v>15226436.767273571</v>
      </c>
      <c r="K5" s="15">
        <f t="shared" ref="K5:K52" si="4">E5+$C$59*G5</f>
        <v>30903438.232726429</v>
      </c>
      <c r="L5" s="4">
        <f t="shared" ref="L5:L52" si="5">IF(AND(C5&gt;=J5,C5&lt;=K5),1,0)</f>
        <v>1</v>
      </c>
    </row>
    <row r="6" spans="1:12" x14ac:dyDescent="0.3">
      <c r="A6" s="14">
        <v>45566</v>
      </c>
      <c r="B6" s="14">
        <v>45627</v>
      </c>
      <c r="C6" s="15">
        <v>62948700</v>
      </c>
      <c r="D6" s="15">
        <v>40651725</v>
      </c>
      <c r="E6" s="15">
        <v>48180037.5</v>
      </c>
      <c r="F6" s="15">
        <v>57033450</v>
      </c>
      <c r="G6" s="15">
        <f t="shared" si="0"/>
        <v>16381725</v>
      </c>
      <c r="H6" s="20">
        <f t="shared" si="1"/>
        <v>0.90153280561113069</v>
      </c>
      <c r="I6" s="4">
        <f t="shared" si="2"/>
        <v>0</v>
      </c>
      <c r="J6" s="15">
        <f t="shared" si="3"/>
        <v>36144562.905438222</v>
      </c>
      <c r="K6" s="15">
        <f t="shared" si="4"/>
        <v>60215512.094561778</v>
      </c>
      <c r="L6" s="4">
        <f t="shared" si="5"/>
        <v>0</v>
      </c>
    </row>
    <row r="7" spans="1:12" x14ac:dyDescent="0.3">
      <c r="A7" s="14">
        <v>45566</v>
      </c>
      <c r="B7" s="14">
        <v>45658</v>
      </c>
      <c r="C7" s="15">
        <v>47153175</v>
      </c>
      <c r="D7" s="15">
        <v>33080992.5</v>
      </c>
      <c r="E7" s="15">
        <v>41310037.5</v>
      </c>
      <c r="F7" s="15">
        <v>49993155</v>
      </c>
      <c r="G7" s="15">
        <f t="shared" si="0"/>
        <v>16912162.5</v>
      </c>
      <c r="H7" s="20">
        <f t="shared" si="1"/>
        <v>0.34549913412906247</v>
      </c>
      <c r="I7" s="4">
        <f t="shared" si="2"/>
        <v>1</v>
      </c>
      <c r="J7" s="15">
        <f t="shared" si="3"/>
        <v>28884856.262502093</v>
      </c>
      <c r="K7" s="15">
        <f t="shared" si="4"/>
        <v>53735218.737497911</v>
      </c>
      <c r="L7" s="4">
        <f t="shared" si="5"/>
        <v>1</v>
      </c>
    </row>
    <row r="8" spans="1:12" x14ac:dyDescent="0.3">
      <c r="A8" s="14">
        <v>45566</v>
      </c>
      <c r="B8" s="14">
        <v>45689</v>
      </c>
      <c r="C8" s="15">
        <v>27409275</v>
      </c>
      <c r="D8" s="15">
        <v>29333145</v>
      </c>
      <c r="E8" s="15">
        <v>37101600</v>
      </c>
      <c r="F8" s="15">
        <v>45552187.5</v>
      </c>
      <c r="G8" s="15">
        <f t="shared" si="0"/>
        <v>16219042.5</v>
      </c>
      <c r="H8" s="20">
        <f t="shared" si="1"/>
        <v>0.59758922266835424</v>
      </c>
      <c r="I8" s="4">
        <f t="shared" si="2"/>
        <v>0</v>
      </c>
      <c r="J8" s="15">
        <f t="shared" si="3"/>
        <v>25185646.462941617</v>
      </c>
      <c r="K8" s="15">
        <f t="shared" si="4"/>
        <v>49017553.537058383</v>
      </c>
      <c r="L8" s="4">
        <f t="shared" si="5"/>
        <v>1</v>
      </c>
    </row>
    <row r="9" spans="1:12" x14ac:dyDescent="0.3">
      <c r="A9" s="14">
        <v>45566</v>
      </c>
      <c r="B9" s="14">
        <v>45717</v>
      </c>
      <c r="C9" s="15">
        <v>33574650</v>
      </c>
      <c r="D9" s="15">
        <v>28934055</v>
      </c>
      <c r="E9" s="15">
        <v>37067287.5</v>
      </c>
      <c r="F9" s="15">
        <v>45076260</v>
      </c>
      <c r="G9" s="15">
        <f t="shared" si="0"/>
        <v>16142205</v>
      </c>
      <c r="H9" s="20">
        <f t="shared" si="1"/>
        <v>0.21636681605765756</v>
      </c>
      <c r="I9" s="4">
        <f t="shared" si="2"/>
        <v>1</v>
      </c>
      <c r="J9" s="15">
        <f t="shared" si="3"/>
        <v>25207785.635714762</v>
      </c>
      <c r="K9" s="15">
        <f t="shared" si="4"/>
        <v>48926789.364285238</v>
      </c>
      <c r="L9" s="4">
        <f t="shared" si="5"/>
        <v>1</v>
      </c>
    </row>
    <row r="10" spans="1:12" x14ac:dyDescent="0.3">
      <c r="A10" s="14">
        <v>45566</v>
      </c>
      <c r="B10" s="14">
        <v>45748</v>
      </c>
      <c r="C10" s="15">
        <v>38260575</v>
      </c>
      <c r="D10" s="15">
        <v>28441185</v>
      </c>
      <c r="E10" s="15">
        <v>36378862.5</v>
      </c>
      <c r="F10" s="15">
        <v>44067472.5</v>
      </c>
      <c r="G10" s="15">
        <f t="shared" si="0"/>
        <v>15626287.5</v>
      </c>
      <c r="H10" s="20">
        <f t="shared" si="1"/>
        <v>0.12041967741858071</v>
      </c>
      <c r="I10" s="4">
        <f t="shared" si="2"/>
        <v>1</v>
      </c>
      <c r="J10" s="15">
        <f t="shared" si="3"/>
        <v>24898399.593098056</v>
      </c>
      <c r="K10" s="15">
        <f t="shared" si="4"/>
        <v>47859325.406901941</v>
      </c>
      <c r="L10" s="4">
        <f t="shared" si="5"/>
        <v>1</v>
      </c>
    </row>
    <row r="11" spans="1:12" x14ac:dyDescent="0.3">
      <c r="A11" s="14">
        <v>45597</v>
      </c>
      <c r="B11" s="14">
        <v>45627</v>
      </c>
      <c r="C11" s="15">
        <v>62948700</v>
      </c>
      <c r="D11" s="15">
        <v>37727775</v>
      </c>
      <c r="E11" s="15">
        <v>45966637.5</v>
      </c>
      <c r="F11" s="15">
        <v>53973705</v>
      </c>
      <c r="G11" s="15">
        <f t="shared" si="0"/>
        <v>16245930</v>
      </c>
      <c r="H11" s="20">
        <f t="shared" si="1"/>
        <v>1.0453118104042058</v>
      </c>
      <c r="I11" s="4">
        <f t="shared" si="2"/>
        <v>0</v>
      </c>
      <c r="J11" s="15">
        <f t="shared" si="3"/>
        <v>34030930.010097131</v>
      </c>
      <c r="K11" s="15">
        <f t="shared" si="4"/>
        <v>57902344.989902869</v>
      </c>
      <c r="L11" s="4">
        <f t="shared" si="5"/>
        <v>0</v>
      </c>
    </row>
    <row r="12" spans="1:12" x14ac:dyDescent="0.3">
      <c r="A12" s="14">
        <v>45597</v>
      </c>
      <c r="B12" s="14">
        <v>45658</v>
      </c>
      <c r="C12" s="15">
        <v>47153175</v>
      </c>
      <c r="D12" s="15">
        <v>31633807.5</v>
      </c>
      <c r="E12" s="15">
        <v>39948187.5</v>
      </c>
      <c r="F12" s="15">
        <v>49189237.5</v>
      </c>
      <c r="G12" s="15">
        <f t="shared" si="0"/>
        <v>17555430</v>
      </c>
      <c r="H12" s="20">
        <f t="shared" si="1"/>
        <v>0.41041361561636486</v>
      </c>
      <c r="I12" s="4">
        <f t="shared" si="2"/>
        <v>1</v>
      </c>
      <c r="J12" s="15">
        <f t="shared" si="3"/>
        <v>27050404.649805184</v>
      </c>
      <c r="K12" s="15">
        <f t="shared" si="4"/>
        <v>52845970.350194812</v>
      </c>
      <c r="L12" s="4">
        <f t="shared" si="5"/>
        <v>1</v>
      </c>
    </row>
    <row r="13" spans="1:12" x14ac:dyDescent="0.3">
      <c r="A13" s="14">
        <v>45597</v>
      </c>
      <c r="B13" s="14">
        <v>45689</v>
      </c>
      <c r="C13" s="15">
        <v>27409275</v>
      </c>
      <c r="D13" s="15">
        <v>28689847.5</v>
      </c>
      <c r="E13" s="15">
        <v>36095850</v>
      </c>
      <c r="F13" s="15">
        <v>44978940</v>
      </c>
      <c r="G13" s="15">
        <f t="shared" si="0"/>
        <v>16289092.5</v>
      </c>
      <c r="H13" s="20">
        <f t="shared" si="1"/>
        <v>0.53327556461478742</v>
      </c>
      <c r="I13" s="4">
        <f t="shared" si="2"/>
        <v>0</v>
      </c>
      <c r="J13" s="15">
        <f t="shared" si="3"/>
        <v>24128431.492350973</v>
      </c>
      <c r="K13" s="15">
        <f t="shared" si="4"/>
        <v>48063268.507649027</v>
      </c>
      <c r="L13" s="4">
        <f t="shared" si="5"/>
        <v>1</v>
      </c>
    </row>
    <row r="14" spans="1:12" x14ac:dyDescent="0.3">
      <c r="A14" s="14">
        <v>45597</v>
      </c>
      <c r="B14" s="14">
        <v>45717</v>
      </c>
      <c r="C14" s="15">
        <v>33574650</v>
      </c>
      <c r="D14" s="15">
        <v>29031157.5</v>
      </c>
      <c r="E14" s="15">
        <v>35989050</v>
      </c>
      <c r="F14" s="15">
        <v>44127112.5</v>
      </c>
      <c r="G14" s="15">
        <f t="shared" si="0"/>
        <v>15095955</v>
      </c>
      <c r="H14" s="20">
        <f t="shared" si="1"/>
        <v>0.15993688375462167</v>
      </c>
      <c r="I14" s="4">
        <f t="shared" si="2"/>
        <v>1</v>
      </c>
      <c r="J14" s="15">
        <f t="shared" si="3"/>
        <v>24898216.593679979</v>
      </c>
      <c r="K14" s="15">
        <f t="shared" si="4"/>
        <v>47079883.406320021</v>
      </c>
      <c r="L14" s="4">
        <f t="shared" si="5"/>
        <v>1</v>
      </c>
    </row>
    <row r="15" spans="1:12" x14ac:dyDescent="0.3">
      <c r="A15" s="14">
        <v>45597</v>
      </c>
      <c r="B15" s="14">
        <v>45748</v>
      </c>
      <c r="C15" s="15">
        <v>40594950</v>
      </c>
      <c r="D15" s="15">
        <v>29853772.5</v>
      </c>
      <c r="E15" s="15">
        <v>37588125</v>
      </c>
      <c r="F15" s="15">
        <v>45933922.5</v>
      </c>
      <c r="G15" s="15">
        <f t="shared" si="0"/>
        <v>16080150</v>
      </c>
      <c r="H15" s="20">
        <f t="shared" si="1"/>
        <v>0.18698986016921484</v>
      </c>
      <c r="I15" s="4">
        <f t="shared" si="2"/>
        <v>1</v>
      </c>
      <c r="J15" s="15">
        <f t="shared" si="3"/>
        <v>25774214.267049558</v>
      </c>
      <c r="K15" s="15">
        <f t="shared" si="4"/>
        <v>49402035.732950442</v>
      </c>
      <c r="L15" s="4">
        <f t="shared" si="5"/>
        <v>1</v>
      </c>
    </row>
    <row r="16" spans="1:12" x14ac:dyDescent="0.3">
      <c r="A16" s="14">
        <v>45597</v>
      </c>
      <c r="B16" s="14">
        <v>45778</v>
      </c>
      <c r="C16" s="15">
        <v>43752900</v>
      </c>
      <c r="D16" s="15">
        <v>28549785</v>
      </c>
      <c r="E16" s="15">
        <v>36192000</v>
      </c>
      <c r="F16" s="15">
        <v>44753002.5</v>
      </c>
      <c r="G16" s="15">
        <f t="shared" si="0"/>
        <v>16203217.5</v>
      </c>
      <c r="H16" s="20">
        <f t="shared" si="1"/>
        <v>0.46662954440992971</v>
      </c>
      <c r="I16" s="4">
        <f t="shared" si="2"/>
        <v>1</v>
      </c>
      <c r="J16" s="15">
        <f t="shared" si="3"/>
        <v>24287672.917753853</v>
      </c>
      <c r="K16" s="15">
        <f t="shared" si="4"/>
        <v>48096327.082246147</v>
      </c>
      <c r="L16" s="4">
        <f t="shared" si="5"/>
        <v>1</v>
      </c>
    </row>
    <row r="17" spans="1:12" x14ac:dyDescent="0.3">
      <c r="A17" s="14">
        <v>45627</v>
      </c>
      <c r="B17" s="14">
        <v>45658</v>
      </c>
      <c r="C17" s="15">
        <v>47153175</v>
      </c>
      <c r="D17" s="15">
        <v>25978725</v>
      </c>
      <c r="E17" s="15">
        <v>31837500</v>
      </c>
      <c r="F17" s="15">
        <v>39081030</v>
      </c>
      <c r="G17" s="15">
        <f t="shared" si="0"/>
        <v>13102305</v>
      </c>
      <c r="H17" s="20">
        <f t="shared" si="1"/>
        <v>1.1689298180739953</v>
      </c>
      <c r="I17" s="4">
        <f t="shared" si="2"/>
        <v>0</v>
      </c>
      <c r="J17" s="15">
        <f t="shared" si="3"/>
        <v>22211379.493295133</v>
      </c>
      <c r="K17" s="15">
        <f t="shared" si="4"/>
        <v>41463620.506704867</v>
      </c>
      <c r="L17" s="4">
        <f t="shared" si="5"/>
        <v>0</v>
      </c>
    </row>
    <row r="18" spans="1:12" x14ac:dyDescent="0.3">
      <c r="A18" s="14">
        <v>45627</v>
      </c>
      <c r="B18" s="14">
        <v>45689</v>
      </c>
      <c r="C18" s="15">
        <v>27409275</v>
      </c>
      <c r="D18" s="15">
        <v>26257755</v>
      </c>
      <c r="E18" s="15">
        <v>33336337.5</v>
      </c>
      <c r="F18" s="15">
        <v>41223465</v>
      </c>
      <c r="G18" s="15">
        <f t="shared" si="0"/>
        <v>14965710</v>
      </c>
      <c r="H18" s="20">
        <f t="shared" si="1"/>
        <v>0.39604285396416206</v>
      </c>
      <c r="I18" s="4">
        <f t="shared" si="2"/>
        <v>1</v>
      </c>
      <c r="J18" s="15">
        <f t="shared" si="3"/>
        <v>22341193.673902374</v>
      </c>
      <c r="K18" s="15">
        <f t="shared" si="4"/>
        <v>44331481.326097623</v>
      </c>
      <c r="L18" s="4">
        <f t="shared" si="5"/>
        <v>1</v>
      </c>
    </row>
    <row r="19" spans="1:12" x14ac:dyDescent="0.3">
      <c r="A19" s="14">
        <v>45627</v>
      </c>
      <c r="B19" s="14">
        <v>45717</v>
      </c>
      <c r="C19" s="15">
        <v>33574650</v>
      </c>
      <c r="D19" s="15">
        <v>27056190</v>
      </c>
      <c r="E19" s="15">
        <v>33464962.5</v>
      </c>
      <c r="F19" s="15">
        <v>40412895</v>
      </c>
      <c r="G19" s="15">
        <f t="shared" si="0"/>
        <v>13356705</v>
      </c>
      <c r="H19" s="20">
        <f t="shared" si="1"/>
        <v>8.2121675967238919E-3</v>
      </c>
      <c r="I19" s="4">
        <f t="shared" si="2"/>
        <v>1</v>
      </c>
      <c r="J19" s="15">
        <f t="shared" si="3"/>
        <v>23651937.089394204</v>
      </c>
      <c r="K19" s="15">
        <f t="shared" si="4"/>
        <v>43277987.910605796</v>
      </c>
      <c r="L19" s="4">
        <f t="shared" si="5"/>
        <v>1</v>
      </c>
    </row>
    <row r="20" spans="1:12" x14ac:dyDescent="0.3">
      <c r="A20" s="14">
        <v>45627</v>
      </c>
      <c r="B20" s="14">
        <v>45748</v>
      </c>
      <c r="C20" s="15">
        <v>40594950</v>
      </c>
      <c r="D20" s="15">
        <v>28593630</v>
      </c>
      <c r="E20" s="15">
        <v>35716500</v>
      </c>
      <c r="F20" s="15">
        <v>44161087.5</v>
      </c>
      <c r="G20" s="15">
        <f t="shared" si="0"/>
        <v>15567457.5</v>
      </c>
      <c r="H20" s="20">
        <f t="shared" si="1"/>
        <v>0.31337487190827407</v>
      </c>
      <c r="I20" s="4">
        <f t="shared" si="2"/>
        <v>1</v>
      </c>
      <c r="J20" s="15">
        <f t="shared" si="3"/>
        <v>24279258.852125145</v>
      </c>
      <c r="K20" s="15">
        <f t="shared" si="4"/>
        <v>47153741.147874855</v>
      </c>
      <c r="L20" s="4">
        <f t="shared" si="5"/>
        <v>1</v>
      </c>
    </row>
    <row r="21" spans="1:12" x14ac:dyDescent="0.3">
      <c r="A21" s="14">
        <v>45627</v>
      </c>
      <c r="B21" s="14">
        <v>45778</v>
      </c>
      <c r="C21" s="15">
        <v>46000125</v>
      </c>
      <c r="D21" s="15">
        <v>30474210</v>
      </c>
      <c r="E21" s="15">
        <v>37768087.5</v>
      </c>
      <c r="F21" s="15">
        <v>46397265</v>
      </c>
      <c r="G21" s="15">
        <f t="shared" si="0"/>
        <v>15923055</v>
      </c>
      <c r="H21" s="20">
        <f t="shared" si="1"/>
        <v>0.51698857411470345</v>
      </c>
      <c r="I21" s="4">
        <f t="shared" si="2"/>
        <v>1</v>
      </c>
      <c r="J21" s="15">
        <f t="shared" si="3"/>
        <v>26069592.749275647</v>
      </c>
      <c r="K21" s="15">
        <f t="shared" si="4"/>
        <v>49466582.250724353</v>
      </c>
      <c r="L21" s="4">
        <f t="shared" si="5"/>
        <v>1</v>
      </c>
    </row>
    <row r="22" spans="1:12" x14ac:dyDescent="0.3">
      <c r="A22" s="14">
        <v>45627</v>
      </c>
      <c r="B22" s="14">
        <v>45809</v>
      </c>
      <c r="C22" s="15">
        <v>29442225</v>
      </c>
      <c r="D22" s="15">
        <v>20636587.5</v>
      </c>
      <c r="E22" s="15">
        <v>27305962.5</v>
      </c>
      <c r="F22" s="15">
        <v>34251915</v>
      </c>
      <c r="G22" s="15">
        <f t="shared" si="0"/>
        <v>13615327.5</v>
      </c>
      <c r="H22" s="20">
        <f t="shared" si="1"/>
        <v>0.15690129378085102</v>
      </c>
      <c r="I22" s="4">
        <f t="shared" si="2"/>
        <v>1</v>
      </c>
      <c r="J22" s="15">
        <f t="shared" si="3"/>
        <v>17302929.960820623</v>
      </c>
      <c r="K22" s="15">
        <f t="shared" si="4"/>
        <v>37308995.039179377</v>
      </c>
      <c r="L22" s="4">
        <f t="shared" si="5"/>
        <v>1</v>
      </c>
    </row>
    <row r="23" spans="1:12" x14ac:dyDescent="0.3">
      <c r="A23" s="14">
        <v>45658</v>
      </c>
      <c r="B23" s="14">
        <v>45689</v>
      </c>
      <c r="C23" s="15">
        <v>27409275</v>
      </c>
      <c r="D23" s="15">
        <v>21924960</v>
      </c>
      <c r="E23" s="15">
        <v>27754012.5</v>
      </c>
      <c r="F23" s="15">
        <v>33383820</v>
      </c>
      <c r="G23" s="15">
        <f t="shared" si="0"/>
        <v>11458860</v>
      </c>
      <c r="H23" s="20">
        <f t="shared" si="1"/>
        <v>3.0084799011419985E-2</v>
      </c>
      <c r="I23" s="4">
        <f t="shared" si="2"/>
        <v>1</v>
      </c>
      <c r="J23" s="15">
        <f t="shared" si="3"/>
        <v>19335313.100966007</v>
      </c>
      <c r="K23" s="15">
        <f t="shared" si="4"/>
        <v>36172711.899033993</v>
      </c>
      <c r="L23" s="4">
        <f t="shared" si="5"/>
        <v>1</v>
      </c>
    </row>
    <row r="24" spans="1:12" x14ac:dyDescent="0.3">
      <c r="A24" s="14">
        <v>45658</v>
      </c>
      <c r="B24" s="14">
        <v>45717</v>
      </c>
      <c r="C24" s="15">
        <v>33574650</v>
      </c>
      <c r="D24" s="15">
        <v>24614865</v>
      </c>
      <c r="E24" s="15">
        <v>31265587.5</v>
      </c>
      <c r="F24" s="15">
        <v>38029987.5</v>
      </c>
      <c r="G24" s="15">
        <f t="shared" si="0"/>
        <v>13415122.5</v>
      </c>
      <c r="H24" s="20">
        <f t="shared" si="1"/>
        <v>0.17212384754593185</v>
      </c>
      <c r="I24" s="4">
        <f t="shared" si="2"/>
        <v>1</v>
      </c>
      <c r="J24" s="15">
        <f t="shared" si="3"/>
        <v>21409643.389615774</v>
      </c>
      <c r="K24" s="15">
        <f t="shared" si="4"/>
        <v>41121531.610384226</v>
      </c>
      <c r="L24" s="4">
        <f t="shared" si="5"/>
        <v>1</v>
      </c>
    </row>
    <row r="25" spans="1:12" x14ac:dyDescent="0.3">
      <c r="A25" s="14">
        <v>45658</v>
      </c>
      <c r="B25" s="14">
        <v>45748</v>
      </c>
      <c r="C25" s="15">
        <v>40594950</v>
      </c>
      <c r="D25" s="15">
        <v>26516122.5</v>
      </c>
      <c r="E25" s="15">
        <v>33777112.5</v>
      </c>
      <c r="F25" s="15">
        <v>41094532.5</v>
      </c>
      <c r="G25" s="15">
        <f t="shared" si="0"/>
        <v>14578410</v>
      </c>
      <c r="H25" s="20">
        <f t="shared" si="1"/>
        <v>0.4676667414347655</v>
      </c>
      <c r="I25" s="4">
        <f t="shared" si="2"/>
        <v>1</v>
      </c>
      <c r="J25" s="15">
        <f t="shared" si="3"/>
        <v>23066513.757553443</v>
      </c>
      <c r="K25" s="15">
        <f t="shared" si="4"/>
        <v>44487711.242446557</v>
      </c>
      <c r="L25" s="4">
        <f t="shared" si="5"/>
        <v>1</v>
      </c>
    </row>
    <row r="26" spans="1:12" x14ac:dyDescent="0.3">
      <c r="A26" s="14">
        <v>45658</v>
      </c>
      <c r="B26" s="14">
        <v>45778</v>
      </c>
      <c r="C26" s="15">
        <v>46000125</v>
      </c>
      <c r="D26" s="15">
        <v>30045285</v>
      </c>
      <c r="E26" s="15">
        <v>37087050</v>
      </c>
      <c r="F26" s="15">
        <v>45108255</v>
      </c>
      <c r="G26" s="15">
        <f t="shared" si="0"/>
        <v>15062970</v>
      </c>
      <c r="H26" s="20">
        <f t="shared" si="1"/>
        <v>0.59172095542910863</v>
      </c>
      <c r="I26" s="4">
        <f t="shared" si="2"/>
        <v>0</v>
      </c>
      <c r="J26" s="15">
        <f t="shared" si="3"/>
        <v>26020450.313236475</v>
      </c>
      <c r="K26" s="15">
        <f t="shared" si="4"/>
        <v>48153649.686763525</v>
      </c>
      <c r="L26" s="4">
        <f t="shared" si="5"/>
        <v>1</v>
      </c>
    </row>
    <row r="27" spans="1:12" x14ac:dyDescent="0.3">
      <c r="A27" s="14">
        <v>45658</v>
      </c>
      <c r="B27" s="14">
        <v>45809</v>
      </c>
      <c r="C27" s="15">
        <v>33264375</v>
      </c>
      <c r="D27" s="15">
        <v>23814157.5</v>
      </c>
      <c r="E27" s="15">
        <v>30038625</v>
      </c>
      <c r="F27" s="15">
        <v>36941805</v>
      </c>
      <c r="G27" s="15">
        <f t="shared" si="0"/>
        <v>13127647.5</v>
      </c>
      <c r="H27" s="20">
        <f t="shared" si="1"/>
        <v>0.24572186296135692</v>
      </c>
      <c r="I27" s="4">
        <f t="shared" si="2"/>
        <v>1</v>
      </c>
      <c r="J27" s="15">
        <f t="shared" si="3"/>
        <v>20393885.635091089</v>
      </c>
      <c r="K27" s="15">
        <f t="shared" si="4"/>
        <v>39683364.364908911</v>
      </c>
      <c r="L27" s="4">
        <f t="shared" si="5"/>
        <v>1</v>
      </c>
    </row>
    <row r="28" spans="1:12" x14ac:dyDescent="0.3">
      <c r="A28" s="14">
        <v>45658</v>
      </c>
      <c r="B28" s="14">
        <v>45839</v>
      </c>
      <c r="C28" s="15">
        <v>18862950</v>
      </c>
      <c r="D28" s="15">
        <v>15777517.5</v>
      </c>
      <c r="E28" s="15">
        <v>20808075</v>
      </c>
      <c r="F28" s="15">
        <v>26880255</v>
      </c>
      <c r="G28" s="15">
        <f t="shared" si="0"/>
        <v>11102737.5</v>
      </c>
      <c r="H28" s="20">
        <f t="shared" si="1"/>
        <v>0.17519328003566689</v>
      </c>
      <c r="I28" s="4">
        <f t="shared" si="2"/>
        <v>1</v>
      </c>
      <c r="J28" s="15">
        <f t="shared" si="3"/>
        <v>12651014.915586524</v>
      </c>
      <c r="K28" s="15">
        <f t="shared" si="4"/>
        <v>28965135.084413476</v>
      </c>
      <c r="L28" s="4">
        <f t="shared" si="5"/>
        <v>1</v>
      </c>
    </row>
    <row r="29" spans="1:12" x14ac:dyDescent="0.3">
      <c r="A29" s="14">
        <v>45689</v>
      </c>
      <c r="B29" s="14">
        <v>45717</v>
      </c>
      <c r="C29" s="15">
        <v>33574650</v>
      </c>
      <c r="D29" s="15">
        <v>22198312.5</v>
      </c>
      <c r="E29" s="15">
        <v>27493837.5</v>
      </c>
      <c r="F29" s="15">
        <v>33336300</v>
      </c>
      <c r="G29" s="15">
        <f t="shared" si="0"/>
        <v>11137987.5</v>
      </c>
      <c r="H29" s="20">
        <f t="shared" si="1"/>
        <v>0.54595253406416555</v>
      </c>
      <c r="I29" s="4">
        <f t="shared" si="2"/>
        <v>0</v>
      </c>
      <c r="J29" s="15">
        <f t="shared" si="3"/>
        <v>19310879.625246476</v>
      </c>
      <c r="K29" s="15">
        <f t="shared" si="4"/>
        <v>35676795.37475352</v>
      </c>
      <c r="L29" s="4">
        <f t="shared" si="5"/>
        <v>1</v>
      </c>
    </row>
    <row r="30" spans="1:12" x14ac:dyDescent="0.3">
      <c r="A30" s="14">
        <v>45689</v>
      </c>
      <c r="B30" s="14">
        <v>45748</v>
      </c>
      <c r="C30" s="15">
        <v>40594950</v>
      </c>
      <c r="D30" s="15">
        <v>25156657.5</v>
      </c>
      <c r="E30" s="15">
        <v>32091787.5</v>
      </c>
      <c r="F30" s="15">
        <v>38571810</v>
      </c>
      <c r="G30" s="15">
        <f t="shared" si="0"/>
        <v>13415152.5</v>
      </c>
      <c r="H30" s="20">
        <f t="shared" si="1"/>
        <v>0.63384762118805582</v>
      </c>
      <c r="I30" s="4">
        <f t="shared" si="2"/>
        <v>0</v>
      </c>
      <c r="J30" s="15">
        <f t="shared" si="3"/>
        <v>22235821.348943144</v>
      </c>
      <c r="K30" s="15">
        <f t="shared" si="4"/>
        <v>41947753.651056856</v>
      </c>
      <c r="L30" s="4">
        <f t="shared" si="5"/>
        <v>1</v>
      </c>
    </row>
    <row r="31" spans="1:12" x14ac:dyDescent="0.3">
      <c r="A31" s="14">
        <v>45689</v>
      </c>
      <c r="B31" s="14">
        <v>45778</v>
      </c>
      <c r="C31" s="15">
        <v>46000125</v>
      </c>
      <c r="D31" s="15">
        <v>28315335</v>
      </c>
      <c r="E31" s="15">
        <v>35177212.5</v>
      </c>
      <c r="F31" s="15">
        <v>43046617.5</v>
      </c>
      <c r="G31" s="15">
        <f t="shared" si="0"/>
        <v>14731282.5</v>
      </c>
      <c r="H31" s="20">
        <f t="shared" si="1"/>
        <v>0.73468908766090124</v>
      </c>
      <c r="I31" s="4">
        <f t="shared" si="2"/>
        <v>0</v>
      </c>
      <c r="J31" s="15">
        <f t="shared" si="3"/>
        <v>24354300</v>
      </c>
      <c r="K31" s="15">
        <f t="shared" si="4"/>
        <v>46000125</v>
      </c>
      <c r="L31" s="4">
        <f t="shared" si="5"/>
        <v>1</v>
      </c>
    </row>
    <row r="32" spans="1:12" x14ac:dyDescent="0.3">
      <c r="A32" s="14">
        <v>45689</v>
      </c>
      <c r="B32" s="14">
        <v>45809</v>
      </c>
      <c r="C32" s="15">
        <v>33264375</v>
      </c>
      <c r="D32" s="15">
        <v>23268787.5</v>
      </c>
      <c r="E32" s="15">
        <v>29235900</v>
      </c>
      <c r="F32" s="15">
        <v>36952725</v>
      </c>
      <c r="G32" s="15">
        <f t="shared" si="0"/>
        <v>13683937.5</v>
      </c>
      <c r="H32" s="20">
        <f t="shared" si="1"/>
        <v>0.29439443142735783</v>
      </c>
      <c r="I32" s="4">
        <f t="shared" si="2"/>
        <v>1</v>
      </c>
      <c r="J32" s="15">
        <f t="shared" si="3"/>
        <v>19182460.442516208</v>
      </c>
      <c r="K32" s="15">
        <f t="shared" si="4"/>
        <v>39289339.557483792</v>
      </c>
      <c r="L32" s="4">
        <f t="shared" si="5"/>
        <v>1</v>
      </c>
    </row>
    <row r="33" spans="1:12" x14ac:dyDescent="0.3">
      <c r="A33" s="14">
        <v>45689</v>
      </c>
      <c r="B33" s="14">
        <v>45839</v>
      </c>
      <c r="C33" s="15">
        <v>20562375</v>
      </c>
      <c r="D33" s="15">
        <v>19463512.5</v>
      </c>
      <c r="E33" s="15">
        <v>25433100</v>
      </c>
      <c r="F33" s="15">
        <v>32487937.5</v>
      </c>
      <c r="G33" s="15">
        <f t="shared" si="0"/>
        <v>13024425</v>
      </c>
      <c r="H33" s="20">
        <f t="shared" si="1"/>
        <v>0.37396852452219581</v>
      </c>
      <c r="I33" s="4">
        <f t="shared" si="2"/>
        <v>1</v>
      </c>
      <c r="J33" s="15">
        <f t="shared" si="3"/>
        <v>15864197.079442166</v>
      </c>
      <c r="K33" s="15">
        <f t="shared" si="4"/>
        <v>35002002.920557834</v>
      </c>
      <c r="L33" s="4">
        <f t="shared" si="5"/>
        <v>1</v>
      </c>
    </row>
    <row r="34" spans="1:12" x14ac:dyDescent="0.3">
      <c r="A34" s="14">
        <v>45689</v>
      </c>
      <c r="B34" s="14">
        <v>45870</v>
      </c>
      <c r="C34" s="15">
        <v>29800950</v>
      </c>
      <c r="D34" s="15">
        <v>20302935</v>
      </c>
      <c r="E34" s="15">
        <v>25421325</v>
      </c>
      <c r="F34" s="15">
        <v>31122877.5</v>
      </c>
      <c r="G34" s="15">
        <f t="shared" si="0"/>
        <v>10819942.5</v>
      </c>
      <c r="H34" s="20">
        <f t="shared" si="1"/>
        <v>0.40477340799177075</v>
      </c>
      <c r="I34" s="4">
        <f t="shared" si="2"/>
        <v>1</v>
      </c>
      <c r="J34" s="15">
        <f t="shared" si="3"/>
        <v>17472031.316131588</v>
      </c>
      <c r="K34" s="15">
        <f t="shared" si="4"/>
        <v>33370618.683868412</v>
      </c>
      <c r="L34" s="4">
        <f t="shared" si="5"/>
        <v>1</v>
      </c>
    </row>
    <row r="35" spans="1:12" x14ac:dyDescent="0.3">
      <c r="A35" s="14">
        <v>45717</v>
      </c>
      <c r="B35" s="14">
        <v>45748</v>
      </c>
      <c r="C35" s="15">
        <v>40594950</v>
      </c>
      <c r="D35" s="15">
        <v>21450300</v>
      </c>
      <c r="E35" s="15">
        <v>27398587.5</v>
      </c>
      <c r="F35" s="15">
        <v>33778575</v>
      </c>
      <c r="G35" s="15">
        <f t="shared" si="0"/>
        <v>12328275</v>
      </c>
      <c r="H35" s="20">
        <f t="shared" si="1"/>
        <v>1.0704143523728988</v>
      </c>
      <c r="I35" s="4">
        <f t="shared" si="2"/>
        <v>0</v>
      </c>
      <c r="J35" s="15">
        <f t="shared" si="3"/>
        <v>18341138.387817301</v>
      </c>
      <c r="K35" s="15">
        <f t="shared" si="4"/>
        <v>36456036.612182699</v>
      </c>
      <c r="L35" s="4">
        <f t="shared" si="5"/>
        <v>0</v>
      </c>
    </row>
    <row r="36" spans="1:12" x14ac:dyDescent="0.3">
      <c r="A36" s="14">
        <v>45717</v>
      </c>
      <c r="B36" s="14">
        <v>45778</v>
      </c>
      <c r="C36" s="15">
        <v>46000125</v>
      </c>
      <c r="D36" s="15">
        <v>26773380</v>
      </c>
      <c r="E36" s="15">
        <v>33777787.5</v>
      </c>
      <c r="F36" s="15">
        <v>41370457.5</v>
      </c>
      <c r="G36" s="15">
        <f t="shared" si="0"/>
        <v>14597077.5</v>
      </c>
      <c r="H36" s="20">
        <f t="shared" si="1"/>
        <v>0.83731401028733321</v>
      </c>
      <c r="I36" s="4">
        <f t="shared" si="2"/>
        <v>0</v>
      </c>
      <c r="J36" s="15">
        <f t="shared" si="3"/>
        <v>23053473.94900953</v>
      </c>
      <c r="K36" s="15">
        <f t="shared" si="4"/>
        <v>44502101.05099047</v>
      </c>
      <c r="L36" s="4">
        <f t="shared" si="5"/>
        <v>0</v>
      </c>
    </row>
    <row r="37" spans="1:12" x14ac:dyDescent="0.3">
      <c r="A37" s="14">
        <v>45717</v>
      </c>
      <c r="B37" s="14">
        <v>45809</v>
      </c>
      <c r="C37" s="15">
        <v>33264375</v>
      </c>
      <c r="D37" s="15">
        <v>22289557.5</v>
      </c>
      <c r="E37" s="15">
        <v>28244775</v>
      </c>
      <c r="F37" s="15">
        <v>35456512.5</v>
      </c>
      <c r="G37" s="15">
        <f t="shared" si="0"/>
        <v>13166955</v>
      </c>
      <c r="H37" s="20">
        <f t="shared" si="1"/>
        <v>0.38122709464716786</v>
      </c>
      <c r="I37" s="4">
        <f t="shared" si="2"/>
        <v>1</v>
      </c>
      <c r="J37" s="15">
        <f t="shared" si="3"/>
        <v>18571156.843777858</v>
      </c>
      <c r="K37" s="15">
        <f t="shared" si="4"/>
        <v>37918393.156222142</v>
      </c>
      <c r="L37" s="4">
        <f t="shared" si="5"/>
        <v>1</v>
      </c>
    </row>
    <row r="38" spans="1:12" x14ac:dyDescent="0.3">
      <c r="A38" s="14">
        <v>45717</v>
      </c>
      <c r="B38" s="14">
        <v>45839</v>
      </c>
      <c r="C38" s="15">
        <v>20562375</v>
      </c>
      <c r="D38" s="15">
        <v>19000372.5</v>
      </c>
      <c r="E38" s="15">
        <v>24939900</v>
      </c>
      <c r="F38" s="15">
        <v>31062915</v>
      </c>
      <c r="G38" s="15">
        <f t="shared" si="0"/>
        <v>12062542.5</v>
      </c>
      <c r="H38" s="20">
        <f t="shared" si="1"/>
        <v>0.36290234832333235</v>
      </c>
      <c r="I38" s="4">
        <f t="shared" si="2"/>
        <v>1</v>
      </c>
      <c r="J38" s="15">
        <f t="shared" si="3"/>
        <v>16077681.655804154</v>
      </c>
      <c r="K38" s="15">
        <f t="shared" si="4"/>
        <v>33802118.344195843</v>
      </c>
      <c r="L38" s="4">
        <f t="shared" si="5"/>
        <v>1</v>
      </c>
    </row>
    <row r="39" spans="1:12" x14ac:dyDescent="0.3">
      <c r="A39" s="14">
        <v>45717</v>
      </c>
      <c r="B39" s="14">
        <v>45870</v>
      </c>
      <c r="C39" s="15">
        <v>35341125</v>
      </c>
      <c r="D39" s="15">
        <v>23174625</v>
      </c>
      <c r="E39" s="15">
        <v>29246662.5</v>
      </c>
      <c r="F39" s="15">
        <v>35737845</v>
      </c>
      <c r="G39" s="15">
        <f t="shared" si="0"/>
        <v>12563220</v>
      </c>
      <c r="H39" s="20">
        <f t="shared" si="1"/>
        <v>0.48510354033440473</v>
      </c>
      <c r="I39" s="4">
        <f t="shared" si="2"/>
        <v>1</v>
      </c>
      <c r="J39" s="15">
        <f t="shared" si="3"/>
        <v>20016601.86011681</v>
      </c>
      <c r="K39" s="15">
        <f t="shared" si="4"/>
        <v>38476723.13988319</v>
      </c>
      <c r="L39" s="4">
        <f t="shared" si="5"/>
        <v>1</v>
      </c>
    </row>
    <row r="40" spans="1:12" x14ac:dyDescent="0.3">
      <c r="A40" s="14">
        <v>45717</v>
      </c>
      <c r="B40" s="14">
        <v>45901</v>
      </c>
      <c r="C40" s="15">
        <v>30403200</v>
      </c>
      <c r="D40" s="15">
        <v>19462192.5</v>
      </c>
      <c r="E40" s="15">
        <v>24709687.5</v>
      </c>
      <c r="F40" s="15">
        <v>31370152.5</v>
      </c>
      <c r="G40" s="15">
        <f t="shared" si="0"/>
        <v>11907960</v>
      </c>
      <c r="H40" s="20">
        <f t="shared" si="1"/>
        <v>0.47812660606854573</v>
      </c>
      <c r="I40" s="4">
        <f t="shared" si="2"/>
        <v>1</v>
      </c>
      <c r="J40" s="15">
        <f t="shared" si="3"/>
        <v>15961039.231697494</v>
      </c>
      <c r="K40" s="15">
        <f t="shared" si="4"/>
        <v>33458335.768302508</v>
      </c>
      <c r="L40" s="4">
        <f t="shared" si="5"/>
        <v>1</v>
      </c>
    </row>
    <row r="41" spans="1:12" x14ac:dyDescent="0.3">
      <c r="A41" s="14">
        <v>45748</v>
      </c>
      <c r="B41" s="14">
        <v>45778</v>
      </c>
      <c r="C41" s="15">
        <v>46000125</v>
      </c>
      <c r="D41" s="15">
        <v>23421547.5</v>
      </c>
      <c r="E41" s="15">
        <v>29222812.5</v>
      </c>
      <c r="F41" s="15">
        <v>35431057.5</v>
      </c>
      <c r="G41" s="15">
        <f t="shared" si="0"/>
        <v>12009510</v>
      </c>
      <c r="H41" s="20">
        <f t="shared" si="1"/>
        <v>1.3970022507163073</v>
      </c>
      <c r="I41" s="4">
        <f t="shared" si="2"/>
        <v>0</v>
      </c>
      <c r="J41" s="15">
        <f t="shared" si="3"/>
        <v>20399556.554845531</v>
      </c>
      <c r="K41" s="15">
        <f t="shared" si="4"/>
        <v>38046068.445154473</v>
      </c>
      <c r="L41" s="4">
        <f t="shared" si="5"/>
        <v>0</v>
      </c>
    </row>
    <row r="42" spans="1:12" x14ac:dyDescent="0.3">
      <c r="A42" s="14">
        <v>45748</v>
      </c>
      <c r="B42" s="14">
        <v>45809</v>
      </c>
      <c r="C42" s="15">
        <v>33264375</v>
      </c>
      <c r="D42" s="15">
        <v>20097262.5</v>
      </c>
      <c r="E42" s="15">
        <v>25966987.5</v>
      </c>
      <c r="F42" s="15">
        <v>31921912.5</v>
      </c>
      <c r="G42" s="15">
        <f t="shared" si="0"/>
        <v>11824650</v>
      </c>
      <c r="H42" s="20">
        <f t="shared" si="1"/>
        <v>0.61713348809478508</v>
      </c>
      <c r="I42" s="4">
        <f t="shared" si="2"/>
        <v>0</v>
      </c>
      <c r="J42" s="15">
        <f t="shared" si="3"/>
        <v>17279546.179590523</v>
      </c>
      <c r="K42" s="15">
        <f t="shared" si="4"/>
        <v>34654428.820409477</v>
      </c>
      <c r="L42" s="4">
        <f t="shared" si="5"/>
        <v>1</v>
      </c>
    </row>
    <row r="43" spans="1:12" x14ac:dyDescent="0.3">
      <c r="A43" s="14">
        <v>45748</v>
      </c>
      <c r="B43" s="14">
        <v>45839</v>
      </c>
      <c r="C43" s="15">
        <v>20562375</v>
      </c>
      <c r="D43" s="15">
        <v>17622067.5</v>
      </c>
      <c r="E43" s="15">
        <v>23413762.5</v>
      </c>
      <c r="F43" s="15">
        <v>29253255</v>
      </c>
      <c r="G43" s="15">
        <f t="shared" si="0"/>
        <v>11631187.5</v>
      </c>
      <c r="H43" s="20">
        <f t="shared" si="1"/>
        <v>0.24515016201054277</v>
      </c>
      <c r="I43" s="4">
        <f t="shared" si="2"/>
        <v>1</v>
      </c>
      <c r="J43" s="15">
        <f t="shared" si="3"/>
        <v>14868455.967212122</v>
      </c>
      <c r="K43" s="15">
        <f t="shared" si="4"/>
        <v>31959069.032787878</v>
      </c>
      <c r="L43" s="4">
        <f t="shared" si="5"/>
        <v>1</v>
      </c>
    </row>
    <row r="44" spans="1:12" x14ac:dyDescent="0.3">
      <c r="A44" s="14">
        <v>45748</v>
      </c>
      <c r="B44" s="14">
        <v>45870</v>
      </c>
      <c r="C44" s="15">
        <v>35341125</v>
      </c>
      <c r="D44" s="15">
        <v>22649340</v>
      </c>
      <c r="E44" s="15">
        <v>27918937.5</v>
      </c>
      <c r="F44" s="15">
        <v>33976980</v>
      </c>
      <c r="G44" s="15">
        <f t="shared" si="0"/>
        <v>11327640</v>
      </c>
      <c r="H44" s="20">
        <f t="shared" si="1"/>
        <v>0.65522805279828811</v>
      </c>
      <c r="I44" s="4">
        <f t="shared" si="2"/>
        <v>0</v>
      </c>
      <c r="J44" s="15">
        <f t="shared" si="3"/>
        <v>19596644.003048867</v>
      </c>
      <c r="K44" s="15">
        <f t="shared" si="4"/>
        <v>36241230.996951133</v>
      </c>
      <c r="L44" s="4">
        <f t="shared" si="5"/>
        <v>1</v>
      </c>
    </row>
    <row r="45" spans="1:12" x14ac:dyDescent="0.3">
      <c r="A45" s="14">
        <v>45748</v>
      </c>
      <c r="B45" s="14">
        <v>45901</v>
      </c>
      <c r="C45" s="15">
        <v>33752775</v>
      </c>
      <c r="D45" s="15">
        <v>22803232.5</v>
      </c>
      <c r="E45" s="15">
        <v>27791212.5</v>
      </c>
      <c r="F45" s="15">
        <v>33378322.5</v>
      </c>
      <c r="G45" s="15">
        <f t="shared" si="0"/>
        <v>10575090</v>
      </c>
      <c r="H45" s="20">
        <f t="shared" si="1"/>
        <v>0.56373633699571346</v>
      </c>
      <c r="I45" s="4">
        <f t="shared" si="2"/>
        <v>0</v>
      </c>
      <c r="J45" s="15">
        <f t="shared" si="3"/>
        <v>20021809.275968079</v>
      </c>
      <c r="K45" s="15">
        <f t="shared" si="4"/>
        <v>35560615.724031918</v>
      </c>
      <c r="L45" s="4">
        <f t="shared" si="5"/>
        <v>1</v>
      </c>
    </row>
    <row r="46" spans="1:12" x14ac:dyDescent="0.3">
      <c r="A46" s="14">
        <v>45748</v>
      </c>
      <c r="B46" s="14">
        <v>45931</v>
      </c>
      <c r="C46" s="15">
        <v>37732200</v>
      </c>
      <c r="D46" s="15">
        <v>25609215</v>
      </c>
      <c r="E46" s="15">
        <v>33279600</v>
      </c>
      <c r="F46" s="15">
        <v>40370077.5</v>
      </c>
      <c r="G46" s="15">
        <f t="shared" si="0"/>
        <v>14760862.5</v>
      </c>
      <c r="H46" s="20">
        <f t="shared" si="1"/>
        <v>0.30164903981728708</v>
      </c>
      <c r="I46" s="4">
        <f t="shared" si="2"/>
        <v>1</v>
      </c>
      <c r="J46" s="15">
        <f t="shared" si="3"/>
        <v>22434955.396786988</v>
      </c>
      <c r="K46" s="15">
        <f t="shared" si="4"/>
        <v>44124244.603213012</v>
      </c>
      <c r="L46" s="4">
        <f t="shared" si="5"/>
        <v>1</v>
      </c>
    </row>
    <row r="47" spans="1:12" x14ac:dyDescent="0.3">
      <c r="A47" s="14">
        <v>45778</v>
      </c>
      <c r="B47" s="14">
        <v>45809</v>
      </c>
      <c r="C47" s="15">
        <v>33264375</v>
      </c>
      <c r="D47" s="15">
        <v>16565932.5</v>
      </c>
      <c r="E47" s="15">
        <v>21295125</v>
      </c>
      <c r="F47" s="15">
        <v>26100105</v>
      </c>
      <c r="G47" s="15">
        <f t="shared" si="0"/>
        <v>9534172.5</v>
      </c>
      <c r="H47" s="20">
        <f t="shared" si="1"/>
        <v>1.2554052278789796</v>
      </c>
      <c r="I47" s="4">
        <f t="shared" si="2"/>
        <v>0</v>
      </c>
      <c r="J47" s="15">
        <f t="shared" si="3"/>
        <v>14290472.504373346</v>
      </c>
      <c r="K47" s="15">
        <f t="shared" si="4"/>
        <v>28299777.495626654</v>
      </c>
      <c r="L47" s="4">
        <f t="shared" si="5"/>
        <v>0</v>
      </c>
    </row>
    <row r="48" spans="1:12" x14ac:dyDescent="0.3">
      <c r="A48" s="14">
        <v>45778</v>
      </c>
      <c r="B48" s="14">
        <v>45839</v>
      </c>
      <c r="C48" s="15">
        <v>20562375</v>
      </c>
      <c r="D48" s="15">
        <v>16725810</v>
      </c>
      <c r="E48" s="15">
        <v>21753187.5</v>
      </c>
      <c r="F48" s="15">
        <v>27361980</v>
      </c>
      <c r="G48" s="15">
        <f t="shared" si="0"/>
        <v>10636170</v>
      </c>
      <c r="H48" s="20">
        <f t="shared" si="1"/>
        <v>0.11195876899297398</v>
      </c>
      <c r="I48" s="4">
        <f t="shared" si="2"/>
        <v>1</v>
      </c>
      <c r="J48" s="15">
        <f t="shared" si="3"/>
        <v>13938909.466493752</v>
      </c>
      <c r="K48" s="15">
        <f t="shared" si="4"/>
        <v>29567465.533506248</v>
      </c>
      <c r="L48" s="4">
        <f t="shared" si="5"/>
        <v>1</v>
      </c>
    </row>
    <row r="49" spans="1:12" x14ac:dyDescent="0.3">
      <c r="A49" s="14">
        <v>45778</v>
      </c>
      <c r="B49" s="14">
        <v>45870</v>
      </c>
      <c r="C49" s="15">
        <v>35341125</v>
      </c>
      <c r="D49" s="15">
        <v>21842542.5</v>
      </c>
      <c r="E49" s="15">
        <v>26652900</v>
      </c>
      <c r="F49" s="15">
        <v>32726122.5</v>
      </c>
      <c r="G49" s="15">
        <f t="shared" si="0"/>
        <v>10883580</v>
      </c>
      <c r="H49" s="20">
        <f t="shared" si="1"/>
        <v>0.79828742013197862</v>
      </c>
      <c r="I49" s="4">
        <f t="shared" si="2"/>
        <v>0</v>
      </c>
      <c r="J49" s="15">
        <f t="shared" si="3"/>
        <v>18656852.539315566</v>
      </c>
      <c r="K49" s="15">
        <f t="shared" si="4"/>
        <v>34648947.460684434</v>
      </c>
      <c r="L49" s="4">
        <f t="shared" si="5"/>
        <v>0</v>
      </c>
    </row>
    <row r="50" spans="1:12" x14ac:dyDescent="0.3">
      <c r="A50" s="14">
        <v>45778</v>
      </c>
      <c r="B50" s="14">
        <v>45901</v>
      </c>
      <c r="C50" s="15">
        <v>33752775</v>
      </c>
      <c r="D50" s="15">
        <v>22053000</v>
      </c>
      <c r="E50" s="15">
        <v>27257250</v>
      </c>
      <c r="F50" s="15">
        <v>32696925</v>
      </c>
      <c r="G50" s="15">
        <f t="shared" si="0"/>
        <v>10643925</v>
      </c>
      <c r="H50" s="20">
        <f t="shared" si="1"/>
        <v>0.61025655479534102</v>
      </c>
      <c r="I50" s="4">
        <f t="shared" si="2"/>
        <v>0</v>
      </c>
      <c r="J50" s="15">
        <f t="shared" si="3"/>
        <v>19437274.452618942</v>
      </c>
      <c r="K50" s="15">
        <f t="shared" si="4"/>
        <v>35077225.547381058</v>
      </c>
      <c r="L50" s="4">
        <f t="shared" si="5"/>
        <v>1</v>
      </c>
    </row>
    <row r="51" spans="1:12" x14ac:dyDescent="0.3">
      <c r="A51" s="14">
        <v>45778</v>
      </c>
      <c r="B51" s="14">
        <v>45931</v>
      </c>
      <c r="C51" s="15">
        <v>41012775</v>
      </c>
      <c r="D51" s="15">
        <v>27469102.5</v>
      </c>
      <c r="E51" s="15">
        <v>35379337.5</v>
      </c>
      <c r="F51" s="15">
        <v>42574222.5</v>
      </c>
      <c r="G51" s="15">
        <f t="shared" si="0"/>
        <v>15105120</v>
      </c>
      <c r="H51" s="20">
        <f t="shared" si="1"/>
        <v>0.37294887428898282</v>
      </c>
      <c r="I51" s="4">
        <f t="shared" si="2"/>
        <v>1</v>
      </c>
      <c r="J51" s="15">
        <f t="shared" si="3"/>
        <v>24281770.668191567</v>
      </c>
      <c r="K51" s="15">
        <f t="shared" si="4"/>
        <v>46476904.331808433</v>
      </c>
      <c r="L51" s="4">
        <f t="shared" si="5"/>
        <v>1</v>
      </c>
    </row>
    <row r="52" spans="1:12" x14ac:dyDescent="0.3">
      <c r="A52" s="14">
        <v>45778</v>
      </c>
      <c r="B52" s="14">
        <v>45962</v>
      </c>
      <c r="C52" s="15">
        <v>29260125</v>
      </c>
      <c r="D52" s="15">
        <v>25649332.5</v>
      </c>
      <c r="E52" s="15">
        <v>33013650</v>
      </c>
      <c r="F52" s="15">
        <v>41257185</v>
      </c>
      <c r="G52" s="15">
        <f t="shared" si="0"/>
        <v>15607852.5</v>
      </c>
      <c r="H52" s="20">
        <f t="shared" si="1"/>
        <v>0.24048952282192571</v>
      </c>
      <c r="I52" s="4">
        <f t="shared" si="2"/>
        <v>1</v>
      </c>
      <c r="J52" s="15">
        <f t="shared" si="3"/>
        <v>21546731.086429082</v>
      </c>
      <c r="K52" s="15">
        <f t="shared" si="4"/>
        <v>44480568.913570918</v>
      </c>
      <c r="L52" s="4">
        <f t="shared" si="5"/>
        <v>1</v>
      </c>
    </row>
    <row r="54" spans="1:12" x14ac:dyDescent="0.3">
      <c r="A54" s="7" t="s">
        <v>1006</v>
      </c>
    </row>
    <row r="55" spans="1:12" x14ac:dyDescent="0.3">
      <c r="A55" s="26" t="s">
        <v>1007</v>
      </c>
      <c r="B55" s="24"/>
      <c r="C55" s="24"/>
      <c r="D55" s="24"/>
      <c r="E55" s="24"/>
      <c r="F55" s="24"/>
      <c r="G55" s="24"/>
      <c r="H55" s="24"/>
    </row>
    <row r="57" spans="1:12" x14ac:dyDescent="0.3">
      <c r="A57" s="8" t="s">
        <v>1008</v>
      </c>
      <c r="C57" s="12">
        <f>COUNT(H5:H52)</f>
        <v>48</v>
      </c>
    </row>
    <row r="58" spans="1:12" x14ac:dyDescent="0.3">
      <c r="A58" s="8" t="s">
        <v>1009</v>
      </c>
      <c r="C58" s="12">
        <f>MIN(ROUNDUP((C57+1)*0.8,0),C57)</f>
        <v>40</v>
      </c>
    </row>
    <row r="59" spans="1:12" x14ac:dyDescent="0.3">
      <c r="A59" s="8" t="s">
        <v>1010</v>
      </c>
      <c r="C59" s="21">
        <f>SMALL(H5:H52,C58)</f>
        <v>0.73468908766090124</v>
      </c>
    </row>
    <row r="60" spans="1:12" x14ac:dyDescent="0.3">
      <c r="A60" s="8" t="s">
        <v>1011</v>
      </c>
      <c r="C60" s="9">
        <f>0.8</f>
        <v>0.8</v>
      </c>
    </row>
    <row r="61" spans="1:12" x14ac:dyDescent="0.3">
      <c r="A61" s="8" t="s">
        <v>1012</v>
      </c>
      <c r="C61" s="9">
        <f>AVERAGE(I5:I52)</f>
        <v>0.625</v>
      </c>
    </row>
    <row r="62" spans="1:12" x14ac:dyDescent="0.3">
      <c r="A62" s="8" t="s">
        <v>1013</v>
      </c>
      <c r="C62" s="9">
        <f>AVERAGE(L5:L52)</f>
        <v>0.83333333333333337</v>
      </c>
    </row>
    <row r="63" spans="1:12" x14ac:dyDescent="0.3">
      <c r="A63" s="8" t="s">
        <v>1014</v>
      </c>
      <c r="C63" s="22">
        <f>2*C59</f>
        <v>1.4693781753218025</v>
      </c>
    </row>
  </sheetData>
  <mergeCells count="1">
    <mergeCell ref="A55:H5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Raw Orders</vt:lpstr>
      <vt:lpstr>Engineered Orders</vt:lpstr>
      <vt:lpstr>Monthly by Region</vt:lpstr>
      <vt:lpstr>Slip by Market</vt:lpstr>
      <vt:lpstr>Region vs Market</vt:lpstr>
      <vt:lpstr>Lookback</vt:lpstr>
      <vt:lpstr>Commitment</vt:lpstr>
      <vt:lpstr>MC Forward</vt:lpstr>
      <vt:lpstr>MC Calibration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Meara</cp:lastModifiedBy>
  <dcterms:created xsi:type="dcterms:W3CDTF">2026-09-20T21:03:26Z</dcterms:created>
  <dcterms:modified xsi:type="dcterms:W3CDTF">2026-09-20T21:10:47Z</dcterms:modified>
</cp:coreProperties>
</file>