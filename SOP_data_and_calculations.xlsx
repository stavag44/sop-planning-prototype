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Raw Orders" sheetId="2" state="visible" r:id="rId2"/>
    <sheet xmlns:r="http://schemas.openxmlformats.org/officeDocument/2006/relationships" name="Engineered Orders" sheetId="3" state="visible" r:id="rId3"/>
    <sheet xmlns:r="http://schemas.openxmlformats.org/officeDocument/2006/relationships" name="Monthly by Region" sheetId="4" state="visible" r:id="rId4"/>
    <sheet xmlns:r="http://schemas.openxmlformats.org/officeDocument/2006/relationships" name="Slip by Market" sheetId="5" state="visible" r:id="rId5"/>
    <sheet xmlns:r="http://schemas.openxmlformats.org/officeDocument/2006/relationships" name="Region vs Market" sheetId="6" state="visible" r:id="rId6"/>
    <sheet xmlns:r="http://schemas.openxmlformats.org/officeDocument/2006/relationships" name="Lookback" sheetId="7" state="visible" r:id="rId7"/>
    <sheet xmlns:r="http://schemas.openxmlformats.org/officeDocument/2006/relationships" name="Commitment" sheetId="8" state="visible" r:id="rId8"/>
    <sheet xmlns:r="http://schemas.openxmlformats.org/officeDocument/2006/relationships" name="MC Forward" sheetId="9" state="visible" r:id="rId9"/>
    <sheet xmlns:r="http://schemas.openxmlformats.org/officeDocument/2006/relationships" name="MC Coverage" sheetId="10" state="visible" r:id="rId10"/>
  </sheets>
  <definedNames/>
  <calcPr calcId="124519" fullCalcOnLoad="1"/>
</workbook>
</file>

<file path=xl/styles.xml><?xml version="1.0" encoding="utf-8"?>
<styleSheet xmlns="http://schemas.openxmlformats.org/spreadsheetml/2006/main">
  <numFmts count="4">
    <numFmt numFmtId="164" formatCode="yyyy-mm-dd"/>
    <numFmt numFmtId="165" formatCode="#,##0.0"/>
    <numFmt numFmtId="166" formatCode="yyyy-mm"/>
    <numFmt numFmtId="167" formatCode="+0.00;-0.00"/>
  </numFmts>
  <fonts count="8">
    <font>
      <name val="Calibri"/>
      <family val="2"/>
      <color theme="1"/>
      <sz val="11"/>
      <scheme val="minor"/>
    </font>
    <font>
      <b val="1"/>
      <color rgb="00111827"/>
      <sz val="13"/>
    </font>
    <font>
      <i val="1"/>
      <color rgb="00B53A00"/>
      <sz val="10"/>
    </font>
    <font>
      <b val="1"/>
      <color rgb="00FFFFFF"/>
      <sz val="10"/>
    </font>
    <font>
      <b val="1"/>
      <sz val="10"/>
    </font>
    <font>
      <b val="1"/>
      <color rgb="00B53A00"/>
      <sz val="10"/>
    </font>
    <font>
      <b val="1"/>
      <color rgb="00FE5000"/>
      <sz val="10"/>
    </font>
    <font>
      <i val="1"/>
      <color rgb="00737373"/>
      <sz val="9"/>
    </font>
  </fonts>
  <fills count="3">
    <fill>
      <patternFill/>
    </fill>
    <fill>
      <patternFill patternType="gray125"/>
    </fill>
    <fill>
      <patternFill patternType="solid">
        <fgColor rgb="00111827"/>
      </patternFill>
    </fill>
  </fills>
  <borders count="2">
    <border>
      <left/>
      <right/>
      <top/>
      <bottom/>
      <diagonal/>
    </border>
    <border>
      <bottom style="thin">
        <color rgb="00D4D4D4"/>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horizontal="center" vertical="center" wrapText="1"/>
    </xf>
    <xf numFmtId="0" fontId="4" fillId="0" borderId="1" pivotButton="0" quotePrefix="0" xfId="0"/>
    <xf numFmtId="0" fontId="0" fillId="0" borderId="1" pivotButton="0" quotePrefix="0" xfId="0"/>
    <xf numFmtId="0" fontId="5" fillId="0" borderId="1" applyAlignment="1" pivotButton="0" quotePrefix="0" xfId="0">
      <alignment horizontal="center"/>
    </xf>
    <xf numFmtId="0" fontId="0" fillId="0" borderId="1" applyAlignment="1" pivotButton="0" quotePrefix="0" xfId="0">
      <alignment horizontal="center"/>
    </xf>
    <xf numFmtId="0" fontId="6" fillId="0" borderId="0" pivotButton="0" quotePrefix="0" xfId="0"/>
    <xf numFmtId="0" fontId="0" fillId="0" borderId="0" applyAlignment="1" pivotButton="0" quotePrefix="0" xfId="0">
      <alignment vertical="top" wrapText="1"/>
    </xf>
    <xf numFmtId="0" fontId="4" fillId="0" borderId="0" pivotButton="0" quotePrefix="0" xfId="0"/>
    <xf numFmtId="9" fontId="0" fillId="0" borderId="0" pivotButton="0" quotePrefix="0" xfId="0"/>
    <xf numFmtId="164" fontId="0" fillId="0" borderId="0" pivotButton="0" quotePrefix="0" xfId="0"/>
    <xf numFmtId="165" fontId="0" fillId="0" borderId="0" pivotButton="0" quotePrefix="0" xfId="0"/>
    <xf numFmtId="3" fontId="0" fillId="0" borderId="0" pivotButton="0" quotePrefix="0" xfId="0"/>
    <xf numFmtId="0" fontId="7" fillId="0" borderId="0" pivotButton="0" quotePrefix="0" xfId="0"/>
    <xf numFmtId="166" fontId="0" fillId="0" borderId="1" pivotButton="0" quotePrefix="0" xfId="0"/>
    <xf numFmtId="3" fontId="0" fillId="0" borderId="1" pivotButton="0" quotePrefix="0" xfId="0"/>
    <xf numFmtId="2" fontId="0" fillId="0" borderId="1" pivotButton="0" quotePrefix="0" xfId="0"/>
    <xf numFmtId="167" fontId="0" fillId="0" borderId="1" pivotButton="0" quotePrefix="0" xfId="0"/>
    <xf numFmtId="9" fontId="0" fillId="0" borderId="1" pivotButton="0" quotePrefix="0" xfId="0"/>
    <xf numFmtId="3"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22" customWidth="1" min="1" max="1"/>
    <col width="86" customWidth="1" min="2" max="2"/>
    <col width="15" customWidth="1" min="3" max="3"/>
  </cols>
  <sheetData>
    <row r="1">
      <c r="A1" s="1" t="inlineStr">
        <is>
          <t>S&amp;OP demand and material review - data and calculations</t>
        </is>
      </c>
    </row>
    <row r="3">
      <c r="A3" s="2" t="inlineStr">
        <is>
          <t>SYNTHETIC DATA. Region names and the North America revenue weighting come from public filings and public role titles. Every order, date and dollar figure is generated. This demonstrates a method and represents no company's actual business.</t>
        </is>
      </c>
    </row>
    <row r="4"/>
    <row r="5"/>
    <row r="7" ht="30" customHeight="1">
      <c r="A7" s="3" t="inlineStr">
        <is>
          <t>Tab</t>
        </is>
      </c>
      <c r="B7" s="3" t="inlineStr">
        <is>
          <t>What is on it</t>
        </is>
      </c>
      <c r="C7" s="3" t="inlineStr">
        <is>
          <t>Type</t>
        </is>
      </c>
    </row>
    <row r="8">
      <c r="A8" s="4" t="inlineStr">
        <is>
          <t>Raw Orders</t>
        </is>
      </c>
      <c r="B8" s="5" t="inlineStr">
        <is>
          <t>The order book as an ERP would extract it. Values only, one row per project.</t>
        </is>
      </c>
      <c r="C8" s="6" t="inlineStr">
        <is>
          <t>source</t>
        </is>
      </c>
    </row>
    <row r="9">
      <c r="A9" s="4" t="inlineStr">
        <is>
          <t>Engineered Orders</t>
        </is>
      </c>
      <c r="B9" s="5" t="inlineStr">
        <is>
          <t>Fields derived per order: material committed, slip, status, material at risk.</t>
        </is>
      </c>
      <c r="C9" s="7" t="inlineStr">
        <is>
          <t>formulas</t>
        </is>
      </c>
    </row>
    <row r="10">
      <c r="A10" s="4" t="inlineStr">
        <is>
          <t>Monthly by Region</t>
        </is>
      </c>
      <c r="B10" s="5" t="inlineStr">
        <is>
          <t>Bookings, conversions, backlog and book-to-bill by region and month.</t>
        </is>
      </c>
      <c r="C10" s="7" t="inlineStr">
        <is>
          <t>formulas</t>
        </is>
      </c>
    </row>
    <row r="11">
      <c r="A11" s="4" t="inlineStr">
        <is>
          <t>Slip by Market</t>
        </is>
      </c>
      <c r="B11" s="5" t="inlineStr">
        <is>
          <t>Schedule slip distribution per market, P10 / P50 / P90.</t>
        </is>
      </c>
      <c r="C11" s="7" t="inlineStr">
        <is>
          <t>formulas</t>
        </is>
      </c>
    </row>
    <row r="12">
      <c r="A12" s="4" t="inlineStr">
        <is>
          <t>Region vs Market</t>
        </is>
      </c>
      <c r="B12" s="5" t="inlineStr">
        <is>
          <t>Each market's P90 against its region's blended P90.</t>
        </is>
      </c>
      <c r="C12" s="7" t="inlineStr">
        <is>
          <t>formulas</t>
        </is>
      </c>
    </row>
    <row r="13">
      <c r="A13" s="4" t="inlineStr">
        <is>
          <t>Lookback</t>
        </is>
      </c>
      <c r="B13" s="5" t="inlineStr">
        <is>
          <t>Expected against actual conversion by region and month, with cumulative bias.</t>
        </is>
      </c>
      <c r="C13" s="7" t="inlineStr">
        <is>
          <t>formulas</t>
        </is>
      </c>
    </row>
    <row r="14">
      <c r="A14" s="4" t="inlineStr">
        <is>
          <t>Commitment</t>
        </is>
      </c>
      <c r="B14" s="5" t="inlineStr">
        <is>
          <t>Material committed against backlog at a range of realization assumptions.</t>
        </is>
      </c>
      <c r="C14" s="7" t="inlineStr">
        <is>
          <t>formulas</t>
        </is>
      </c>
    </row>
    <row r="15">
      <c r="A15" s="4" t="inlineStr">
        <is>
          <t>MC Forward</t>
        </is>
      </c>
      <c r="B15" s="5" t="inlineStr">
        <is>
          <t>Forward requirement by month. Simulated P10/P50/P90; spread and firm share are formulas.</t>
        </is>
      </c>
      <c r="C15" s="6" t="inlineStr">
        <is>
          <t>mixed</t>
        </is>
      </c>
    </row>
    <row r="16">
      <c r="A16" s="4" t="inlineStr">
        <is>
          <t>MC Coverage</t>
        </is>
      </c>
      <c r="B16" s="5" t="inlineStr">
        <is>
          <t>Walk-forward test. How often the stated interval contained the outcome, by months ahead.</t>
        </is>
      </c>
      <c r="C16" s="6" t="inlineStr">
        <is>
          <t>mixed</t>
        </is>
      </c>
    </row>
    <row r="19">
      <c r="A19" s="8" t="inlineStr">
        <is>
          <t>On the two model-output tabs</t>
        </is>
      </c>
    </row>
    <row r="20">
      <c r="A20" s="9" t="inlineStr">
        <is>
          <t>Excel reproduces every aggregate in this workbook, including the whole coverage test. The one thing it cannot reasonably do is run 4,000 simulations across the order book, so the P10/P50/P90 columns on the two MC tabs are simulated values. Everything derived from them is a formula. The scripts are in the same repository.</t>
        </is>
      </c>
    </row>
    <row r="21"/>
    <row r="22"/>
    <row r="24">
      <c r="A24" s="10" t="inlineStr">
        <is>
          <t>Material rate used throughout (from the case study)</t>
        </is>
      </c>
      <c r="C24" s="11" t="n">
        <v>0.5</v>
      </c>
    </row>
  </sheetData>
  <mergeCells count="2">
    <mergeCell ref="A20:F22"/>
    <mergeCell ref="A3: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52"/>
  <sheetViews>
    <sheetView showGridLines="0" workbookViewId="0">
      <pane ySplit="4" topLeftCell="A5" activePane="bottomLeft" state="frozen"/>
      <selection pane="bottomLeft" activeCell="A1" sqref="A1"/>
    </sheetView>
  </sheetViews>
  <sheetFormatPr baseColWidth="8" defaultRowHeight="15"/>
  <cols>
    <col width="12" customWidth="1" min="1" max="1"/>
    <col width="15" customWidth="1" min="2" max="2"/>
    <col width="15" customWidth="1" min="3" max="3"/>
    <col width="14" customWidth="1" min="4" max="4"/>
    <col width="9" customWidth="1" min="5" max="5"/>
    <col width="14" customWidth="1" min="6" max="6"/>
    <col width="11" customWidth="1" min="7" max="7"/>
    <col width="18" customWidth="1" min="8" max="8"/>
    <col width="18" customWidth="1" min="9" max="9"/>
    <col width="11" customWidth="1" min="10" max="10"/>
    <col width="12" customWidth="1" min="11" max="11"/>
  </cols>
  <sheetData>
    <row r="1">
      <c r="A1" s="1" t="inlineStr">
        <is>
          <t>Raw order book</t>
        </is>
      </c>
    </row>
    <row r="4" ht="30" customHeight="1">
      <c r="A4" s="3" t="inlineStr">
        <is>
          <t>order_id</t>
        </is>
      </c>
      <c r="B4" s="3" t="inlineStr">
        <is>
          <t>region</t>
        </is>
      </c>
      <c r="C4" s="3" t="inlineStr">
        <is>
          <t>market</t>
        </is>
      </c>
      <c r="D4" s="3" t="inlineStr">
        <is>
          <t>booked_month</t>
        </is>
      </c>
      <c r="E4" s="3" t="inlineStr">
        <is>
          <t>mw</t>
        </is>
      </c>
      <c r="F4" s="3" t="inlineStr">
        <is>
          <t>order_value</t>
        </is>
      </c>
      <c r="G4" s="3" t="inlineStr">
        <is>
          <t>promised_months</t>
        </is>
      </c>
      <c r="H4" s="3" t="inlineStr">
        <is>
          <t>expected_conversion</t>
        </is>
      </c>
      <c r="I4" s="3" t="inlineStr">
        <is>
          <t>actual_conversion</t>
        </is>
      </c>
      <c r="J4" s="3" t="inlineStr">
        <is>
          <t>cancelled</t>
        </is>
      </c>
      <c r="K4" s="3" t="inlineStr">
        <is>
          <t>slip_months</t>
        </is>
      </c>
    </row>
    <row r="5">
      <c r="A5" t="inlineStr">
        <is>
          <t>NX-00001</t>
        </is>
      </c>
      <c r="B5" t="inlineStr">
        <is>
          <t>North America</t>
        </is>
      </c>
      <c r="C5" t="inlineStr">
        <is>
          <t>US / Canada</t>
        </is>
      </c>
      <c r="D5" s="12" t="n">
        <v>45292</v>
      </c>
      <c r="E5" s="13" t="n">
        <v>31.5</v>
      </c>
      <c r="F5" s="14" t="n">
        <v>2614500</v>
      </c>
      <c r="G5" t="n">
        <v>16</v>
      </c>
      <c r="H5" s="12" t="n">
        <v>45778</v>
      </c>
      <c r="I5" s="12" t="n">
        <v>45809</v>
      </c>
      <c r="J5" t="b">
        <v>0</v>
      </c>
      <c r="K5" s="13" t="n">
        <v>0.9</v>
      </c>
    </row>
    <row r="6">
      <c r="A6" t="inlineStr">
        <is>
          <t>NX-00002</t>
        </is>
      </c>
      <c r="B6" t="inlineStr">
        <is>
          <t>North America</t>
        </is>
      </c>
      <c r="C6" t="inlineStr">
        <is>
          <t>US / Canada</t>
        </is>
      </c>
      <c r="D6" s="12" t="n">
        <v>45292</v>
      </c>
      <c r="E6" s="13" t="n">
        <v>24.9</v>
      </c>
      <c r="F6" s="14" t="n">
        <v>2066700</v>
      </c>
      <c r="G6" t="n">
        <v>15</v>
      </c>
      <c r="H6" s="12" t="n">
        <v>45748</v>
      </c>
      <c r="I6" s="12" t="n">
        <v>45748</v>
      </c>
      <c r="J6" t="b">
        <v>0</v>
      </c>
      <c r="K6" s="13" t="n">
        <v>0.01</v>
      </c>
    </row>
    <row r="7">
      <c r="A7" t="inlineStr">
        <is>
          <t>NX-00003</t>
        </is>
      </c>
      <c r="B7" t="inlineStr">
        <is>
          <t>North America</t>
        </is>
      </c>
      <c r="C7" t="inlineStr">
        <is>
          <t>US / Canada</t>
        </is>
      </c>
      <c r="D7" s="12" t="n">
        <v>45292</v>
      </c>
      <c r="E7" s="13" t="n">
        <v>10.8</v>
      </c>
      <c r="F7" s="14" t="n">
        <v>896400.0000000001</v>
      </c>
      <c r="G7" t="n">
        <v>5</v>
      </c>
      <c r="H7" s="12" t="n">
        <v>45444</v>
      </c>
      <c r="I7" s="12" t="n">
        <v>45536</v>
      </c>
      <c r="J7" t="b">
        <v>0</v>
      </c>
      <c r="K7" s="13" t="n">
        <v>2.58</v>
      </c>
    </row>
    <row r="8">
      <c r="A8" t="inlineStr">
        <is>
          <t>NX-00004</t>
        </is>
      </c>
      <c r="B8" t="inlineStr">
        <is>
          <t>North America</t>
        </is>
      </c>
      <c r="C8" t="inlineStr">
        <is>
          <t>US / Canada</t>
        </is>
      </c>
      <c r="D8" s="12" t="n">
        <v>45292</v>
      </c>
      <c r="E8" s="13" t="n">
        <v>6</v>
      </c>
      <c r="F8" s="14" t="n">
        <v>498000</v>
      </c>
      <c r="G8" t="n">
        <v>5</v>
      </c>
      <c r="H8" s="12" t="n">
        <v>45444</v>
      </c>
      <c r="I8" s="12" t="n">
        <v>45444</v>
      </c>
      <c r="J8" t="b">
        <v>0</v>
      </c>
      <c r="K8" s="13" t="n">
        <v>0</v>
      </c>
    </row>
    <row r="9">
      <c r="A9" t="inlineStr">
        <is>
          <t>NX-00005</t>
        </is>
      </c>
      <c r="B9" t="inlineStr">
        <is>
          <t>North America</t>
        </is>
      </c>
      <c r="C9" t="inlineStr">
        <is>
          <t>US / Canada</t>
        </is>
      </c>
      <c r="D9" s="12" t="n">
        <v>45292</v>
      </c>
      <c r="E9" s="13" t="n">
        <v>4.2</v>
      </c>
      <c r="F9" s="14" t="n">
        <v>348600</v>
      </c>
      <c r="G9" t="n">
        <v>11</v>
      </c>
      <c r="H9" s="12" t="n">
        <v>45627</v>
      </c>
      <c r="I9" s="12" t="n">
        <v>45627</v>
      </c>
      <c r="J9" t="b">
        <v>0</v>
      </c>
      <c r="K9" s="13" t="n">
        <v>0.11</v>
      </c>
    </row>
    <row r="10">
      <c r="A10" t="inlineStr">
        <is>
          <t>NX-00006</t>
        </is>
      </c>
      <c r="B10" t="inlineStr">
        <is>
          <t>North America</t>
        </is>
      </c>
      <c r="C10" t="inlineStr">
        <is>
          <t>US / Canada</t>
        </is>
      </c>
      <c r="D10" s="12" t="n">
        <v>45292</v>
      </c>
      <c r="E10" s="13" t="n">
        <v>11.9</v>
      </c>
      <c r="F10" s="14" t="n">
        <v>987700</v>
      </c>
      <c r="G10" t="n">
        <v>8</v>
      </c>
      <c r="H10" s="12" t="n">
        <v>45536</v>
      </c>
      <c r="I10" s="12" t="n">
        <v>45536</v>
      </c>
      <c r="J10" t="b">
        <v>0</v>
      </c>
      <c r="K10" s="13" t="n">
        <v>0.03</v>
      </c>
    </row>
    <row r="11">
      <c r="A11" t="inlineStr">
        <is>
          <t>NX-00007</t>
        </is>
      </c>
      <c r="B11" t="inlineStr">
        <is>
          <t>North America</t>
        </is>
      </c>
      <c r="C11" t="inlineStr">
        <is>
          <t>US / Canada</t>
        </is>
      </c>
      <c r="D11" s="12" t="n">
        <v>45292</v>
      </c>
      <c r="E11" s="13" t="n">
        <v>15.3</v>
      </c>
      <c r="F11" s="14" t="n">
        <v>1269900</v>
      </c>
      <c r="G11" t="n">
        <v>11</v>
      </c>
      <c r="H11" s="12" t="n">
        <v>45627</v>
      </c>
      <c r="I11" s="12" t="n">
        <v>45627</v>
      </c>
      <c r="J11" t="b">
        <v>0</v>
      </c>
      <c r="K11" s="13" t="n">
        <v>0.3</v>
      </c>
    </row>
    <row r="12">
      <c r="A12" t="inlineStr">
        <is>
          <t>NX-00008</t>
        </is>
      </c>
      <c r="B12" t="inlineStr">
        <is>
          <t>North America</t>
        </is>
      </c>
      <c r="C12" t="inlineStr">
        <is>
          <t>US / Canada</t>
        </is>
      </c>
      <c r="D12" s="12" t="n">
        <v>45292</v>
      </c>
      <c r="E12" s="13" t="n">
        <v>12.5</v>
      </c>
      <c r="F12" s="14" t="n">
        <v>1037500</v>
      </c>
      <c r="G12" t="n">
        <v>5</v>
      </c>
      <c r="H12" s="12" t="n">
        <v>45444</v>
      </c>
      <c r="I12" s="12" t="n">
        <v>45536</v>
      </c>
      <c r="J12" t="b">
        <v>0</v>
      </c>
      <c r="K12" s="13" t="n">
        <v>3.42</v>
      </c>
    </row>
    <row r="13">
      <c r="A13" t="inlineStr">
        <is>
          <t>NX-00009</t>
        </is>
      </c>
      <c r="B13" t="inlineStr">
        <is>
          <t>North America</t>
        </is>
      </c>
      <c r="C13" t="inlineStr">
        <is>
          <t>US / Canada</t>
        </is>
      </c>
      <c r="D13" s="12" t="n">
        <v>45292</v>
      </c>
      <c r="E13" s="13" t="n">
        <v>21.5</v>
      </c>
      <c r="F13" s="14" t="n">
        <v>1784500</v>
      </c>
      <c r="G13" t="n">
        <v>5</v>
      </c>
      <c r="H13" s="12" t="n">
        <v>45444</v>
      </c>
      <c r="I13" s="12" t="n">
        <v>45444</v>
      </c>
      <c r="J13" t="b">
        <v>0</v>
      </c>
      <c r="K13" s="13" t="n">
        <v>0.08</v>
      </c>
    </row>
    <row r="14">
      <c r="A14" t="inlineStr">
        <is>
          <t>NX-00010</t>
        </is>
      </c>
      <c r="B14" t="inlineStr">
        <is>
          <t>North America</t>
        </is>
      </c>
      <c r="C14" t="inlineStr">
        <is>
          <t>US / Canada</t>
        </is>
      </c>
      <c r="D14" s="12" t="n">
        <v>45292</v>
      </c>
      <c r="E14" s="13" t="n">
        <v>17.5</v>
      </c>
      <c r="F14" s="14" t="n">
        <v>1452500</v>
      </c>
      <c r="G14" t="n">
        <v>12</v>
      </c>
      <c r="H14" s="12" t="n">
        <v>45658</v>
      </c>
      <c r="I14" s="12" t="n">
        <v>45689</v>
      </c>
      <c r="J14" t="b">
        <v>0</v>
      </c>
      <c r="K14" s="13" t="n">
        <v>1.12</v>
      </c>
    </row>
    <row r="15">
      <c r="A15" t="inlineStr">
        <is>
          <t>NX-00011</t>
        </is>
      </c>
      <c r="B15" t="inlineStr">
        <is>
          <t>North America</t>
        </is>
      </c>
      <c r="C15" t="inlineStr">
        <is>
          <t>US / Canada</t>
        </is>
      </c>
      <c r="D15" s="12" t="n">
        <v>45292</v>
      </c>
      <c r="E15" s="13" t="n">
        <v>14.4</v>
      </c>
      <c r="F15" s="14" t="n">
        <v>1195200</v>
      </c>
      <c r="G15" t="n">
        <v>10</v>
      </c>
      <c r="H15" s="12" t="n">
        <v>45597</v>
      </c>
      <c r="I15" s="12" t="n">
        <v>45627</v>
      </c>
      <c r="J15" t="b">
        <v>0</v>
      </c>
      <c r="K15" s="13" t="n">
        <v>0.67</v>
      </c>
    </row>
    <row r="16">
      <c r="A16" t="inlineStr">
        <is>
          <t>NX-00012</t>
        </is>
      </c>
      <c r="B16" t="inlineStr">
        <is>
          <t>North America</t>
        </is>
      </c>
      <c r="C16" t="inlineStr">
        <is>
          <t>US / Canada</t>
        </is>
      </c>
      <c r="D16" s="12" t="n">
        <v>45292</v>
      </c>
      <c r="E16" s="13" t="n">
        <v>30.7</v>
      </c>
      <c r="F16" s="14" t="n">
        <v>2548100</v>
      </c>
      <c r="G16" t="n">
        <v>5</v>
      </c>
      <c r="H16" s="12" t="n">
        <v>45444</v>
      </c>
      <c r="I16" s="12" t="n">
        <v>45444</v>
      </c>
      <c r="J16" t="b">
        <v>0</v>
      </c>
      <c r="K16" s="13" t="n">
        <v>0</v>
      </c>
    </row>
    <row r="17">
      <c r="A17" t="inlineStr">
        <is>
          <t>NX-00013</t>
        </is>
      </c>
      <c r="B17" t="inlineStr">
        <is>
          <t>EMEA</t>
        </is>
      </c>
      <c r="C17" t="inlineStr">
        <is>
          <t>Europe</t>
        </is>
      </c>
      <c r="D17" s="12" t="n">
        <v>45292</v>
      </c>
      <c r="E17" s="13" t="n">
        <v>19</v>
      </c>
      <c r="F17" s="14" t="n">
        <v>1672000</v>
      </c>
      <c r="G17" t="n">
        <v>11</v>
      </c>
      <c r="H17" s="12" t="n">
        <v>45627</v>
      </c>
      <c r="I17" s="12" t="n">
        <v>45839</v>
      </c>
      <c r="J17" t="b">
        <v>0</v>
      </c>
      <c r="K17" s="13" t="n">
        <v>6.8</v>
      </c>
    </row>
    <row r="18">
      <c r="A18" t="inlineStr">
        <is>
          <t>NX-00014</t>
        </is>
      </c>
      <c r="B18" t="inlineStr">
        <is>
          <t>EMEA</t>
        </is>
      </c>
      <c r="C18" t="inlineStr">
        <is>
          <t>Europe</t>
        </is>
      </c>
      <c r="D18" s="12" t="n">
        <v>45292</v>
      </c>
      <c r="E18" s="13" t="n">
        <v>22.6</v>
      </c>
      <c r="F18" s="14" t="n">
        <v>1988800</v>
      </c>
      <c r="G18" t="n">
        <v>10</v>
      </c>
      <c r="H18" s="12" t="n">
        <v>45597</v>
      </c>
      <c r="I18" s="12" t="n">
        <v>45627</v>
      </c>
      <c r="J18" t="b">
        <v>0</v>
      </c>
      <c r="K18" s="13" t="n">
        <v>1.38</v>
      </c>
    </row>
    <row r="19">
      <c r="A19" t="inlineStr">
        <is>
          <t>NX-00015</t>
        </is>
      </c>
      <c r="B19" t="inlineStr">
        <is>
          <t>EMEA</t>
        </is>
      </c>
      <c r="C19" t="inlineStr">
        <is>
          <t>Europe</t>
        </is>
      </c>
      <c r="D19" s="12" t="n">
        <v>45292</v>
      </c>
      <c r="E19" s="13" t="n">
        <v>20.6</v>
      </c>
      <c r="F19" s="14" t="n">
        <v>1812800</v>
      </c>
      <c r="G19" t="n">
        <v>8</v>
      </c>
      <c r="H19" s="12" t="n">
        <v>45536</v>
      </c>
      <c r="I19" s="12" t="n">
        <v>45597</v>
      </c>
      <c r="J19" t="b">
        <v>0</v>
      </c>
      <c r="K19" s="13" t="n">
        <v>1.77</v>
      </c>
    </row>
    <row r="20">
      <c r="A20" t="inlineStr">
        <is>
          <t>NX-00016</t>
        </is>
      </c>
      <c r="B20" t="inlineStr">
        <is>
          <t>EMEA</t>
        </is>
      </c>
      <c r="C20" t="inlineStr">
        <is>
          <t>Europe</t>
        </is>
      </c>
      <c r="D20" s="12" t="n">
        <v>45292</v>
      </c>
      <c r="E20" s="13" t="n">
        <v>14.7</v>
      </c>
      <c r="F20" s="14" t="n">
        <v>1293600</v>
      </c>
      <c r="G20" t="n">
        <v>12</v>
      </c>
      <c r="H20" s="12" t="n">
        <v>45658</v>
      </c>
      <c r="I20" s="12" t="n">
        <v>45658</v>
      </c>
      <c r="J20" t="b">
        <v>0</v>
      </c>
      <c r="K20" s="13" t="n">
        <v>0.25</v>
      </c>
    </row>
    <row r="21">
      <c r="A21" t="inlineStr">
        <is>
          <t>NX-00017</t>
        </is>
      </c>
      <c r="B21" t="inlineStr">
        <is>
          <t>EMEA</t>
        </is>
      </c>
      <c r="C21" t="inlineStr">
        <is>
          <t>Europe</t>
        </is>
      </c>
      <c r="D21" s="12" t="n">
        <v>45292</v>
      </c>
      <c r="E21" s="13" t="n">
        <v>12.9</v>
      </c>
      <c r="F21" s="14" t="n">
        <v>1135200</v>
      </c>
      <c r="G21" t="n">
        <v>12</v>
      </c>
      <c r="H21" s="12" t="n">
        <v>45658</v>
      </c>
      <c r="I21" s="12" t="n">
        <v>45689</v>
      </c>
      <c r="J21" t="b">
        <v>0</v>
      </c>
      <c r="K21" s="13" t="n">
        <v>0.8100000000000001</v>
      </c>
    </row>
    <row r="22">
      <c r="A22" t="inlineStr">
        <is>
          <t>NX-00018</t>
        </is>
      </c>
      <c r="B22" t="inlineStr">
        <is>
          <t>EMEA</t>
        </is>
      </c>
      <c r="C22" t="inlineStr">
        <is>
          <t>MENA</t>
        </is>
      </c>
      <c r="D22" s="12" t="n">
        <v>45292</v>
      </c>
      <c r="E22" s="13" t="n">
        <v>3.6</v>
      </c>
      <c r="F22" s="14" t="n">
        <v>291600</v>
      </c>
      <c r="G22" t="n">
        <v>6</v>
      </c>
      <c r="H22" s="12" t="n">
        <v>45474</v>
      </c>
      <c r="I22" s="12" t="n">
        <v>45566</v>
      </c>
      <c r="J22" t="b">
        <v>0</v>
      </c>
      <c r="K22" s="13" t="n">
        <v>2.76</v>
      </c>
    </row>
    <row r="23">
      <c r="A23" t="inlineStr">
        <is>
          <t>NX-00019</t>
        </is>
      </c>
      <c r="B23" t="inlineStr">
        <is>
          <t>EMEA</t>
        </is>
      </c>
      <c r="C23" t="inlineStr">
        <is>
          <t>MENA</t>
        </is>
      </c>
      <c r="D23" s="12" t="n">
        <v>45292</v>
      </c>
      <c r="E23" s="13" t="n">
        <v>36.2</v>
      </c>
      <c r="F23" s="14" t="n">
        <v>2932200</v>
      </c>
      <c r="G23" t="n">
        <v>12</v>
      </c>
      <c r="H23" s="12" t="n">
        <v>45658</v>
      </c>
      <c r="I23" s="12" t="n"/>
      <c r="J23" t="b">
        <v>1</v>
      </c>
      <c r="K23" s="13" t="n">
        <v>0.09</v>
      </c>
    </row>
    <row r="24">
      <c r="A24" t="inlineStr">
        <is>
          <t>NX-00020</t>
        </is>
      </c>
      <c r="B24" t="inlineStr">
        <is>
          <t>EMEA</t>
        </is>
      </c>
      <c r="C24" t="inlineStr">
        <is>
          <t>MENA</t>
        </is>
      </c>
      <c r="D24" s="12" t="n">
        <v>45292</v>
      </c>
      <c r="E24" s="13" t="n">
        <v>34.1</v>
      </c>
      <c r="F24" s="14" t="n">
        <v>2762100</v>
      </c>
      <c r="G24" t="n">
        <v>9</v>
      </c>
      <c r="H24" s="12" t="n">
        <v>45566</v>
      </c>
      <c r="I24" s="12" t="n">
        <v>45566</v>
      </c>
      <c r="J24" t="b">
        <v>0</v>
      </c>
      <c r="K24" s="13" t="n">
        <v>0.18</v>
      </c>
    </row>
    <row r="25">
      <c r="A25" t="inlineStr">
        <is>
          <t>NX-00021</t>
        </is>
      </c>
      <c r="B25" t="inlineStr">
        <is>
          <t>APAC</t>
        </is>
      </c>
      <c r="C25" t="inlineStr">
        <is>
          <t>India</t>
        </is>
      </c>
      <c r="D25" s="12" t="n">
        <v>45292</v>
      </c>
      <c r="E25" s="13" t="n">
        <v>18.9</v>
      </c>
      <c r="F25" s="14" t="n">
        <v>1341900</v>
      </c>
      <c r="G25" t="n">
        <v>5</v>
      </c>
      <c r="H25" s="12" t="n">
        <v>45444</v>
      </c>
      <c r="I25" s="12" t="n">
        <v>46054</v>
      </c>
      <c r="J25" t="b">
        <v>0</v>
      </c>
      <c r="K25" s="13" t="n">
        <v>20.04</v>
      </c>
    </row>
    <row r="26">
      <c r="A26" t="inlineStr">
        <is>
          <t>NX-00022</t>
        </is>
      </c>
      <c r="B26" t="inlineStr">
        <is>
          <t>APAC</t>
        </is>
      </c>
      <c r="C26" t="inlineStr">
        <is>
          <t>India</t>
        </is>
      </c>
      <c r="D26" s="12" t="n">
        <v>45292</v>
      </c>
      <c r="E26" s="13" t="n">
        <v>4.9</v>
      </c>
      <c r="F26" s="14" t="n">
        <v>347900</v>
      </c>
      <c r="G26" t="n">
        <v>7</v>
      </c>
      <c r="H26" s="12" t="n">
        <v>45505</v>
      </c>
      <c r="I26" s="12" t="n">
        <v>45566</v>
      </c>
      <c r="J26" t="b">
        <v>0</v>
      </c>
      <c r="K26" s="13" t="n">
        <v>1.76</v>
      </c>
    </row>
    <row r="27">
      <c r="A27" t="inlineStr">
        <is>
          <t>NX-00023</t>
        </is>
      </c>
      <c r="B27" t="inlineStr">
        <is>
          <t>APAC</t>
        </is>
      </c>
      <c r="C27" t="inlineStr">
        <is>
          <t>India</t>
        </is>
      </c>
      <c r="D27" s="12" t="n">
        <v>45292</v>
      </c>
      <c r="E27" s="13" t="n">
        <v>19.3</v>
      </c>
      <c r="F27" s="14" t="n">
        <v>1370300</v>
      </c>
      <c r="G27" t="n">
        <v>12</v>
      </c>
      <c r="H27" s="12" t="n">
        <v>45658</v>
      </c>
      <c r="I27" s="12" t="n">
        <v>46204</v>
      </c>
      <c r="J27" t="b">
        <v>0</v>
      </c>
      <c r="K27" s="13" t="n">
        <v>18.15</v>
      </c>
    </row>
    <row r="28">
      <c r="A28" t="inlineStr">
        <is>
          <t>NX-00024</t>
        </is>
      </c>
      <c r="B28" t="inlineStr">
        <is>
          <t>APAC</t>
        </is>
      </c>
      <c r="C28" t="inlineStr">
        <is>
          <t>Australia/SEA</t>
        </is>
      </c>
      <c r="D28" s="12" t="n">
        <v>45292</v>
      </c>
      <c r="E28" s="13" t="n">
        <v>7.2</v>
      </c>
      <c r="F28" s="14" t="n">
        <v>604800</v>
      </c>
      <c r="G28" t="n">
        <v>6</v>
      </c>
      <c r="H28" s="12" t="n">
        <v>45474</v>
      </c>
      <c r="I28" s="12" t="n">
        <v>45474</v>
      </c>
      <c r="J28" t="b">
        <v>0</v>
      </c>
      <c r="K28" s="13" t="n">
        <v>0.01</v>
      </c>
    </row>
    <row r="29">
      <c r="A29" t="inlineStr">
        <is>
          <t>NX-00025</t>
        </is>
      </c>
      <c r="B29" t="inlineStr">
        <is>
          <t>North America</t>
        </is>
      </c>
      <c r="C29" t="inlineStr">
        <is>
          <t>US / Canada</t>
        </is>
      </c>
      <c r="D29" s="12" t="n">
        <v>45323</v>
      </c>
      <c r="E29" s="13" t="n">
        <v>12.3</v>
      </c>
      <c r="F29" s="14" t="n">
        <v>1020900</v>
      </c>
      <c r="G29" t="n">
        <v>5</v>
      </c>
      <c r="H29" s="12" t="n">
        <v>45474</v>
      </c>
      <c r="I29" s="12" t="n">
        <v>45505</v>
      </c>
      <c r="J29" t="b">
        <v>0</v>
      </c>
      <c r="K29" s="13" t="n">
        <v>0.64</v>
      </c>
    </row>
    <row r="30">
      <c r="A30" t="inlineStr">
        <is>
          <t>NX-00026</t>
        </is>
      </c>
      <c r="B30" t="inlineStr">
        <is>
          <t>North America</t>
        </is>
      </c>
      <c r="C30" t="inlineStr">
        <is>
          <t>US / Canada</t>
        </is>
      </c>
      <c r="D30" s="12" t="n">
        <v>45323</v>
      </c>
      <c r="E30" s="13" t="n">
        <v>12.2</v>
      </c>
      <c r="F30" s="14" t="n">
        <v>1012600</v>
      </c>
      <c r="G30" t="n">
        <v>9</v>
      </c>
      <c r="H30" s="12" t="n">
        <v>45597</v>
      </c>
      <c r="I30" s="12" t="n">
        <v>45627</v>
      </c>
      <c r="J30" t="b">
        <v>0</v>
      </c>
      <c r="K30" s="13" t="n">
        <v>1.07</v>
      </c>
    </row>
    <row r="31">
      <c r="A31" t="inlineStr">
        <is>
          <t>NX-00027</t>
        </is>
      </c>
      <c r="B31" t="inlineStr">
        <is>
          <t>North America</t>
        </is>
      </c>
      <c r="C31" t="inlineStr">
        <is>
          <t>US / Canada</t>
        </is>
      </c>
      <c r="D31" s="12" t="n">
        <v>45323</v>
      </c>
      <c r="E31" s="13" t="n">
        <v>10.8</v>
      </c>
      <c r="F31" s="14" t="n">
        <v>896400.0000000001</v>
      </c>
      <c r="G31" t="n">
        <v>6</v>
      </c>
      <c r="H31" s="12" t="n">
        <v>45505</v>
      </c>
      <c r="I31" s="12" t="n">
        <v>45505</v>
      </c>
      <c r="J31" t="b">
        <v>0</v>
      </c>
      <c r="K31" s="13" t="n">
        <v>0.16</v>
      </c>
    </row>
    <row r="32">
      <c r="A32" t="inlineStr">
        <is>
          <t>NX-00028</t>
        </is>
      </c>
      <c r="B32" t="inlineStr">
        <is>
          <t>North America</t>
        </is>
      </c>
      <c r="C32" t="inlineStr">
        <is>
          <t>US / Canada</t>
        </is>
      </c>
      <c r="D32" s="12" t="n">
        <v>45323</v>
      </c>
      <c r="E32" s="13" t="n">
        <v>16.5</v>
      </c>
      <c r="F32" s="14" t="n">
        <v>1369500</v>
      </c>
      <c r="G32" t="n">
        <v>5</v>
      </c>
      <c r="H32" s="12" t="n">
        <v>45474</v>
      </c>
      <c r="I32" s="12" t="n">
        <v>45474</v>
      </c>
      <c r="J32" t="b">
        <v>0</v>
      </c>
      <c r="K32" s="13" t="n">
        <v>0.02</v>
      </c>
    </row>
    <row r="33">
      <c r="A33" t="inlineStr">
        <is>
          <t>NX-00029</t>
        </is>
      </c>
      <c r="B33" t="inlineStr">
        <is>
          <t>North America</t>
        </is>
      </c>
      <c r="C33" t="inlineStr">
        <is>
          <t>US / Canada</t>
        </is>
      </c>
      <c r="D33" s="12" t="n">
        <v>45323</v>
      </c>
      <c r="E33" s="13" t="n">
        <v>7.2</v>
      </c>
      <c r="F33" s="14" t="n">
        <v>597600</v>
      </c>
      <c r="G33" t="n">
        <v>5</v>
      </c>
      <c r="H33" s="12" t="n">
        <v>45474</v>
      </c>
      <c r="I33" s="12" t="n">
        <v>45474</v>
      </c>
      <c r="J33" t="b">
        <v>0</v>
      </c>
      <c r="K33" s="13" t="n">
        <v>0.08</v>
      </c>
    </row>
    <row r="34">
      <c r="A34" t="inlineStr">
        <is>
          <t>NX-00030</t>
        </is>
      </c>
      <c r="B34" t="inlineStr">
        <is>
          <t>North America</t>
        </is>
      </c>
      <c r="C34" t="inlineStr">
        <is>
          <t>US / Canada</t>
        </is>
      </c>
      <c r="D34" s="12" t="n">
        <v>45323</v>
      </c>
      <c r="E34" s="13" t="n">
        <v>5</v>
      </c>
      <c r="F34" s="14" t="n">
        <v>415000</v>
      </c>
      <c r="G34" t="n">
        <v>5</v>
      </c>
      <c r="H34" s="12" t="n">
        <v>45474</v>
      </c>
      <c r="I34" s="12" t="n">
        <v>45474</v>
      </c>
      <c r="J34" t="b">
        <v>0</v>
      </c>
      <c r="K34" s="13" t="n">
        <v>0</v>
      </c>
    </row>
    <row r="35">
      <c r="A35" t="inlineStr">
        <is>
          <t>NX-00031</t>
        </is>
      </c>
      <c r="B35" t="inlineStr">
        <is>
          <t>North America</t>
        </is>
      </c>
      <c r="C35" t="inlineStr">
        <is>
          <t>US / Canada</t>
        </is>
      </c>
      <c r="D35" s="12" t="n">
        <v>45323</v>
      </c>
      <c r="E35" s="13" t="n">
        <v>20.5</v>
      </c>
      <c r="F35" s="14" t="n">
        <v>1701500</v>
      </c>
      <c r="G35" t="n">
        <v>6</v>
      </c>
      <c r="H35" s="12" t="n">
        <v>45505</v>
      </c>
      <c r="I35" s="12" t="n">
        <v>45505</v>
      </c>
      <c r="J35" t="b">
        <v>0</v>
      </c>
      <c r="K35" s="13" t="n">
        <v>0.06</v>
      </c>
    </row>
    <row r="36">
      <c r="A36" t="inlineStr">
        <is>
          <t>NX-00032</t>
        </is>
      </c>
      <c r="B36" t="inlineStr">
        <is>
          <t>North America</t>
        </is>
      </c>
      <c r="C36" t="inlineStr">
        <is>
          <t>US / Canada</t>
        </is>
      </c>
      <c r="D36" s="12" t="n">
        <v>45323</v>
      </c>
      <c r="E36" s="13" t="n">
        <v>24.5</v>
      </c>
      <c r="F36" s="14" t="n">
        <v>2033500</v>
      </c>
      <c r="G36" t="n">
        <v>5</v>
      </c>
      <c r="H36" s="12" t="n">
        <v>45474</v>
      </c>
      <c r="I36" s="12" t="n">
        <v>45505</v>
      </c>
      <c r="J36" t="b">
        <v>0</v>
      </c>
      <c r="K36" s="13" t="n">
        <v>1.39</v>
      </c>
    </row>
    <row r="37">
      <c r="A37" t="inlineStr">
        <is>
          <t>NX-00033</t>
        </is>
      </c>
      <c r="B37" t="inlineStr">
        <is>
          <t>North America</t>
        </is>
      </c>
      <c r="C37" t="inlineStr">
        <is>
          <t>US / Canada</t>
        </is>
      </c>
      <c r="D37" s="12" t="n">
        <v>45323</v>
      </c>
      <c r="E37" s="13" t="n">
        <v>14.1</v>
      </c>
      <c r="F37" s="14" t="n">
        <v>1170300</v>
      </c>
      <c r="G37" t="n">
        <v>5</v>
      </c>
      <c r="H37" s="12" t="n">
        <v>45474</v>
      </c>
      <c r="I37" s="12" t="n">
        <v>45474</v>
      </c>
      <c r="J37" t="b">
        <v>0</v>
      </c>
      <c r="K37" s="13" t="n">
        <v>0.06</v>
      </c>
    </row>
    <row r="38">
      <c r="A38" t="inlineStr">
        <is>
          <t>NX-00034</t>
        </is>
      </c>
      <c r="B38" t="inlineStr">
        <is>
          <t>North America</t>
        </is>
      </c>
      <c r="C38" t="inlineStr">
        <is>
          <t>US / Canada</t>
        </is>
      </c>
      <c r="D38" s="12" t="n">
        <v>45323</v>
      </c>
      <c r="E38" s="13" t="n">
        <v>10.1</v>
      </c>
      <c r="F38" s="14" t="n">
        <v>838300</v>
      </c>
      <c r="G38" t="n">
        <v>21</v>
      </c>
      <c r="H38" s="12" t="n">
        <v>45962</v>
      </c>
      <c r="I38" s="12" t="n">
        <v>45962</v>
      </c>
      <c r="J38" t="b">
        <v>0</v>
      </c>
      <c r="K38" s="13" t="n">
        <v>0</v>
      </c>
    </row>
    <row r="39">
      <c r="A39" t="inlineStr">
        <is>
          <t>NX-00035</t>
        </is>
      </c>
      <c r="B39" t="inlineStr">
        <is>
          <t>North America</t>
        </is>
      </c>
      <c r="C39" t="inlineStr">
        <is>
          <t>US / Canada</t>
        </is>
      </c>
      <c r="D39" s="12" t="n">
        <v>45323</v>
      </c>
      <c r="E39" s="13" t="n">
        <v>13.4</v>
      </c>
      <c r="F39" s="14" t="n">
        <v>1112200</v>
      </c>
      <c r="G39" t="n">
        <v>9</v>
      </c>
      <c r="H39" s="12" t="n">
        <v>45597</v>
      </c>
      <c r="I39" s="12" t="n">
        <v>45597</v>
      </c>
      <c r="J39" t="b">
        <v>0</v>
      </c>
      <c r="K39" s="13" t="n">
        <v>0.32</v>
      </c>
    </row>
    <row r="40">
      <c r="A40" t="inlineStr">
        <is>
          <t>NX-00036</t>
        </is>
      </c>
      <c r="B40" t="inlineStr">
        <is>
          <t>North America</t>
        </is>
      </c>
      <c r="C40" t="inlineStr">
        <is>
          <t>US / Canada</t>
        </is>
      </c>
      <c r="D40" s="12" t="n">
        <v>45323</v>
      </c>
      <c r="E40" s="13" t="n">
        <v>31.8</v>
      </c>
      <c r="F40" s="14" t="n">
        <v>2639400</v>
      </c>
      <c r="G40" t="n">
        <v>5</v>
      </c>
      <c r="H40" s="12" t="n">
        <v>45474</v>
      </c>
      <c r="I40" s="12" t="n">
        <v>45474</v>
      </c>
      <c r="J40" t="b">
        <v>0</v>
      </c>
      <c r="K40" s="13" t="n">
        <v>0.35</v>
      </c>
    </row>
    <row r="41">
      <c r="A41" t="inlineStr">
        <is>
          <t>NX-00037</t>
        </is>
      </c>
      <c r="B41" t="inlineStr">
        <is>
          <t>North America</t>
        </is>
      </c>
      <c r="C41" t="inlineStr">
        <is>
          <t>US / Canada</t>
        </is>
      </c>
      <c r="D41" s="12" t="n">
        <v>45323</v>
      </c>
      <c r="E41" s="13" t="n">
        <v>5.8</v>
      </c>
      <c r="F41" s="14" t="n">
        <v>481400</v>
      </c>
      <c r="G41" t="n">
        <v>10</v>
      </c>
      <c r="H41" s="12" t="n">
        <v>45627</v>
      </c>
      <c r="I41" s="12" t="n">
        <v>45627</v>
      </c>
      <c r="J41" t="b">
        <v>0</v>
      </c>
      <c r="K41" s="13" t="n">
        <v>0.3</v>
      </c>
    </row>
    <row r="42">
      <c r="A42" t="inlineStr">
        <is>
          <t>NX-00038</t>
        </is>
      </c>
      <c r="B42" t="inlineStr">
        <is>
          <t>North America</t>
        </is>
      </c>
      <c r="C42" t="inlineStr">
        <is>
          <t>US / Canada</t>
        </is>
      </c>
      <c r="D42" s="12" t="n">
        <v>45323</v>
      </c>
      <c r="E42" s="13" t="n">
        <v>14.3</v>
      </c>
      <c r="F42" s="14" t="n">
        <v>1186900</v>
      </c>
      <c r="G42" t="n">
        <v>7</v>
      </c>
      <c r="H42" s="12" t="n">
        <v>45536</v>
      </c>
      <c r="I42" s="12" t="n">
        <v>45748</v>
      </c>
      <c r="J42" t="b">
        <v>0</v>
      </c>
      <c r="K42" s="13" t="n">
        <v>6.97</v>
      </c>
    </row>
    <row r="43">
      <c r="A43" t="inlineStr">
        <is>
          <t>NX-00039</t>
        </is>
      </c>
      <c r="B43" t="inlineStr">
        <is>
          <t>North America</t>
        </is>
      </c>
      <c r="C43" t="inlineStr">
        <is>
          <t>US / Canada</t>
        </is>
      </c>
      <c r="D43" s="12" t="n">
        <v>45323</v>
      </c>
      <c r="E43" s="13" t="n">
        <v>14.1</v>
      </c>
      <c r="F43" s="14" t="n">
        <v>1170300</v>
      </c>
      <c r="G43" t="n">
        <v>13</v>
      </c>
      <c r="H43" s="12" t="n">
        <v>45717</v>
      </c>
      <c r="I43" s="12" t="n">
        <v>45717</v>
      </c>
      <c r="J43" t="b">
        <v>0</v>
      </c>
      <c r="K43" s="13" t="n">
        <v>0.02</v>
      </c>
    </row>
    <row r="44">
      <c r="A44" t="inlineStr">
        <is>
          <t>NX-00040</t>
        </is>
      </c>
      <c r="B44" t="inlineStr">
        <is>
          <t>North America</t>
        </is>
      </c>
      <c r="C44" t="inlineStr">
        <is>
          <t>US / Canada</t>
        </is>
      </c>
      <c r="D44" s="12" t="n">
        <v>45323</v>
      </c>
      <c r="E44" s="13" t="n">
        <v>7.2</v>
      </c>
      <c r="F44" s="14" t="n">
        <v>597600</v>
      </c>
      <c r="G44" t="n">
        <v>6</v>
      </c>
      <c r="H44" s="12" t="n">
        <v>45505</v>
      </c>
      <c r="I44" s="12" t="n">
        <v>45505</v>
      </c>
      <c r="J44" t="b">
        <v>0</v>
      </c>
      <c r="K44" s="13" t="n">
        <v>0.39</v>
      </c>
    </row>
    <row r="45">
      <c r="A45" t="inlineStr">
        <is>
          <t>NX-00041</t>
        </is>
      </c>
      <c r="B45" t="inlineStr">
        <is>
          <t>North America</t>
        </is>
      </c>
      <c r="C45" t="inlineStr">
        <is>
          <t>US / Canada</t>
        </is>
      </c>
      <c r="D45" s="12" t="n">
        <v>45323</v>
      </c>
      <c r="E45" s="13" t="n">
        <v>16.5</v>
      </c>
      <c r="F45" s="14" t="n">
        <v>1369500</v>
      </c>
      <c r="G45" t="n">
        <v>5</v>
      </c>
      <c r="H45" s="12" t="n">
        <v>45474</v>
      </c>
      <c r="I45" s="12" t="n">
        <v>45536</v>
      </c>
      <c r="J45" t="b">
        <v>0</v>
      </c>
      <c r="K45" s="13" t="n">
        <v>2.37</v>
      </c>
    </row>
    <row r="46">
      <c r="A46" t="inlineStr">
        <is>
          <t>NX-00042</t>
        </is>
      </c>
      <c r="B46" t="inlineStr">
        <is>
          <t>North America</t>
        </is>
      </c>
      <c r="C46" t="inlineStr">
        <is>
          <t>US / Canada</t>
        </is>
      </c>
      <c r="D46" s="12" t="n">
        <v>45323</v>
      </c>
      <c r="E46" s="13" t="n">
        <v>34</v>
      </c>
      <c r="F46" s="14" t="n">
        <v>2822000</v>
      </c>
      <c r="G46" t="n">
        <v>11</v>
      </c>
      <c r="H46" s="12" t="n">
        <v>45658</v>
      </c>
      <c r="I46" s="12" t="n">
        <v>45658</v>
      </c>
      <c r="J46" t="b">
        <v>0</v>
      </c>
      <c r="K46" s="13" t="n">
        <v>0.03</v>
      </c>
    </row>
    <row r="47">
      <c r="A47" t="inlineStr">
        <is>
          <t>NX-00043</t>
        </is>
      </c>
      <c r="B47" t="inlineStr">
        <is>
          <t>North America</t>
        </is>
      </c>
      <c r="C47" t="inlineStr">
        <is>
          <t>US / Canada</t>
        </is>
      </c>
      <c r="D47" s="12" t="n">
        <v>45323</v>
      </c>
      <c r="E47" s="13" t="n">
        <v>45.5</v>
      </c>
      <c r="F47" s="14" t="n">
        <v>3776500</v>
      </c>
      <c r="G47" t="n">
        <v>6</v>
      </c>
      <c r="H47" s="12" t="n">
        <v>45505</v>
      </c>
      <c r="I47" s="12" t="n">
        <v>45536</v>
      </c>
      <c r="J47" t="b">
        <v>0</v>
      </c>
      <c r="K47" s="13" t="n">
        <v>0.5</v>
      </c>
    </row>
    <row r="48">
      <c r="A48" t="inlineStr">
        <is>
          <t>NX-00044</t>
        </is>
      </c>
      <c r="B48" t="inlineStr">
        <is>
          <t>North America</t>
        </is>
      </c>
      <c r="C48" t="inlineStr">
        <is>
          <t>US / Canada</t>
        </is>
      </c>
      <c r="D48" s="12" t="n">
        <v>45323</v>
      </c>
      <c r="E48" s="13" t="n">
        <v>24.5</v>
      </c>
      <c r="F48" s="14" t="n">
        <v>2033500</v>
      </c>
      <c r="G48" t="n">
        <v>5</v>
      </c>
      <c r="H48" s="12" t="n">
        <v>45474</v>
      </c>
      <c r="I48" s="12" t="n">
        <v>45474</v>
      </c>
      <c r="J48" t="b">
        <v>0</v>
      </c>
      <c r="K48" s="13" t="n">
        <v>0.24</v>
      </c>
    </row>
    <row r="49">
      <c r="A49" t="inlineStr">
        <is>
          <t>NX-00045</t>
        </is>
      </c>
      <c r="B49" t="inlineStr">
        <is>
          <t>North America</t>
        </is>
      </c>
      <c r="C49" t="inlineStr">
        <is>
          <t>US / Canada</t>
        </is>
      </c>
      <c r="D49" s="12" t="n">
        <v>45323</v>
      </c>
      <c r="E49" s="13" t="n">
        <v>8.199999999999999</v>
      </c>
      <c r="F49" s="14" t="n">
        <v>680599.9999999999</v>
      </c>
      <c r="G49" t="n">
        <v>11</v>
      </c>
      <c r="H49" s="12" t="n">
        <v>45658</v>
      </c>
      <c r="I49" s="12" t="n">
        <v>45748</v>
      </c>
      <c r="J49" t="b">
        <v>0</v>
      </c>
      <c r="K49" s="13" t="n">
        <v>3.04</v>
      </c>
    </row>
    <row r="50">
      <c r="A50" t="inlineStr">
        <is>
          <t>NX-00046</t>
        </is>
      </c>
      <c r="B50" t="inlineStr">
        <is>
          <t>North America</t>
        </is>
      </c>
      <c r="C50" t="inlineStr">
        <is>
          <t>US / Canada</t>
        </is>
      </c>
      <c r="D50" s="12" t="n">
        <v>45323</v>
      </c>
      <c r="E50" s="13" t="n">
        <v>15.6</v>
      </c>
      <c r="F50" s="14" t="n">
        <v>1294800</v>
      </c>
      <c r="G50" t="n">
        <v>10</v>
      </c>
      <c r="H50" s="12" t="n">
        <v>45627</v>
      </c>
      <c r="I50" s="12" t="n">
        <v>45658</v>
      </c>
      <c r="J50" t="b">
        <v>0</v>
      </c>
      <c r="K50" s="13" t="n">
        <v>1.46</v>
      </c>
    </row>
    <row r="51">
      <c r="A51" t="inlineStr">
        <is>
          <t>NX-00047</t>
        </is>
      </c>
      <c r="B51" t="inlineStr">
        <is>
          <t>North America</t>
        </is>
      </c>
      <c r="C51" t="inlineStr">
        <is>
          <t>US / Canada</t>
        </is>
      </c>
      <c r="D51" s="12" t="n">
        <v>45323</v>
      </c>
      <c r="E51" s="13" t="n">
        <v>25.8</v>
      </c>
      <c r="F51" s="14" t="n">
        <v>2141400</v>
      </c>
      <c r="G51" t="n">
        <v>6</v>
      </c>
      <c r="H51" s="12" t="n">
        <v>45505</v>
      </c>
      <c r="I51" s="12" t="n">
        <v>45536</v>
      </c>
      <c r="J51" t="b">
        <v>0</v>
      </c>
      <c r="K51" s="13" t="n">
        <v>0.66</v>
      </c>
    </row>
    <row r="52">
      <c r="A52" t="inlineStr">
        <is>
          <t>NX-00048</t>
        </is>
      </c>
      <c r="B52" t="inlineStr">
        <is>
          <t>North America</t>
        </is>
      </c>
      <c r="C52" t="inlineStr">
        <is>
          <t>US / Canada</t>
        </is>
      </c>
      <c r="D52" s="12" t="n">
        <v>45323</v>
      </c>
      <c r="E52" s="13" t="n">
        <v>5.5</v>
      </c>
      <c r="F52" s="14" t="n">
        <v>456500</v>
      </c>
      <c r="G52" t="n">
        <v>6</v>
      </c>
      <c r="H52" s="12" t="n">
        <v>45505</v>
      </c>
      <c r="I52" s="12" t="n">
        <v>45536</v>
      </c>
      <c r="J52" t="b">
        <v>0</v>
      </c>
      <c r="K52" s="13" t="n">
        <v>0.99</v>
      </c>
    </row>
    <row r="53">
      <c r="A53" t="inlineStr">
        <is>
          <t>NX-00049</t>
        </is>
      </c>
      <c r="B53" t="inlineStr">
        <is>
          <t>North America</t>
        </is>
      </c>
      <c r="C53" t="inlineStr">
        <is>
          <t>US / Canada</t>
        </is>
      </c>
      <c r="D53" s="12" t="n">
        <v>45323</v>
      </c>
      <c r="E53" s="13" t="n">
        <v>16.2</v>
      </c>
      <c r="F53" s="14" t="n">
        <v>1344600</v>
      </c>
      <c r="G53" t="n">
        <v>5</v>
      </c>
      <c r="H53" s="12" t="n">
        <v>45474</v>
      </c>
      <c r="I53" s="12" t="n">
        <v>45474</v>
      </c>
      <c r="J53" t="b">
        <v>0</v>
      </c>
      <c r="K53" s="13" t="n">
        <v>0</v>
      </c>
    </row>
    <row r="54">
      <c r="A54" t="inlineStr">
        <is>
          <t>NX-00050</t>
        </is>
      </c>
      <c r="B54" t="inlineStr">
        <is>
          <t>North America</t>
        </is>
      </c>
      <c r="C54" t="inlineStr">
        <is>
          <t>US / Canada</t>
        </is>
      </c>
      <c r="D54" s="12" t="n">
        <v>45323</v>
      </c>
      <c r="E54" s="13" t="n">
        <v>8.800000000000001</v>
      </c>
      <c r="F54" s="14" t="n">
        <v>730400.0000000001</v>
      </c>
      <c r="G54" t="n">
        <v>5</v>
      </c>
      <c r="H54" s="12" t="n">
        <v>45474</v>
      </c>
      <c r="I54" s="12" t="n">
        <v>45505</v>
      </c>
      <c r="J54" t="b">
        <v>0</v>
      </c>
      <c r="K54" s="13" t="n">
        <v>1.32</v>
      </c>
    </row>
    <row r="55">
      <c r="A55" t="inlineStr">
        <is>
          <t>NX-00051</t>
        </is>
      </c>
      <c r="B55" t="inlineStr">
        <is>
          <t>North America</t>
        </is>
      </c>
      <c r="C55" t="inlineStr">
        <is>
          <t>US / Canada</t>
        </is>
      </c>
      <c r="D55" s="12" t="n">
        <v>45323</v>
      </c>
      <c r="E55" s="13" t="n">
        <v>30.1</v>
      </c>
      <c r="F55" s="14" t="n">
        <v>2498300</v>
      </c>
      <c r="G55" t="n">
        <v>19</v>
      </c>
      <c r="H55" s="12" t="n">
        <v>45901</v>
      </c>
      <c r="I55" s="12" t="n">
        <v>45901</v>
      </c>
      <c r="J55" t="b">
        <v>0</v>
      </c>
      <c r="K55" s="13" t="n">
        <v>0</v>
      </c>
    </row>
    <row r="56">
      <c r="A56" t="inlineStr">
        <is>
          <t>NX-00052</t>
        </is>
      </c>
      <c r="B56" t="inlineStr">
        <is>
          <t>EMEA</t>
        </is>
      </c>
      <c r="C56" t="inlineStr">
        <is>
          <t>Europe</t>
        </is>
      </c>
      <c r="D56" s="12" t="n">
        <v>45323</v>
      </c>
      <c r="E56" s="13" t="n">
        <v>14.6</v>
      </c>
      <c r="F56" s="14" t="n">
        <v>1284800</v>
      </c>
      <c r="G56" t="n">
        <v>8</v>
      </c>
      <c r="H56" s="12" t="n">
        <v>45566</v>
      </c>
      <c r="I56" s="12" t="n">
        <v>45627</v>
      </c>
      <c r="J56" t="b">
        <v>0</v>
      </c>
      <c r="K56" s="13" t="n">
        <v>1.61</v>
      </c>
    </row>
    <row r="57">
      <c r="A57" t="inlineStr">
        <is>
          <t>NX-00053</t>
        </is>
      </c>
      <c r="B57" t="inlineStr">
        <is>
          <t>EMEA</t>
        </is>
      </c>
      <c r="C57" t="inlineStr">
        <is>
          <t>Europe</t>
        </is>
      </c>
      <c r="D57" s="12" t="n">
        <v>45323</v>
      </c>
      <c r="E57" s="13" t="n">
        <v>1.9</v>
      </c>
      <c r="F57" s="14" t="n">
        <v>167200</v>
      </c>
      <c r="G57" t="n">
        <v>9</v>
      </c>
      <c r="H57" s="12" t="n">
        <v>45597</v>
      </c>
      <c r="I57" s="12" t="n">
        <v>45689</v>
      </c>
      <c r="J57" t="b">
        <v>0</v>
      </c>
      <c r="K57" s="13" t="n">
        <v>3.04</v>
      </c>
    </row>
    <row r="58">
      <c r="A58" t="inlineStr">
        <is>
          <t>NX-00054</t>
        </is>
      </c>
      <c r="B58" t="inlineStr">
        <is>
          <t>APAC</t>
        </is>
      </c>
      <c r="C58" t="inlineStr">
        <is>
          <t>India</t>
        </is>
      </c>
      <c r="D58" s="12" t="n">
        <v>45323</v>
      </c>
      <c r="E58" s="13" t="n">
        <v>4.1</v>
      </c>
      <c r="F58" s="14" t="n">
        <v>291100</v>
      </c>
      <c r="G58" t="n">
        <v>7</v>
      </c>
      <c r="H58" s="12" t="n">
        <v>45536</v>
      </c>
      <c r="I58" s="12" t="n">
        <v>45778</v>
      </c>
      <c r="J58" t="b">
        <v>0</v>
      </c>
      <c r="K58" s="13" t="n">
        <v>8.19</v>
      </c>
    </row>
    <row r="59">
      <c r="A59" t="inlineStr">
        <is>
          <t>NX-00055</t>
        </is>
      </c>
      <c r="B59" t="inlineStr">
        <is>
          <t>APAC</t>
        </is>
      </c>
      <c r="C59" t="inlineStr">
        <is>
          <t>India</t>
        </is>
      </c>
      <c r="D59" s="12" t="n">
        <v>45323</v>
      </c>
      <c r="E59" s="13" t="n">
        <v>8.800000000000001</v>
      </c>
      <c r="F59" s="14" t="n">
        <v>624800</v>
      </c>
      <c r="G59" t="n">
        <v>13</v>
      </c>
      <c r="H59" s="12" t="n">
        <v>45717</v>
      </c>
      <c r="I59" s="12" t="n">
        <v>45717</v>
      </c>
      <c r="J59" t="b">
        <v>0</v>
      </c>
      <c r="K59" s="13" t="n">
        <v>0.16</v>
      </c>
    </row>
    <row r="60">
      <c r="A60" t="inlineStr">
        <is>
          <t>NX-00056</t>
        </is>
      </c>
      <c r="B60" t="inlineStr">
        <is>
          <t>APAC</t>
        </is>
      </c>
      <c r="C60" t="inlineStr">
        <is>
          <t>India</t>
        </is>
      </c>
      <c r="D60" s="12" t="n">
        <v>45323</v>
      </c>
      <c r="E60" s="13" t="n">
        <v>10.7</v>
      </c>
      <c r="F60" s="14" t="n">
        <v>759700</v>
      </c>
      <c r="G60" t="n">
        <v>12</v>
      </c>
      <c r="H60" s="12" t="n">
        <v>45689</v>
      </c>
      <c r="I60" s="12" t="n">
        <v>45689</v>
      </c>
      <c r="J60" t="b">
        <v>0</v>
      </c>
      <c r="K60" s="13" t="n">
        <v>0.05</v>
      </c>
    </row>
    <row r="61">
      <c r="A61" t="inlineStr">
        <is>
          <t>NX-00057</t>
        </is>
      </c>
      <c r="B61" t="inlineStr">
        <is>
          <t>APAC</t>
        </is>
      </c>
      <c r="C61" t="inlineStr">
        <is>
          <t>India</t>
        </is>
      </c>
      <c r="D61" s="12" t="n">
        <v>45323</v>
      </c>
      <c r="E61" s="13" t="n">
        <v>21.3</v>
      </c>
      <c r="F61" s="14" t="n">
        <v>1512300</v>
      </c>
      <c r="G61" t="n">
        <v>8</v>
      </c>
      <c r="H61" s="12" t="n">
        <v>45566</v>
      </c>
      <c r="I61" s="12" t="n"/>
      <c r="J61" t="b">
        <v>1</v>
      </c>
      <c r="K61" s="13" t="n">
        <v>20.23</v>
      </c>
    </row>
    <row r="62">
      <c r="A62" t="inlineStr">
        <is>
          <t>NX-00058</t>
        </is>
      </c>
      <c r="B62" t="inlineStr">
        <is>
          <t>LATAM</t>
        </is>
      </c>
      <c r="C62" t="inlineStr">
        <is>
          <t>LATAM</t>
        </is>
      </c>
      <c r="D62" s="12" t="n">
        <v>45323</v>
      </c>
      <c r="E62" s="13" t="n">
        <v>6.4</v>
      </c>
      <c r="F62" s="14" t="n">
        <v>505600</v>
      </c>
      <c r="G62" t="n">
        <v>5</v>
      </c>
      <c r="H62" s="12" t="n">
        <v>45474</v>
      </c>
      <c r="I62" s="12" t="n">
        <v>45748</v>
      </c>
      <c r="J62" t="b">
        <v>0</v>
      </c>
      <c r="K62" s="13" t="n">
        <v>8.66</v>
      </c>
    </row>
    <row r="63">
      <c r="A63" t="inlineStr">
        <is>
          <t>NX-00059</t>
        </is>
      </c>
      <c r="B63" t="inlineStr">
        <is>
          <t>LATAM</t>
        </is>
      </c>
      <c r="C63" t="inlineStr">
        <is>
          <t>LATAM</t>
        </is>
      </c>
      <c r="D63" s="12" t="n">
        <v>45323</v>
      </c>
      <c r="E63" s="13" t="n">
        <v>11.8</v>
      </c>
      <c r="F63" s="14" t="n">
        <v>932200</v>
      </c>
      <c r="G63" t="n">
        <v>6</v>
      </c>
      <c r="H63" s="12" t="n">
        <v>45505</v>
      </c>
      <c r="I63" s="12" t="n">
        <v>45627</v>
      </c>
      <c r="J63" t="b">
        <v>0</v>
      </c>
      <c r="K63" s="13" t="n">
        <v>3.54</v>
      </c>
    </row>
    <row r="64">
      <c r="A64" t="inlineStr">
        <is>
          <t>NX-00060</t>
        </is>
      </c>
      <c r="B64" t="inlineStr">
        <is>
          <t>North America</t>
        </is>
      </c>
      <c r="C64" t="inlineStr">
        <is>
          <t>US / Canada</t>
        </is>
      </c>
      <c r="D64" s="12" t="n">
        <v>45352</v>
      </c>
      <c r="E64" s="13" t="n">
        <v>7.2</v>
      </c>
      <c r="F64" s="14" t="n">
        <v>597600</v>
      </c>
      <c r="G64" t="n">
        <v>8</v>
      </c>
      <c r="H64" s="12" t="n">
        <v>45597</v>
      </c>
      <c r="I64" s="12" t="n">
        <v>45627</v>
      </c>
      <c r="J64" t="b">
        <v>0</v>
      </c>
      <c r="K64" s="13" t="n">
        <v>0.5</v>
      </c>
    </row>
    <row r="65">
      <c r="A65" t="inlineStr">
        <is>
          <t>NX-00061</t>
        </is>
      </c>
      <c r="B65" t="inlineStr">
        <is>
          <t>North America</t>
        </is>
      </c>
      <c r="C65" t="inlineStr">
        <is>
          <t>US / Canada</t>
        </is>
      </c>
      <c r="D65" s="12" t="n">
        <v>45352</v>
      </c>
      <c r="E65" s="13" t="n">
        <v>18.9</v>
      </c>
      <c r="F65" s="14" t="n">
        <v>1568700</v>
      </c>
      <c r="G65" t="n">
        <v>6</v>
      </c>
      <c r="H65" s="12" t="n">
        <v>45536</v>
      </c>
      <c r="I65" s="12" t="n">
        <v>45536</v>
      </c>
      <c r="J65" t="b">
        <v>0</v>
      </c>
      <c r="K65" s="13" t="n">
        <v>0</v>
      </c>
    </row>
    <row r="66">
      <c r="A66" t="inlineStr">
        <is>
          <t>NX-00062</t>
        </is>
      </c>
      <c r="B66" t="inlineStr">
        <is>
          <t>North America</t>
        </is>
      </c>
      <c r="C66" t="inlineStr">
        <is>
          <t>US / Canada</t>
        </is>
      </c>
      <c r="D66" s="12" t="n">
        <v>45352</v>
      </c>
      <c r="E66" s="13" t="n">
        <v>32.5</v>
      </c>
      <c r="F66" s="14" t="n">
        <v>2697500</v>
      </c>
      <c r="G66" t="n">
        <v>6</v>
      </c>
      <c r="H66" s="12" t="n">
        <v>45536</v>
      </c>
      <c r="I66" s="12" t="n">
        <v>45566</v>
      </c>
      <c r="J66" t="b">
        <v>0</v>
      </c>
      <c r="K66" s="13" t="n">
        <v>0.7</v>
      </c>
    </row>
    <row r="67">
      <c r="A67" t="inlineStr">
        <is>
          <t>NX-00063</t>
        </is>
      </c>
      <c r="B67" t="inlineStr">
        <is>
          <t>North America</t>
        </is>
      </c>
      <c r="C67" t="inlineStr">
        <is>
          <t>US / Canada</t>
        </is>
      </c>
      <c r="D67" s="12" t="n">
        <v>45352</v>
      </c>
      <c r="E67" s="13" t="n">
        <v>10.2</v>
      </c>
      <c r="F67" s="14" t="n">
        <v>846599.9999999999</v>
      </c>
      <c r="G67" t="n">
        <v>12</v>
      </c>
      <c r="H67" s="12" t="n">
        <v>45717</v>
      </c>
      <c r="I67" s="12" t="n">
        <v>45748</v>
      </c>
      <c r="J67" t="b">
        <v>0</v>
      </c>
      <c r="K67" s="13" t="n">
        <v>1.45</v>
      </c>
    </row>
    <row r="68">
      <c r="A68" t="inlineStr">
        <is>
          <t>NX-00064</t>
        </is>
      </c>
      <c r="B68" t="inlineStr">
        <is>
          <t>North America</t>
        </is>
      </c>
      <c r="C68" t="inlineStr">
        <is>
          <t>US / Canada</t>
        </is>
      </c>
      <c r="D68" s="12" t="n">
        <v>45352</v>
      </c>
      <c r="E68" s="13" t="n">
        <v>82.5</v>
      </c>
      <c r="F68" s="14" t="n">
        <v>6847500</v>
      </c>
      <c r="G68" t="n">
        <v>8</v>
      </c>
      <c r="H68" s="12" t="n">
        <v>45597</v>
      </c>
      <c r="I68" s="12" t="n">
        <v>45597</v>
      </c>
      <c r="J68" t="b">
        <v>0</v>
      </c>
      <c r="K68" s="13" t="n">
        <v>0.03</v>
      </c>
    </row>
    <row r="69">
      <c r="A69" t="inlineStr">
        <is>
          <t>NX-00065</t>
        </is>
      </c>
      <c r="B69" t="inlineStr">
        <is>
          <t>North America</t>
        </is>
      </c>
      <c r="C69" t="inlineStr">
        <is>
          <t>US / Canada</t>
        </is>
      </c>
      <c r="D69" s="12" t="n">
        <v>45352</v>
      </c>
      <c r="E69" s="13" t="n">
        <v>29.9</v>
      </c>
      <c r="F69" s="14" t="n">
        <v>2481700</v>
      </c>
      <c r="G69" t="n">
        <v>6</v>
      </c>
      <c r="H69" s="12" t="n">
        <v>45536</v>
      </c>
      <c r="I69" s="12" t="n">
        <v>45536</v>
      </c>
      <c r="J69" t="b">
        <v>0</v>
      </c>
      <c r="K69" s="13" t="n">
        <v>0.48</v>
      </c>
    </row>
    <row r="70">
      <c r="A70" t="inlineStr">
        <is>
          <t>NX-00066</t>
        </is>
      </c>
      <c r="B70" t="inlineStr">
        <is>
          <t>North America</t>
        </is>
      </c>
      <c r="C70" t="inlineStr">
        <is>
          <t>US / Canada</t>
        </is>
      </c>
      <c r="D70" s="12" t="n">
        <v>45352</v>
      </c>
      <c r="E70" s="13" t="n">
        <v>5.6</v>
      </c>
      <c r="F70" s="14" t="n">
        <v>464800</v>
      </c>
      <c r="G70" t="n">
        <v>12</v>
      </c>
      <c r="H70" s="12" t="n">
        <v>45717</v>
      </c>
      <c r="I70" s="12" t="n">
        <v>45748</v>
      </c>
      <c r="J70" t="b">
        <v>0</v>
      </c>
      <c r="K70" s="13" t="n">
        <v>0.9399999999999999</v>
      </c>
    </row>
    <row r="71">
      <c r="A71" t="inlineStr">
        <is>
          <t>NX-00067</t>
        </is>
      </c>
      <c r="B71" t="inlineStr">
        <is>
          <t>North America</t>
        </is>
      </c>
      <c r="C71" t="inlineStr">
        <is>
          <t>US / Canada</t>
        </is>
      </c>
      <c r="D71" s="12" t="n">
        <v>45352</v>
      </c>
      <c r="E71" s="13" t="n">
        <v>11.3</v>
      </c>
      <c r="F71" s="14" t="n">
        <v>937900</v>
      </c>
      <c r="G71" t="n">
        <v>5</v>
      </c>
      <c r="H71" s="12" t="n">
        <v>45505</v>
      </c>
      <c r="I71" s="12" t="n">
        <v>45536</v>
      </c>
      <c r="J71" t="b">
        <v>0</v>
      </c>
      <c r="K71" s="13" t="n">
        <v>1.46</v>
      </c>
    </row>
    <row r="72">
      <c r="A72" t="inlineStr">
        <is>
          <t>NX-00068</t>
        </is>
      </c>
      <c r="B72" t="inlineStr">
        <is>
          <t>North America</t>
        </is>
      </c>
      <c r="C72" t="inlineStr">
        <is>
          <t>US / Canada</t>
        </is>
      </c>
      <c r="D72" s="12" t="n">
        <v>45352</v>
      </c>
      <c r="E72" s="13" t="n">
        <v>5.7</v>
      </c>
      <c r="F72" s="14" t="n">
        <v>473100</v>
      </c>
      <c r="G72" t="n">
        <v>9</v>
      </c>
      <c r="H72" s="12" t="n">
        <v>45627</v>
      </c>
      <c r="I72" s="12" t="n">
        <v>45627</v>
      </c>
      <c r="J72" t="b">
        <v>0</v>
      </c>
      <c r="K72" s="13" t="n">
        <v>0</v>
      </c>
    </row>
    <row r="73">
      <c r="A73" t="inlineStr">
        <is>
          <t>NX-00069</t>
        </is>
      </c>
      <c r="B73" t="inlineStr">
        <is>
          <t>North America</t>
        </is>
      </c>
      <c r="C73" t="inlineStr">
        <is>
          <t>US / Canada</t>
        </is>
      </c>
      <c r="D73" s="12" t="n">
        <v>45352</v>
      </c>
      <c r="E73" s="13" t="n">
        <v>10.5</v>
      </c>
      <c r="F73" s="14" t="n">
        <v>871500</v>
      </c>
      <c r="G73" t="n">
        <v>16</v>
      </c>
      <c r="H73" s="12" t="n">
        <v>45839</v>
      </c>
      <c r="I73" s="12" t="n">
        <v>45839</v>
      </c>
      <c r="J73" t="b">
        <v>0</v>
      </c>
      <c r="K73" s="13" t="n">
        <v>0.03</v>
      </c>
    </row>
    <row r="74">
      <c r="A74" t="inlineStr">
        <is>
          <t>NX-00070</t>
        </is>
      </c>
      <c r="B74" t="inlineStr">
        <is>
          <t>North America</t>
        </is>
      </c>
      <c r="C74" t="inlineStr">
        <is>
          <t>US / Canada</t>
        </is>
      </c>
      <c r="D74" s="12" t="n">
        <v>45352</v>
      </c>
      <c r="E74" s="13" t="n">
        <v>5.4</v>
      </c>
      <c r="F74" s="14" t="n">
        <v>448200.0000000001</v>
      </c>
      <c r="G74" t="n">
        <v>19</v>
      </c>
      <c r="H74" s="12" t="n">
        <v>45931</v>
      </c>
      <c r="I74" s="12" t="n">
        <v>45931</v>
      </c>
      <c r="J74" t="b">
        <v>0</v>
      </c>
      <c r="K74" s="13" t="n">
        <v>0.32</v>
      </c>
    </row>
    <row r="75">
      <c r="A75" t="inlineStr">
        <is>
          <t>NX-00071</t>
        </is>
      </c>
      <c r="B75" t="inlineStr">
        <is>
          <t>North America</t>
        </is>
      </c>
      <c r="C75" t="inlineStr">
        <is>
          <t>US / Canada</t>
        </is>
      </c>
      <c r="D75" s="12" t="n">
        <v>45352</v>
      </c>
      <c r="E75" s="13" t="n">
        <v>28</v>
      </c>
      <c r="F75" s="14" t="n">
        <v>2324000</v>
      </c>
      <c r="G75" t="n">
        <v>11</v>
      </c>
      <c r="H75" s="12" t="n">
        <v>45689</v>
      </c>
      <c r="I75" s="12" t="n">
        <v>45689</v>
      </c>
      <c r="J75" t="b">
        <v>0</v>
      </c>
      <c r="K75" s="13" t="n">
        <v>0.01</v>
      </c>
    </row>
    <row r="76">
      <c r="A76" t="inlineStr">
        <is>
          <t>NX-00072</t>
        </is>
      </c>
      <c r="B76" t="inlineStr">
        <is>
          <t>North America</t>
        </is>
      </c>
      <c r="C76" t="inlineStr">
        <is>
          <t>US / Canada</t>
        </is>
      </c>
      <c r="D76" s="12" t="n">
        <v>45352</v>
      </c>
      <c r="E76" s="13" t="n">
        <v>3.5</v>
      </c>
      <c r="F76" s="14" t="n">
        <v>290500</v>
      </c>
      <c r="G76" t="n">
        <v>8</v>
      </c>
      <c r="H76" s="12" t="n">
        <v>45597</v>
      </c>
      <c r="I76" s="12" t="n">
        <v>45597</v>
      </c>
      <c r="J76" t="b">
        <v>0</v>
      </c>
      <c r="K76" s="13" t="n">
        <v>0</v>
      </c>
    </row>
    <row r="77">
      <c r="A77" t="inlineStr">
        <is>
          <t>NX-00073</t>
        </is>
      </c>
      <c r="B77" t="inlineStr">
        <is>
          <t>North America</t>
        </is>
      </c>
      <c r="C77" t="inlineStr">
        <is>
          <t>US / Canada</t>
        </is>
      </c>
      <c r="D77" s="12" t="n">
        <v>45352</v>
      </c>
      <c r="E77" s="13" t="n">
        <v>6.8</v>
      </c>
      <c r="F77" s="14" t="n">
        <v>564400</v>
      </c>
      <c r="G77" t="n">
        <v>5</v>
      </c>
      <c r="H77" s="12" t="n">
        <v>45505</v>
      </c>
      <c r="I77" s="12" t="n">
        <v>45505</v>
      </c>
      <c r="J77" t="b">
        <v>0</v>
      </c>
      <c r="K77" s="13" t="n">
        <v>0.18</v>
      </c>
    </row>
    <row r="78">
      <c r="A78" t="inlineStr">
        <is>
          <t>NX-00074</t>
        </is>
      </c>
      <c r="B78" t="inlineStr">
        <is>
          <t>North America</t>
        </is>
      </c>
      <c r="C78" t="inlineStr">
        <is>
          <t>US / Canada</t>
        </is>
      </c>
      <c r="D78" s="12" t="n">
        <v>45352</v>
      </c>
      <c r="E78" s="13" t="n">
        <v>43.1</v>
      </c>
      <c r="F78" s="14" t="n">
        <v>3577300</v>
      </c>
      <c r="G78" t="n">
        <v>8</v>
      </c>
      <c r="H78" s="12" t="n">
        <v>45597</v>
      </c>
      <c r="I78" s="12" t="n">
        <v>45748</v>
      </c>
      <c r="J78" t="b">
        <v>0</v>
      </c>
      <c r="K78" s="13" t="n">
        <v>4.89</v>
      </c>
    </row>
    <row r="79">
      <c r="A79" t="inlineStr">
        <is>
          <t>NX-00075</t>
        </is>
      </c>
      <c r="B79" t="inlineStr">
        <is>
          <t>North America</t>
        </is>
      </c>
      <c r="C79" t="inlineStr">
        <is>
          <t>US / Canada</t>
        </is>
      </c>
      <c r="D79" s="12" t="n">
        <v>45352</v>
      </c>
      <c r="E79" s="13" t="n">
        <v>22.9</v>
      </c>
      <c r="F79" s="14" t="n">
        <v>1900700</v>
      </c>
      <c r="G79" t="n">
        <v>7</v>
      </c>
      <c r="H79" s="12" t="n">
        <v>45566</v>
      </c>
      <c r="I79" s="12" t="n">
        <v>45566</v>
      </c>
      <c r="J79" t="b">
        <v>0</v>
      </c>
      <c r="K79" s="13" t="n">
        <v>0.02</v>
      </c>
    </row>
    <row r="80">
      <c r="A80" t="inlineStr">
        <is>
          <t>NX-00076</t>
        </is>
      </c>
      <c r="B80" t="inlineStr">
        <is>
          <t>North America</t>
        </is>
      </c>
      <c r="C80" t="inlineStr">
        <is>
          <t>US / Canada</t>
        </is>
      </c>
      <c r="D80" s="12" t="n">
        <v>45352</v>
      </c>
      <c r="E80" s="13" t="n">
        <v>11.1</v>
      </c>
      <c r="F80" s="14" t="n">
        <v>921300</v>
      </c>
      <c r="G80" t="n">
        <v>7</v>
      </c>
      <c r="H80" s="12" t="n">
        <v>45566</v>
      </c>
      <c r="I80" s="12" t="n">
        <v>45566</v>
      </c>
      <c r="J80" t="b">
        <v>0</v>
      </c>
      <c r="K80" s="13" t="n">
        <v>0.02</v>
      </c>
    </row>
    <row r="81">
      <c r="A81" t="inlineStr">
        <is>
          <t>NX-00077</t>
        </is>
      </c>
      <c r="B81" t="inlineStr">
        <is>
          <t>North America</t>
        </is>
      </c>
      <c r="C81" t="inlineStr">
        <is>
          <t>US / Canada</t>
        </is>
      </c>
      <c r="D81" s="12" t="n">
        <v>45352</v>
      </c>
      <c r="E81" s="13" t="n">
        <v>43.5</v>
      </c>
      <c r="F81" s="14" t="n">
        <v>3610500</v>
      </c>
      <c r="G81" t="n">
        <v>20</v>
      </c>
      <c r="H81" s="12" t="n">
        <v>45962</v>
      </c>
      <c r="I81" s="12" t="n">
        <v>45962</v>
      </c>
      <c r="J81" t="b">
        <v>0</v>
      </c>
      <c r="K81" s="13" t="n">
        <v>0</v>
      </c>
    </row>
    <row r="82">
      <c r="A82" t="inlineStr">
        <is>
          <t>NX-00078</t>
        </is>
      </c>
      <c r="B82" t="inlineStr">
        <is>
          <t>North America</t>
        </is>
      </c>
      <c r="C82" t="inlineStr">
        <is>
          <t>US / Canada</t>
        </is>
      </c>
      <c r="D82" s="12" t="n">
        <v>45352</v>
      </c>
      <c r="E82" s="13" t="n">
        <v>8.6</v>
      </c>
      <c r="F82" s="14" t="n">
        <v>713800</v>
      </c>
      <c r="G82" t="n">
        <v>10</v>
      </c>
      <c r="H82" s="12" t="n">
        <v>45658</v>
      </c>
      <c r="I82" s="12" t="n">
        <v>45689</v>
      </c>
      <c r="J82" t="b">
        <v>0</v>
      </c>
      <c r="K82" s="13" t="n">
        <v>0.65</v>
      </c>
    </row>
    <row r="83">
      <c r="A83" t="inlineStr">
        <is>
          <t>NX-00079</t>
        </is>
      </c>
      <c r="B83" t="inlineStr">
        <is>
          <t>North America</t>
        </is>
      </c>
      <c r="C83" t="inlineStr">
        <is>
          <t>US / Canada</t>
        </is>
      </c>
      <c r="D83" s="12" t="n">
        <v>45352</v>
      </c>
      <c r="E83" s="13" t="n">
        <v>5.5</v>
      </c>
      <c r="F83" s="14" t="n">
        <v>456500</v>
      </c>
      <c r="G83" t="n">
        <v>5</v>
      </c>
      <c r="H83" s="12" t="n">
        <v>45505</v>
      </c>
      <c r="I83" s="12" t="n">
        <v>45536</v>
      </c>
      <c r="J83" t="b">
        <v>0</v>
      </c>
      <c r="K83" s="13" t="n">
        <v>0.68</v>
      </c>
    </row>
    <row r="84">
      <c r="A84" t="inlineStr">
        <is>
          <t>NX-00080</t>
        </is>
      </c>
      <c r="B84" t="inlineStr">
        <is>
          <t>North America</t>
        </is>
      </c>
      <c r="C84" t="inlineStr">
        <is>
          <t>US / Canada</t>
        </is>
      </c>
      <c r="D84" s="12" t="n">
        <v>45352</v>
      </c>
      <c r="E84" s="13" t="n">
        <v>51.5</v>
      </c>
      <c r="F84" s="14" t="n">
        <v>4274500</v>
      </c>
      <c r="G84" t="n">
        <v>5</v>
      </c>
      <c r="H84" s="12" t="n">
        <v>45505</v>
      </c>
      <c r="I84" s="12" t="n">
        <v>45505</v>
      </c>
      <c r="J84" t="b">
        <v>0</v>
      </c>
      <c r="K84" s="13" t="n">
        <v>0.01</v>
      </c>
    </row>
    <row r="85">
      <c r="A85" t="inlineStr">
        <is>
          <t>NX-00081</t>
        </is>
      </c>
      <c r="B85" t="inlineStr">
        <is>
          <t>North America</t>
        </is>
      </c>
      <c r="C85" t="inlineStr">
        <is>
          <t>US / Canada</t>
        </is>
      </c>
      <c r="D85" s="12" t="n">
        <v>45352</v>
      </c>
      <c r="E85" s="13" t="n">
        <v>13.8</v>
      </c>
      <c r="F85" s="14" t="n">
        <v>1145400</v>
      </c>
      <c r="G85" t="n">
        <v>9</v>
      </c>
      <c r="H85" s="12" t="n">
        <v>45627</v>
      </c>
      <c r="I85" s="12" t="n">
        <v>45627</v>
      </c>
      <c r="J85" t="b">
        <v>0</v>
      </c>
      <c r="K85" s="13" t="n">
        <v>0.32</v>
      </c>
    </row>
    <row r="86">
      <c r="A86" t="inlineStr">
        <is>
          <t>NX-00082</t>
        </is>
      </c>
      <c r="B86" t="inlineStr">
        <is>
          <t>North America</t>
        </is>
      </c>
      <c r="C86" t="inlineStr">
        <is>
          <t>US / Canada</t>
        </is>
      </c>
      <c r="D86" s="12" t="n">
        <v>45352</v>
      </c>
      <c r="E86" s="13" t="n">
        <v>18.7</v>
      </c>
      <c r="F86" s="14" t="n">
        <v>1552100</v>
      </c>
      <c r="G86" t="n">
        <v>6</v>
      </c>
      <c r="H86" s="12" t="n">
        <v>45536</v>
      </c>
      <c r="I86" s="12" t="n">
        <v>45536</v>
      </c>
      <c r="J86" t="b">
        <v>0</v>
      </c>
      <c r="K86" s="13" t="n">
        <v>0.04</v>
      </c>
    </row>
    <row r="87">
      <c r="A87" t="inlineStr">
        <is>
          <t>NX-00083</t>
        </is>
      </c>
      <c r="B87" t="inlineStr">
        <is>
          <t>North America</t>
        </is>
      </c>
      <c r="C87" t="inlineStr">
        <is>
          <t>US / Canada</t>
        </is>
      </c>
      <c r="D87" s="12" t="n">
        <v>45352</v>
      </c>
      <c r="E87" s="13" t="n">
        <v>36.2</v>
      </c>
      <c r="F87" s="14" t="n">
        <v>3004600</v>
      </c>
      <c r="G87" t="n">
        <v>12</v>
      </c>
      <c r="H87" s="12" t="n">
        <v>45717</v>
      </c>
      <c r="I87" s="12" t="n">
        <v>45717</v>
      </c>
      <c r="J87" t="b">
        <v>0</v>
      </c>
      <c r="K87" s="13" t="n">
        <v>0</v>
      </c>
    </row>
    <row r="88">
      <c r="A88" t="inlineStr">
        <is>
          <t>NX-00084</t>
        </is>
      </c>
      <c r="B88" t="inlineStr">
        <is>
          <t>EMEA</t>
        </is>
      </c>
      <c r="C88" t="inlineStr">
        <is>
          <t>Europe</t>
        </is>
      </c>
      <c r="D88" s="12" t="n">
        <v>45352</v>
      </c>
      <c r="E88" s="13" t="n">
        <v>45</v>
      </c>
      <c r="F88" s="14" t="n">
        <v>3960000</v>
      </c>
      <c r="G88" t="n">
        <v>10</v>
      </c>
      <c r="H88" s="12" t="n">
        <v>45658</v>
      </c>
      <c r="I88" s="12" t="n">
        <v>45689</v>
      </c>
      <c r="J88" t="b">
        <v>0</v>
      </c>
      <c r="K88" s="13" t="n">
        <v>0.76</v>
      </c>
    </row>
    <row r="89">
      <c r="A89" t="inlineStr">
        <is>
          <t>NX-00085</t>
        </is>
      </c>
      <c r="B89" t="inlineStr">
        <is>
          <t>EMEA</t>
        </is>
      </c>
      <c r="C89" t="inlineStr">
        <is>
          <t>Europe</t>
        </is>
      </c>
      <c r="D89" s="12" t="n">
        <v>45352</v>
      </c>
      <c r="E89" s="13" t="n">
        <v>20.2</v>
      </c>
      <c r="F89" s="14" t="n">
        <v>1777600</v>
      </c>
      <c r="G89" t="n">
        <v>7</v>
      </c>
      <c r="H89" s="12" t="n">
        <v>45566</v>
      </c>
      <c r="I89" s="12" t="n">
        <v>45566</v>
      </c>
      <c r="J89" t="b">
        <v>0</v>
      </c>
      <c r="K89" s="13" t="n">
        <v>0.14</v>
      </c>
    </row>
    <row r="90">
      <c r="A90" t="inlineStr">
        <is>
          <t>NX-00086</t>
        </is>
      </c>
      <c r="B90" t="inlineStr">
        <is>
          <t>EMEA</t>
        </is>
      </c>
      <c r="C90" t="inlineStr">
        <is>
          <t>Europe</t>
        </is>
      </c>
      <c r="D90" s="12" t="n">
        <v>45352</v>
      </c>
      <c r="E90" s="13" t="n">
        <v>16.5</v>
      </c>
      <c r="F90" s="14" t="n">
        <v>1452000</v>
      </c>
      <c r="G90" t="n">
        <v>9</v>
      </c>
      <c r="H90" s="12" t="n">
        <v>45627</v>
      </c>
      <c r="I90" s="12" t="n">
        <v>45627</v>
      </c>
      <c r="J90" t="b">
        <v>0</v>
      </c>
      <c r="K90" s="13" t="n">
        <v>0.45</v>
      </c>
    </row>
    <row r="91">
      <c r="A91" t="inlineStr">
        <is>
          <t>NX-00087</t>
        </is>
      </c>
      <c r="B91" t="inlineStr">
        <is>
          <t>EMEA</t>
        </is>
      </c>
      <c r="C91" t="inlineStr">
        <is>
          <t>MENA</t>
        </is>
      </c>
      <c r="D91" s="12" t="n">
        <v>45352</v>
      </c>
      <c r="E91" s="13" t="n">
        <v>12.2</v>
      </c>
      <c r="F91" s="14" t="n">
        <v>988200</v>
      </c>
      <c r="G91" t="n">
        <v>5</v>
      </c>
      <c r="H91" s="12" t="n">
        <v>45505</v>
      </c>
      <c r="I91" s="12" t="n">
        <v>45505</v>
      </c>
      <c r="J91" t="b">
        <v>0</v>
      </c>
      <c r="K91" s="13" t="n">
        <v>0.03</v>
      </c>
    </row>
    <row r="92">
      <c r="A92" t="inlineStr">
        <is>
          <t>NX-00088</t>
        </is>
      </c>
      <c r="B92" t="inlineStr">
        <is>
          <t>EMEA</t>
        </is>
      </c>
      <c r="C92" t="inlineStr">
        <is>
          <t>MENA</t>
        </is>
      </c>
      <c r="D92" s="12" t="n">
        <v>45352</v>
      </c>
      <c r="E92" s="13" t="n">
        <v>5.1</v>
      </c>
      <c r="F92" s="14" t="n">
        <v>413100</v>
      </c>
      <c r="G92" t="n">
        <v>5</v>
      </c>
      <c r="H92" s="12" t="n">
        <v>45505</v>
      </c>
      <c r="I92" s="12" t="n">
        <v>45658</v>
      </c>
      <c r="J92" t="b">
        <v>0</v>
      </c>
      <c r="K92" s="13" t="n">
        <v>4.69</v>
      </c>
    </row>
    <row r="93">
      <c r="A93" t="inlineStr">
        <is>
          <t>NX-00089</t>
        </is>
      </c>
      <c r="B93" t="inlineStr">
        <is>
          <t>EMEA</t>
        </is>
      </c>
      <c r="C93" t="inlineStr">
        <is>
          <t>MENA</t>
        </is>
      </c>
      <c r="D93" s="12" t="n">
        <v>45352</v>
      </c>
      <c r="E93" s="13" t="n">
        <v>5</v>
      </c>
      <c r="F93" s="14" t="n">
        <v>405000</v>
      </c>
      <c r="G93" t="n">
        <v>5</v>
      </c>
      <c r="H93" s="12" t="n">
        <v>45505</v>
      </c>
      <c r="I93" s="12" t="n">
        <v>45505</v>
      </c>
      <c r="J93" t="b">
        <v>0</v>
      </c>
      <c r="K93" s="13" t="n">
        <v>0.22</v>
      </c>
    </row>
    <row r="94">
      <c r="A94" t="inlineStr">
        <is>
          <t>NX-00090</t>
        </is>
      </c>
      <c r="B94" t="inlineStr">
        <is>
          <t>EMEA</t>
        </is>
      </c>
      <c r="C94" t="inlineStr">
        <is>
          <t>MENA</t>
        </is>
      </c>
      <c r="D94" s="12" t="n">
        <v>45352</v>
      </c>
      <c r="E94" s="13" t="n">
        <v>33.2</v>
      </c>
      <c r="F94" s="14" t="n">
        <v>2689200</v>
      </c>
      <c r="G94" t="n">
        <v>6</v>
      </c>
      <c r="H94" s="12" t="n">
        <v>45536</v>
      </c>
      <c r="I94" s="12" t="n">
        <v>45566</v>
      </c>
      <c r="J94" t="b">
        <v>0</v>
      </c>
      <c r="K94" s="13" t="n">
        <v>0.71</v>
      </c>
    </row>
    <row r="95">
      <c r="A95" t="inlineStr">
        <is>
          <t>NX-00091</t>
        </is>
      </c>
      <c r="B95" t="inlineStr">
        <is>
          <t>APAC</t>
        </is>
      </c>
      <c r="C95" t="inlineStr">
        <is>
          <t>Australia/SEA</t>
        </is>
      </c>
      <c r="D95" s="12" t="n">
        <v>45352</v>
      </c>
      <c r="E95" s="13" t="n">
        <v>12.3</v>
      </c>
      <c r="F95" s="14" t="n">
        <v>1033200</v>
      </c>
      <c r="G95" t="n">
        <v>16</v>
      </c>
      <c r="H95" s="12" t="n">
        <v>45839</v>
      </c>
      <c r="I95" s="12" t="n">
        <v>45839</v>
      </c>
      <c r="J95" t="b">
        <v>0</v>
      </c>
      <c r="K95" s="13" t="n">
        <v>0.12</v>
      </c>
    </row>
    <row r="96">
      <c r="A96" t="inlineStr">
        <is>
          <t>NX-00092</t>
        </is>
      </c>
      <c r="B96" t="inlineStr">
        <is>
          <t>APAC</t>
        </is>
      </c>
      <c r="C96" t="inlineStr">
        <is>
          <t>Australia/SEA</t>
        </is>
      </c>
      <c r="D96" s="12" t="n">
        <v>45352</v>
      </c>
      <c r="E96" s="13" t="n">
        <v>26.3</v>
      </c>
      <c r="F96" s="14" t="n">
        <v>2209200</v>
      </c>
      <c r="G96" t="n">
        <v>16</v>
      </c>
      <c r="H96" s="12" t="n">
        <v>45839</v>
      </c>
      <c r="I96" s="12" t="n">
        <v>45839</v>
      </c>
      <c r="J96" t="b">
        <v>0</v>
      </c>
      <c r="K96" s="13" t="n">
        <v>0.3</v>
      </c>
    </row>
    <row r="97">
      <c r="A97" t="inlineStr">
        <is>
          <t>NX-00093</t>
        </is>
      </c>
      <c r="B97" t="inlineStr">
        <is>
          <t>LATAM</t>
        </is>
      </c>
      <c r="C97" t="inlineStr">
        <is>
          <t>LATAM</t>
        </is>
      </c>
      <c r="D97" s="12" t="n">
        <v>45352</v>
      </c>
      <c r="E97" s="13" t="n">
        <v>8.9</v>
      </c>
      <c r="F97" s="14" t="n">
        <v>703100</v>
      </c>
      <c r="G97" t="n">
        <v>13</v>
      </c>
      <c r="H97" s="12" t="n">
        <v>45748</v>
      </c>
      <c r="I97" s="12" t="n">
        <v>45778</v>
      </c>
      <c r="J97" t="b">
        <v>0</v>
      </c>
      <c r="K97" s="13" t="n">
        <v>1.41</v>
      </c>
    </row>
    <row r="98">
      <c r="A98" t="inlineStr">
        <is>
          <t>NX-00094</t>
        </is>
      </c>
      <c r="B98" t="inlineStr">
        <is>
          <t>LATAM</t>
        </is>
      </c>
      <c r="C98" t="inlineStr">
        <is>
          <t>LATAM</t>
        </is>
      </c>
      <c r="D98" s="12" t="n">
        <v>45352</v>
      </c>
      <c r="E98" s="13" t="n">
        <v>7.1</v>
      </c>
      <c r="F98" s="14" t="n">
        <v>560900</v>
      </c>
      <c r="G98" t="n">
        <v>5</v>
      </c>
      <c r="H98" s="12" t="n">
        <v>45505</v>
      </c>
      <c r="I98" s="12" t="n">
        <v>45566</v>
      </c>
      <c r="J98" t="b">
        <v>0</v>
      </c>
      <c r="K98" s="13" t="n">
        <v>1.82</v>
      </c>
    </row>
    <row r="99">
      <c r="A99" t="inlineStr">
        <is>
          <t>NX-00095</t>
        </is>
      </c>
      <c r="B99" t="inlineStr">
        <is>
          <t>LATAM</t>
        </is>
      </c>
      <c r="C99" t="inlineStr">
        <is>
          <t>LATAM</t>
        </is>
      </c>
      <c r="D99" s="12" t="n">
        <v>45352</v>
      </c>
      <c r="E99" s="13" t="n">
        <v>9.4</v>
      </c>
      <c r="F99" s="14" t="n">
        <v>742600</v>
      </c>
      <c r="G99" t="n">
        <v>17</v>
      </c>
      <c r="H99" s="12" t="n">
        <v>45870</v>
      </c>
      <c r="I99" s="12" t="n">
        <v>45962</v>
      </c>
      <c r="J99" t="b">
        <v>0</v>
      </c>
      <c r="K99" s="13" t="n">
        <v>3.24</v>
      </c>
    </row>
    <row r="100">
      <c r="A100" t="inlineStr">
        <is>
          <t>NX-00096</t>
        </is>
      </c>
      <c r="B100" t="inlineStr">
        <is>
          <t>North America</t>
        </is>
      </c>
      <c r="C100" t="inlineStr">
        <is>
          <t>US / Canada</t>
        </is>
      </c>
      <c r="D100" s="12" t="n">
        <v>45383</v>
      </c>
      <c r="E100" s="13" t="n">
        <v>17.5</v>
      </c>
      <c r="F100" s="14" t="n">
        <v>1452500</v>
      </c>
      <c r="G100" t="n">
        <v>6</v>
      </c>
      <c r="H100" s="12" t="n">
        <v>45566</v>
      </c>
      <c r="I100" s="12" t="n">
        <v>45627</v>
      </c>
      <c r="J100" t="b">
        <v>0</v>
      </c>
      <c r="K100" s="13" t="n">
        <v>2.47</v>
      </c>
    </row>
    <row r="101">
      <c r="A101" t="inlineStr">
        <is>
          <t>NX-00097</t>
        </is>
      </c>
      <c r="B101" t="inlineStr">
        <is>
          <t>North America</t>
        </is>
      </c>
      <c r="C101" t="inlineStr">
        <is>
          <t>US / Canada</t>
        </is>
      </c>
      <c r="D101" s="12" t="n">
        <v>45383</v>
      </c>
      <c r="E101" s="13" t="n">
        <v>8.1</v>
      </c>
      <c r="F101" s="14" t="n">
        <v>672300</v>
      </c>
      <c r="G101" t="n">
        <v>9</v>
      </c>
      <c r="H101" s="12" t="n">
        <v>45658</v>
      </c>
      <c r="I101" s="12" t="n">
        <v>45658</v>
      </c>
      <c r="J101" t="b">
        <v>0</v>
      </c>
      <c r="K101" s="13" t="n">
        <v>0.03</v>
      </c>
    </row>
    <row r="102">
      <c r="A102" t="inlineStr">
        <is>
          <t>NX-00098</t>
        </is>
      </c>
      <c r="B102" t="inlineStr">
        <is>
          <t>North America</t>
        </is>
      </c>
      <c r="C102" t="inlineStr">
        <is>
          <t>US / Canada</t>
        </is>
      </c>
      <c r="D102" s="12" t="n">
        <v>45383</v>
      </c>
      <c r="E102" s="13" t="n">
        <v>40.4</v>
      </c>
      <c r="F102" s="14" t="n">
        <v>3353200</v>
      </c>
      <c r="G102" t="n">
        <v>5</v>
      </c>
      <c r="H102" s="12" t="n">
        <v>45536</v>
      </c>
      <c r="I102" s="12" t="n">
        <v>45536</v>
      </c>
      <c r="J102" t="b">
        <v>0</v>
      </c>
      <c r="K102" s="13" t="n">
        <v>0.46</v>
      </c>
    </row>
    <row r="103">
      <c r="A103" t="inlineStr">
        <is>
          <t>NX-00099</t>
        </is>
      </c>
      <c r="B103" t="inlineStr">
        <is>
          <t>North America</t>
        </is>
      </c>
      <c r="C103" t="inlineStr">
        <is>
          <t>US / Canada</t>
        </is>
      </c>
      <c r="D103" s="12" t="n">
        <v>45383</v>
      </c>
      <c r="E103" s="13" t="n">
        <v>21.9</v>
      </c>
      <c r="F103" s="14" t="n">
        <v>1817700</v>
      </c>
      <c r="G103" t="n">
        <v>7</v>
      </c>
      <c r="H103" s="12" t="n">
        <v>45597</v>
      </c>
      <c r="I103" s="12" t="n">
        <v>45597</v>
      </c>
      <c r="J103" t="b">
        <v>0</v>
      </c>
      <c r="K103" s="13" t="n">
        <v>0.06</v>
      </c>
    </row>
    <row r="104">
      <c r="A104" t="inlineStr">
        <is>
          <t>NX-00100</t>
        </is>
      </c>
      <c r="B104" t="inlineStr">
        <is>
          <t>North America</t>
        </is>
      </c>
      <c r="C104" t="inlineStr">
        <is>
          <t>US / Canada</t>
        </is>
      </c>
      <c r="D104" s="12" t="n">
        <v>45383</v>
      </c>
      <c r="E104" s="13" t="n">
        <v>5.3</v>
      </c>
      <c r="F104" s="14" t="n">
        <v>439900</v>
      </c>
      <c r="G104" t="n">
        <v>12</v>
      </c>
      <c r="H104" s="12" t="n">
        <v>45748</v>
      </c>
      <c r="I104" s="12" t="n">
        <v>45748</v>
      </c>
      <c r="J104" t="b">
        <v>0</v>
      </c>
      <c r="K104" s="13" t="n">
        <v>0</v>
      </c>
    </row>
    <row r="105">
      <c r="A105" t="inlineStr">
        <is>
          <t>NX-00101</t>
        </is>
      </c>
      <c r="B105" t="inlineStr">
        <is>
          <t>North America</t>
        </is>
      </c>
      <c r="C105" t="inlineStr">
        <is>
          <t>US / Canada</t>
        </is>
      </c>
      <c r="D105" s="12" t="n">
        <v>45383</v>
      </c>
      <c r="E105" s="13" t="n">
        <v>10.3</v>
      </c>
      <c r="F105" s="14" t="n">
        <v>854900.0000000001</v>
      </c>
      <c r="G105" t="n">
        <v>6</v>
      </c>
      <c r="H105" s="12" t="n">
        <v>45566</v>
      </c>
      <c r="I105" s="12" t="n">
        <v>45566</v>
      </c>
      <c r="J105" t="b">
        <v>0</v>
      </c>
      <c r="K105" s="13" t="n">
        <v>0.1</v>
      </c>
    </row>
    <row r="106">
      <c r="A106" t="inlineStr">
        <is>
          <t>NX-00102</t>
        </is>
      </c>
      <c r="B106" t="inlineStr">
        <is>
          <t>North America</t>
        </is>
      </c>
      <c r="C106" t="inlineStr">
        <is>
          <t>US / Canada</t>
        </is>
      </c>
      <c r="D106" s="12" t="n">
        <v>45383</v>
      </c>
      <c r="E106" s="13" t="n">
        <v>12.9</v>
      </c>
      <c r="F106" s="14" t="n">
        <v>1070700</v>
      </c>
      <c r="G106" t="n">
        <v>10</v>
      </c>
      <c r="H106" s="12" t="n">
        <v>45689</v>
      </c>
      <c r="I106" s="12" t="n">
        <v>45689</v>
      </c>
      <c r="J106" t="b">
        <v>0</v>
      </c>
      <c r="K106" s="13" t="n">
        <v>0</v>
      </c>
    </row>
    <row r="107">
      <c r="A107" t="inlineStr">
        <is>
          <t>NX-00103</t>
        </is>
      </c>
      <c r="B107" t="inlineStr">
        <is>
          <t>North America</t>
        </is>
      </c>
      <c r="C107" t="inlineStr">
        <is>
          <t>US / Canada</t>
        </is>
      </c>
      <c r="D107" s="12" t="n">
        <v>45383</v>
      </c>
      <c r="E107" s="13" t="n">
        <v>5.7</v>
      </c>
      <c r="F107" s="14" t="n">
        <v>473100</v>
      </c>
      <c r="G107" t="n">
        <v>20</v>
      </c>
      <c r="H107" s="12" t="n">
        <v>45992</v>
      </c>
      <c r="I107" s="12" t="n">
        <v>46082</v>
      </c>
      <c r="J107" t="b">
        <v>0</v>
      </c>
      <c r="K107" s="13" t="n">
        <v>3.28</v>
      </c>
    </row>
    <row r="108">
      <c r="A108" t="inlineStr">
        <is>
          <t>NX-00104</t>
        </is>
      </c>
      <c r="B108" t="inlineStr">
        <is>
          <t>North America</t>
        </is>
      </c>
      <c r="C108" t="inlineStr">
        <is>
          <t>US / Canada</t>
        </is>
      </c>
      <c r="D108" s="12" t="n">
        <v>45383</v>
      </c>
      <c r="E108" s="13" t="n">
        <v>24.8</v>
      </c>
      <c r="F108" s="14" t="n">
        <v>2058400</v>
      </c>
      <c r="G108" t="n">
        <v>12</v>
      </c>
      <c r="H108" s="12" t="n">
        <v>45748</v>
      </c>
      <c r="I108" s="12" t="n">
        <v>45778</v>
      </c>
      <c r="J108" t="b">
        <v>0</v>
      </c>
      <c r="K108" s="13" t="n">
        <v>1.24</v>
      </c>
    </row>
    <row r="109">
      <c r="A109" t="inlineStr">
        <is>
          <t>NX-00105</t>
        </is>
      </c>
      <c r="B109" t="inlineStr">
        <is>
          <t>North America</t>
        </is>
      </c>
      <c r="C109" t="inlineStr">
        <is>
          <t>US / Canada</t>
        </is>
      </c>
      <c r="D109" s="12" t="n">
        <v>45383</v>
      </c>
      <c r="E109" s="13" t="n">
        <v>4.5</v>
      </c>
      <c r="F109" s="14" t="n">
        <v>373500</v>
      </c>
      <c r="G109" t="n">
        <v>5</v>
      </c>
      <c r="H109" s="12" t="n">
        <v>45536</v>
      </c>
      <c r="I109" s="12" t="n">
        <v>45536</v>
      </c>
      <c r="J109" t="b">
        <v>0</v>
      </c>
      <c r="K109" s="13" t="n">
        <v>0.15</v>
      </c>
    </row>
    <row r="110">
      <c r="A110" t="inlineStr">
        <is>
          <t>NX-00106</t>
        </is>
      </c>
      <c r="B110" t="inlineStr">
        <is>
          <t>North America</t>
        </is>
      </c>
      <c r="C110" t="inlineStr">
        <is>
          <t>US / Canada</t>
        </is>
      </c>
      <c r="D110" s="12" t="n">
        <v>45383</v>
      </c>
      <c r="E110" s="13" t="n">
        <v>10.8</v>
      </c>
      <c r="F110" s="14" t="n">
        <v>896400.0000000001</v>
      </c>
      <c r="G110" t="n">
        <v>5</v>
      </c>
      <c r="H110" s="12" t="n">
        <v>45536</v>
      </c>
      <c r="I110" s="12" t="n">
        <v>45536</v>
      </c>
      <c r="J110" t="b">
        <v>0</v>
      </c>
      <c r="K110" s="13" t="n">
        <v>0</v>
      </c>
    </row>
    <row r="111">
      <c r="A111" t="inlineStr">
        <is>
          <t>NX-00107</t>
        </is>
      </c>
      <c r="B111" t="inlineStr">
        <is>
          <t>North America</t>
        </is>
      </c>
      <c r="C111" t="inlineStr">
        <is>
          <t>US / Canada</t>
        </is>
      </c>
      <c r="D111" s="12" t="n">
        <v>45383</v>
      </c>
      <c r="E111" s="13" t="n">
        <v>30.1</v>
      </c>
      <c r="F111" s="14" t="n">
        <v>2498300</v>
      </c>
      <c r="G111" t="n">
        <v>8</v>
      </c>
      <c r="H111" s="12" t="n">
        <v>45627</v>
      </c>
      <c r="I111" s="12" t="n">
        <v>45627</v>
      </c>
      <c r="J111" t="b">
        <v>0</v>
      </c>
      <c r="K111" s="13" t="n">
        <v>0.07000000000000001</v>
      </c>
    </row>
    <row r="112">
      <c r="A112" t="inlineStr">
        <is>
          <t>NX-00108</t>
        </is>
      </c>
      <c r="B112" t="inlineStr">
        <is>
          <t>North America</t>
        </is>
      </c>
      <c r="C112" t="inlineStr">
        <is>
          <t>US / Canada</t>
        </is>
      </c>
      <c r="D112" s="12" t="n">
        <v>45383</v>
      </c>
      <c r="E112" s="13" t="n">
        <v>8.6</v>
      </c>
      <c r="F112" s="14" t="n">
        <v>713800</v>
      </c>
      <c r="G112" t="n">
        <v>5</v>
      </c>
      <c r="H112" s="12" t="n">
        <v>45536</v>
      </c>
      <c r="I112" s="12" t="n">
        <v>45536</v>
      </c>
      <c r="J112" t="b">
        <v>0</v>
      </c>
      <c r="K112" s="13" t="n">
        <v>0.25</v>
      </c>
    </row>
    <row r="113">
      <c r="A113" t="inlineStr">
        <is>
          <t>NX-00109</t>
        </is>
      </c>
      <c r="B113" t="inlineStr">
        <is>
          <t>North America</t>
        </is>
      </c>
      <c r="C113" t="inlineStr">
        <is>
          <t>US / Canada</t>
        </is>
      </c>
      <c r="D113" s="12" t="n">
        <v>45383</v>
      </c>
      <c r="E113" s="13" t="n">
        <v>15</v>
      </c>
      <c r="F113" s="14" t="n">
        <v>1245000</v>
      </c>
      <c r="G113" t="n">
        <v>8</v>
      </c>
      <c r="H113" s="12" t="n">
        <v>45627</v>
      </c>
      <c r="I113" s="12" t="n">
        <v>45627</v>
      </c>
      <c r="J113" t="b">
        <v>0</v>
      </c>
      <c r="K113" s="13" t="n">
        <v>0.02</v>
      </c>
    </row>
    <row r="114">
      <c r="A114" t="inlineStr">
        <is>
          <t>NX-00110</t>
        </is>
      </c>
      <c r="B114" t="inlineStr">
        <is>
          <t>North America</t>
        </is>
      </c>
      <c r="C114" t="inlineStr">
        <is>
          <t>US / Canada</t>
        </is>
      </c>
      <c r="D114" s="12" t="n">
        <v>45383</v>
      </c>
      <c r="E114" s="13" t="n">
        <v>5.1</v>
      </c>
      <c r="F114" s="14" t="n">
        <v>423300</v>
      </c>
      <c r="G114" t="n">
        <v>5</v>
      </c>
      <c r="H114" s="12" t="n">
        <v>45536</v>
      </c>
      <c r="I114" s="12" t="n">
        <v>45717</v>
      </c>
      <c r="J114" t="b">
        <v>0</v>
      </c>
      <c r="K114" s="13" t="n">
        <v>6.26</v>
      </c>
    </row>
    <row r="115">
      <c r="A115" t="inlineStr">
        <is>
          <t>NX-00111</t>
        </is>
      </c>
      <c r="B115" t="inlineStr">
        <is>
          <t>North America</t>
        </is>
      </c>
      <c r="C115" t="inlineStr">
        <is>
          <t>US / Canada</t>
        </is>
      </c>
      <c r="D115" s="12" t="n">
        <v>45383</v>
      </c>
      <c r="E115" s="13" t="n">
        <v>98.40000000000001</v>
      </c>
      <c r="F115" s="14" t="n">
        <v>8167200.000000001</v>
      </c>
      <c r="G115" t="n">
        <v>9</v>
      </c>
      <c r="H115" s="12" t="n">
        <v>45658</v>
      </c>
      <c r="I115" s="12" t="n">
        <v>45658</v>
      </c>
      <c r="J115" t="b">
        <v>0</v>
      </c>
      <c r="K115" s="13" t="n">
        <v>0.21</v>
      </c>
    </row>
    <row r="116">
      <c r="A116" t="inlineStr">
        <is>
          <t>NX-00112</t>
        </is>
      </c>
      <c r="B116" t="inlineStr">
        <is>
          <t>North America</t>
        </is>
      </c>
      <c r="C116" t="inlineStr">
        <is>
          <t>US / Canada</t>
        </is>
      </c>
      <c r="D116" s="12" t="n">
        <v>45383</v>
      </c>
      <c r="E116" s="13" t="n">
        <v>21.8</v>
      </c>
      <c r="F116" s="14" t="n">
        <v>1809400</v>
      </c>
      <c r="G116" t="n">
        <v>7</v>
      </c>
      <c r="H116" s="12" t="n">
        <v>45597</v>
      </c>
      <c r="I116" s="12" t="n">
        <v>45597</v>
      </c>
      <c r="J116" t="b">
        <v>0</v>
      </c>
      <c r="K116" s="13" t="n">
        <v>0.03</v>
      </c>
    </row>
    <row r="117">
      <c r="A117" t="inlineStr">
        <is>
          <t>NX-00113</t>
        </is>
      </c>
      <c r="B117" t="inlineStr">
        <is>
          <t>North America</t>
        </is>
      </c>
      <c r="C117" t="inlineStr">
        <is>
          <t>US / Canada</t>
        </is>
      </c>
      <c r="D117" s="12" t="n">
        <v>45383</v>
      </c>
      <c r="E117" s="13" t="n">
        <v>21.3</v>
      </c>
      <c r="F117" s="14" t="n">
        <v>1767900</v>
      </c>
      <c r="G117" t="n">
        <v>7</v>
      </c>
      <c r="H117" s="12" t="n">
        <v>45597</v>
      </c>
      <c r="I117" s="12" t="n">
        <v>45627</v>
      </c>
      <c r="J117" t="b">
        <v>0</v>
      </c>
      <c r="K117" s="13" t="n">
        <v>0.52</v>
      </c>
    </row>
    <row r="118">
      <c r="A118" t="inlineStr">
        <is>
          <t>NX-00114</t>
        </is>
      </c>
      <c r="B118" t="inlineStr">
        <is>
          <t>North America</t>
        </is>
      </c>
      <c r="C118" t="inlineStr">
        <is>
          <t>US / Canada</t>
        </is>
      </c>
      <c r="D118" s="12" t="n">
        <v>45383</v>
      </c>
      <c r="E118" s="13" t="n">
        <v>8.6</v>
      </c>
      <c r="F118" s="14" t="n">
        <v>713800</v>
      </c>
      <c r="G118" t="n">
        <v>12</v>
      </c>
      <c r="H118" s="12" t="n">
        <v>45748</v>
      </c>
      <c r="I118" s="12" t="n">
        <v>45748</v>
      </c>
      <c r="J118" t="b">
        <v>0</v>
      </c>
      <c r="K118" s="13" t="n">
        <v>0.01</v>
      </c>
    </row>
    <row r="119">
      <c r="A119" t="inlineStr">
        <is>
          <t>NX-00115</t>
        </is>
      </c>
      <c r="B119" t="inlineStr">
        <is>
          <t>North America</t>
        </is>
      </c>
      <c r="C119" t="inlineStr">
        <is>
          <t>US / Canada</t>
        </is>
      </c>
      <c r="D119" s="12" t="n">
        <v>45383</v>
      </c>
      <c r="E119" s="13" t="n">
        <v>4</v>
      </c>
      <c r="F119" s="14" t="n">
        <v>332000</v>
      </c>
      <c r="G119" t="n">
        <v>6</v>
      </c>
      <c r="H119" s="12" t="n">
        <v>45566</v>
      </c>
      <c r="I119" s="12" t="n">
        <v>45566</v>
      </c>
      <c r="J119" t="b">
        <v>0</v>
      </c>
      <c r="K119" s="13" t="n">
        <v>0</v>
      </c>
    </row>
    <row r="120">
      <c r="A120" t="inlineStr">
        <is>
          <t>NX-00116</t>
        </is>
      </c>
      <c r="B120" t="inlineStr">
        <is>
          <t>North America</t>
        </is>
      </c>
      <c r="C120" t="inlineStr">
        <is>
          <t>US / Canada</t>
        </is>
      </c>
      <c r="D120" s="12" t="n">
        <v>45383</v>
      </c>
      <c r="E120" s="13" t="n">
        <v>11</v>
      </c>
      <c r="F120" s="14" t="n">
        <v>913000</v>
      </c>
      <c r="G120" t="n">
        <v>5</v>
      </c>
      <c r="H120" s="12" t="n">
        <v>45536</v>
      </c>
      <c r="I120" s="12" t="n">
        <v>45627</v>
      </c>
      <c r="J120" t="b">
        <v>0</v>
      </c>
      <c r="K120" s="13" t="n">
        <v>2.72</v>
      </c>
    </row>
    <row r="121">
      <c r="A121" t="inlineStr">
        <is>
          <t>NX-00117</t>
        </is>
      </c>
      <c r="B121" t="inlineStr">
        <is>
          <t>North America</t>
        </is>
      </c>
      <c r="C121" t="inlineStr">
        <is>
          <t>US / Canada</t>
        </is>
      </c>
      <c r="D121" s="12" t="n">
        <v>45383</v>
      </c>
      <c r="E121" s="13" t="n">
        <v>15.2</v>
      </c>
      <c r="F121" s="14" t="n">
        <v>1261600</v>
      </c>
      <c r="G121" t="n">
        <v>7</v>
      </c>
      <c r="H121" s="12" t="n">
        <v>45597</v>
      </c>
      <c r="I121" s="12" t="n">
        <v>45597</v>
      </c>
      <c r="J121" t="b">
        <v>0</v>
      </c>
      <c r="K121" s="13" t="n">
        <v>0.15</v>
      </c>
    </row>
    <row r="122">
      <c r="A122" t="inlineStr">
        <is>
          <t>NX-00118</t>
        </is>
      </c>
      <c r="B122" t="inlineStr">
        <is>
          <t>North America</t>
        </is>
      </c>
      <c r="C122" t="inlineStr">
        <is>
          <t>US / Canada</t>
        </is>
      </c>
      <c r="D122" s="12" t="n">
        <v>45383</v>
      </c>
      <c r="E122" s="13" t="n">
        <v>11.3</v>
      </c>
      <c r="F122" s="14" t="n">
        <v>937900</v>
      </c>
      <c r="G122" t="n">
        <v>5</v>
      </c>
      <c r="H122" s="12" t="n">
        <v>45536</v>
      </c>
      <c r="I122" s="12" t="n">
        <v>45566</v>
      </c>
      <c r="J122" t="b">
        <v>0</v>
      </c>
      <c r="K122" s="13" t="n">
        <v>1.03</v>
      </c>
    </row>
    <row r="123">
      <c r="A123" t="inlineStr">
        <is>
          <t>NX-00119</t>
        </is>
      </c>
      <c r="B123" t="inlineStr">
        <is>
          <t>North America</t>
        </is>
      </c>
      <c r="C123" t="inlineStr">
        <is>
          <t>US / Canada</t>
        </is>
      </c>
      <c r="D123" s="12" t="n">
        <v>45383</v>
      </c>
      <c r="E123" s="13" t="n">
        <v>18.7</v>
      </c>
      <c r="F123" s="14" t="n">
        <v>1552100</v>
      </c>
      <c r="G123" t="n">
        <v>12</v>
      </c>
      <c r="H123" s="12" t="n">
        <v>45748</v>
      </c>
      <c r="I123" s="12" t="n">
        <v>45778</v>
      </c>
      <c r="J123" t="b">
        <v>0</v>
      </c>
      <c r="K123" s="13" t="n">
        <v>0.5</v>
      </c>
    </row>
    <row r="124">
      <c r="A124" t="inlineStr">
        <is>
          <t>NX-00120</t>
        </is>
      </c>
      <c r="B124" t="inlineStr">
        <is>
          <t>North America</t>
        </is>
      </c>
      <c r="C124" t="inlineStr">
        <is>
          <t>US / Canada</t>
        </is>
      </c>
      <c r="D124" s="12" t="n">
        <v>45383</v>
      </c>
      <c r="E124" s="13" t="n">
        <v>3.8</v>
      </c>
      <c r="F124" s="14" t="n">
        <v>315400</v>
      </c>
      <c r="G124" t="n">
        <v>11</v>
      </c>
      <c r="H124" s="12" t="n">
        <v>45717</v>
      </c>
      <c r="I124" s="12" t="n">
        <v>45717</v>
      </c>
      <c r="J124" t="b">
        <v>0</v>
      </c>
      <c r="K124" s="13" t="n">
        <v>0.11</v>
      </c>
    </row>
    <row r="125">
      <c r="A125" t="inlineStr">
        <is>
          <t>NX-00121</t>
        </is>
      </c>
      <c r="B125" t="inlineStr">
        <is>
          <t>North America</t>
        </is>
      </c>
      <c r="C125" t="inlineStr">
        <is>
          <t>US / Canada</t>
        </is>
      </c>
      <c r="D125" s="12" t="n">
        <v>45383</v>
      </c>
      <c r="E125" s="13" t="n">
        <v>5.8</v>
      </c>
      <c r="F125" s="14" t="n">
        <v>481400</v>
      </c>
      <c r="G125" t="n">
        <v>5</v>
      </c>
      <c r="H125" s="12" t="n">
        <v>45536</v>
      </c>
      <c r="I125" s="12" t="n">
        <v>45566</v>
      </c>
      <c r="J125" t="b">
        <v>0</v>
      </c>
      <c r="K125" s="13" t="n">
        <v>1.25</v>
      </c>
    </row>
    <row r="126">
      <c r="A126" t="inlineStr">
        <is>
          <t>NX-00122</t>
        </is>
      </c>
      <c r="B126" t="inlineStr">
        <is>
          <t>North America</t>
        </is>
      </c>
      <c r="C126" t="inlineStr">
        <is>
          <t>US / Canada</t>
        </is>
      </c>
      <c r="D126" s="12" t="n">
        <v>45383</v>
      </c>
      <c r="E126" s="13" t="n">
        <v>4.4</v>
      </c>
      <c r="F126" s="14" t="n">
        <v>365200.0000000001</v>
      </c>
      <c r="G126" t="n">
        <v>7</v>
      </c>
      <c r="H126" s="12" t="n">
        <v>45597</v>
      </c>
      <c r="I126" s="12" t="n">
        <v>45658</v>
      </c>
      <c r="J126" t="b">
        <v>0</v>
      </c>
      <c r="K126" s="13" t="n">
        <v>1.73</v>
      </c>
    </row>
    <row r="127">
      <c r="A127" t="inlineStr">
        <is>
          <t>NX-00123</t>
        </is>
      </c>
      <c r="B127" t="inlineStr">
        <is>
          <t>North America</t>
        </is>
      </c>
      <c r="C127" t="inlineStr">
        <is>
          <t>US / Canada</t>
        </is>
      </c>
      <c r="D127" s="12" t="n">
        <v>45383</v>
      </c>
      <c r="E127" s="13" t="n">
        <v>26.3</v>
      </c>
      <c r="F127" s="14" t="n">
        <v>2182900</v>
      </c>
      <c r="G127" t="n">
        <v>5</v>
      </c>
      <c r="H127" s="12" t="n">
        <v>45536</v>
      </c>
      <c r="I127" s="12" t="n">
        <v>45717</v>
      </c>
      <c r="J127" t="b">
        <v>0</v>
      </c>
      <c r="K127" s="13" t="n">
        <v>5.73</v>
      </c>
    </row>
    <row r="128">
      <c r="A128" t="inlineStr">
        <is>
          <t>NX-00124</t>
        </is>
      </c>
      <c r="B128" t="inlineStr">
        <is>
          <t>North America</t>
        </is>
      </c>
      <c r="C128" t="inlineStr">
        <is>
          <t>US / Canada</t>
        </is>
      </c>
      <c r="D128" s="12" t="n">
        <v>45383</v>
      </c>
      <c r="E128" s="13" t="n">
        <v>6.4</v>
      </c>
      <c r="F128" s="14" t="n">
        <v>531200</v>
      </c>
      <c r="G128" t="n">
        <v>6</v>
      </c>
      <c r="H128" s="12" t="n">
        <v>45566</v>
      </c>
      <c r="I128" s="12" t="n">
        <v>45566</v>
      </c>
      <c r="J128" t="b">
        <v>0</v>
      </c>
      <c r="K128" s="13" t="n">
        <v>0.01</v>
      </c>
    </row>
    <row r="129">
      <c r="A129" t="inlineStr">
        <is>
          <t>NX-00125</t>
        </is>
      </c>
      <c r="B129" t="inlineStr">
        <is>
          <t>North America</t>
        </is>
      </c>
      <c r="C129" t="inlineStr">
        <is>
          <t>US / Canada</t>
        </is>
      </c>
      <c r="D129" s="12" t="n">
        <v>45383</v>
      </c>
      <c r="E129" s="13" t="n">
        <v>55.3</v>
      </c>
      <c r="F129" s="14" t="n">
        <v>4589900</v>
      </c>
      <c r="G129" t="n">
        <v>5</v>
      </c>
      <c r="H129" s="12" t="n">
        <v>45536</v>
      </c>
      <c r="I129" s="12" t="n">
        <v>45566</v>
      </c>
      <c r="J129" t="b">
        <v>0</v>
      </c>
      <c r="K129" s="13" t="n">
        <v>1.22</v>
      </c>
    </row>
    <row r="130">
      <c r="A130" t="inlineStr">
        <is>
          <t>NX-00126</t>
        </is>
      </c>
      <c r="B130" t="inlineStr">
        <is>
          <t>North America</t>
        </is>
      </c>
      <c r="C130" t="inlineStr">
        <is>
          <t>US / Canada</t>
        </is>
      </c>
      <c r="D130" s="12" t="n">
        <v>45383</v>
      </c>
      <c r="E130" s="13" t="n">
        <v>6.7</v>
      </c>
      <c r="F130" s="14" t="n">
        <v>556100</v>
      </c>
      <c r="G130" t="n">
        <v>8</v>
      </c>
      <c r="H130" s="12" t="n">
        <v>45627</v>
      </c>
      <c r="I130" s="12" t="n">
        <v>45627</v>
      </c>
      <c r="J130" t="b">
        <v>0</v>
      </c>
      <c r="K130" s="13" t="n">
        <v>0.01</v>
      </c>
    </row>
    <row r="131">
      <c r="A131" t="inlineStr">
        <is>
          <t>NX-00127</t>
        </is>
      </c>
      <c r="B131" t="inlineStr">
        <is>
          <t>North America</t>
        </is>
      </c>
      <c r="C131" t="inlineStr">
        <is>
          <t>US / Canada</t>
        </is>
      </c>
      <c r="D131" s="12" t="n">
        <v>45383</v>
      </c>
      <c r="E131" s="13" t="n">
        <v>27.9</v>
      </c>
      <c r="F131" s="14" t="n">
        <v>2315700</v>
      </c>
      <c r="G131" t="n">
        <v>13</v>
      </c>
      <c r="H131" s="12" t="n">
        <v>45778</v>
      </c>
      <c r="I131" s="12" t="n">
        <v>45778</v>
      </c>
      <c r="J131" t="b">
        <v>0</v>
      </c>
      <c r="K131" s="13" t="n">
        <v>0.21</v>
      </c>
    </row>
    <row r="132">
      <c r="A132" t="inlineStr">
        <is>
          <t>NX-00128</t>
        </is>
      </c>
      <c r="B132" t="inlineStr">
        <is>
          <t>North America</t>
        </is>
      </c>
      <c r="C132" t="inlineStr">
        <is>
          <t>US / Canada</t>
        </is>
      </c>
      <c r="D132" s="12" t="n">
        <v>45383</v>
      </c>
      <c r="E132" s="13" t="n">
        <v>14.2</v>
      </c>
      <c r="F132" s="14" t="n">
        <v>1178600</v>
      </c>
      <c r="G132" t="n">
        <v>5</v>
      </c>
      <c r="H132" s="12" t="n">
        <v>45536</v>
      </c>
      <c r="I132" s="12" t="n">
        <v>45566</v>
      </c>
      <c r="J132" t="b">
        <v>0</v>
      </c>
      <c r="K132" s="13" t="n">
        <v>0.85</v>
      </c>
    </row>
    <row r="133">
      <c r="A133" t="inlineStr">
        <is>
          <t>NX-00129</t>
        </is>
      </c>
      <c r="B133" t="inlineStr">
        <is>
          <t>EMEA</t>
        </is>
      </c>
      <c r="C133" t="inlineStr">
        <is>
          <t>Europe</t>
        </is>
      </c>
      <c r="D133" s="12" t="n">
        <v>45383</v>
      </c>
      <c r="E133" s="13" t="n">
        <v>23.3</v>
      </c>
      <c r="F133" s="14" t="n">
        <v>2050400</v>
      </c>
      <c r="G133" t="n">
        <v>12</v>
      </c>
      <c r="H133" s="12" t="n">
        <v>45748</v>
      </c>
      <c r="I133" s="12" t="n">
        <v>45778</v>
      </c>
      <c r="J133" t="b">
        <v>0</v>
      </c>
      <c r="K133" s="13" t="n">
        <v>0.85</v>
      </c>
    </row>
    <row r="134">
      <c r="A134" t="inlineStr">
        <is>
          <t>NX-00130</t>
        </is>
      </c>
      <c r="B134" t="inlineStr">
        <is>
          <t>EMEA</t>
        </is>
      </c>
      <c r="C134" t="inlineStr">
        <is>
          <t>Europe</t>
        </is>
      </c>
      <c r="D134" s="12" t="n">
        <v>45383</v>
      </c>
      <c r="E134" s="13" t="n">
        <v>5.9</v>
      </c>
      <c r="F134" s="14" t="n">
        <v>519200.0000000001</v>
      </c>
      <c r="G134" t="n">
        <v>5</v>
      </c>
      <c r="H134" s="12" t="n">
        <v>45536</v>
      </c>
      <c r="I134" s="12" t="n"/>
      <c r="J134" t="b">
        <v>1</v>
      </c>
      <c r="K134" s="13" t="n">
        <v>0.88</v>
      </c>
    </row>
    <row r="135">
      <c r="A135" t="inlineStr">
        <is>
          <t>NX-00131</t>
        </is>
      </c>
      <c r="B135" t="inlineStr">
        <is>
          <t>EMEA</t>
        </is>
      </c>
      <c r="C135" t="inlineStr">
        <is>
          <t>MENA</t>
        </is>
      </c>
      <c r="D135" s="12" t="n">
        <v>45383</v>
      </c>
      <c r="E135" s="13" t="n">
        <v>16.5</v>
      </c>
      <c r="F135" s="14" t="n">
        <v>1336500</v>
      </c>
      <c r="G135" t="n">
        <v>8</v>
      </c>
      <c r="H135" s="12" t="n">
        <v>45627</v>
      </c>
      <c r="I135" s="12" t="n">
        <v>45689</v>
      </c>
      <c r="J135" t="b">
        <v>0</v>
      </c>
      <c r="K135" s="13" t="n">
        <v>1.68</v>
      </c>
    </row>
    <row r="136">
      <c r="A136" t="inlineStr">
        <is>
          <t>NX-00132</t>
        </is>
      </c>
      <c r="B136" t="inlineStr">
        <is>
          <t>EMEA</t>
        </is>
      </c>
      <c r="C136" t="inlineStr">
        <is>
          <t>MENA</t>
        </is>
      </c>
      <c r="D136" s="12" t="n">
        <v>45383</v>
      </c>
      <c r="E136" s="13" t="n">
        <v>37.1</v>
      </c>
      <c r="F136" s="14" t="n">
        <v>3005100</v>
      </c>
      <c r="G136" t="n">
        <v>8</v>
      </c>
      <c r="H136" s="12" t="n">
        <v>45627</v>
      </c>
      <c r="I136" s="12" t="n">
        <v>45778</v>
      </c>
      <c r="J136" t="b">
        <v>0</v>
      </c>
      <c r="K136" s="13" t="n">
        <v>4.63</v>
      </c>
    </row>
    <row r="137">
      <c r="A137" t="inlineStr">
        <is>
          <t>NX-00133</t>
        </is>
      </c>
      <c r="B137" t="inlineStr">
        <is>
          <t>APAC</t>
        </is>
      </c>
      <c r="C137" t="inlineStr">
        <is>
          <t>India</t>
        </is>
      </c>
      <c r="D137" s="12" t="n">
        <v>45383</v>
      </c>
      <c r="E137" s="13" t="n">
        <v>11.2</v>
      </c>
      <c r="F137" s="14" t="n">
        <v>795200</v>
      </c>
      <c r="G137" t="n">
        <v>5</v>
      </c>
      <c r="H137" s="12" t="n">
        <v>45536</v>
      </c>
      <c r="I137" s="12" t="n">
        <v>45566</v>
      </c>
      <c r="J137" t="b">
        <v>0</v>
      </c>
      <c r="K137" s="13" t="n">
        <v>0.86</v>
      </c>
    </row>
    <row r="138">
      <c r="A138" t="inlineStr">
        <is>
          <t>NX-00134</t>
        </is>
      </c>
      <c r="B138" t="inlineStr">
        <is>
          <t>APAC</t>
        </is>
      </c>
      <c r="C138" t="inlineStr">
        <is>
          <t>Australia/SEA</t>
        </is>
      </c>
      <c r="D138" s="12" t="n">
        <v>45383</v>
      </c>
      <c r="E138" s="13" t="n">
        <v>8.9</v>
      </c>
      <c r="F138" s="14" t="n">
        <v>747600</v>
      </c>
      <c r="G138" t="n">
        <v>11</v>
      </c>
      <c r="H138" s="12" t="n">
        <v>45717</v>
      </c>
      <c r="I138" s="12" t="n">
        <v>45748</v>
      </c>
      <c r="J138" t="b">
        <v>0</v>
      </c>
      <c r="K138" s="13" t="n">
        <v>1.05</v>
      </c>
    </row>
    <row r="139">
      <c r="A139" t="inlineStr">
        <is>
          <t>NX-00135</t>
        </is>
      </c>
      <c r="B139" t="inlineStr">
        <is>
          <t>APAC</t>
        </is>
      </c>
      <c r="C139" t="inlineStr">
        <is>
          <t>Australia/SEA</t>
        </is>
      </c>
      <c r="D139" s="12" t="n">
        <v>45383</v>
      </c>
      <c r="E139" s="13" t="n">
        <v>27.3</v>
      </c>
      <c r="F139" s="14" t="n">
        <v>2293200</v>
      </c>
      <c r="G139" t="n">
        <v>5</v>
      </c>
      <c r="H139" s="12" t="n">
        <v>45536</v>
      </c>
      <c r="I139" s="12" t="n">
        <v>45717</v>
      </c>
      <c r="J139" t="b">
        <v>0</v>
      </c>
      <c r="K139" s="13" t="n">
        <v>6.49</v>
      </c>
    </row>
    <row r="140">
      <c r="A140" t="inlineStr">
        <is>
          <t>NX-00136</t>
        </is>
      </c>
      <c r="B140" t="inlineStr">
        <is>
          <t>LATAM</t>
        </is>
      </c>
      <c r="C140" t="inlineStr">
        <is>
          <t>LATAM</t>
        </is>
      </c>
      <c r="D140" s="12" t="n">
        <v>45383</v>
      </c>
      <c r="E140" s="13" t="n">
        <v>14.6</v>
      </c>
      <c r="F140" s="14" t="n">
        <v>1153400</v>
      </c>
      <c r="G140" t="n">
        <v>11</v>
      </c>
      <c r="H140" s="12" t="n">
        <v>45717</v>
      </c>
      <c r="I140" s="12" t="n">
        <v>46235</v>
      </c>
      <c r="J140" t="b">
        <v>0</v>
      </c>
      <c r="K140" s="13" t="n">
        <v>16.53</v>
      </c>
    </row>
    <row r="141">
      <c r="A141" t="inlineStr">
        <is>
          <t>NX-00137</t>
        </is>
      </c>
      <c r="B141" t="inlineStr">
        <is>
          <t>LATAM</t>
        </is>
      </c>
      <c r="C141" t="inlineStr">
        <is>
          <t>LATAM</t>
        </is>
      </c>
      <c r="D141" s="12" t="n">
        <v>45383</v>
      </c>
      <c r="E141" s="13" t="n">
        <v>10.4</v>
      </c>
      <c r="F141" s="14" t="n">
        <v>821600</v>
      </c>
      <c r="G141" t="n">
        <v>5</v>
      </c>
      <c r="H141" s="12" t="n">
        <v>45536</v>
      </c>
      <c r="I141" s="12" t="n">
        <v>45566</v>
      </c>
      <c r="J141" t="b">
        <v>0</v>
      </c>
      <c r="K141" s="13" t="n">
        <v>0.91</v>
      </c>
    </row>
    <row r="142">
      <c r="A142" t="inlineStr">
        <is>
          <t>NX-00138</t>
        </is>
      </c>
      <c r="B142" t="inlineStr">
        <is>
          <t>North America</t>
        </is>
      </c>
      <c r="C142" t="inlineStr">
        <is>
          <t>US / Canada</t>
        </is>
      </c>
      <c r="D142" s="12" t="n">
        <v>45413</v>
      </c>
      <c r="E142" s="13" t="n">
        <v>28.3</v>
      </c>
      <c r="F142" s="14" t="n">
        <v>2348900</v>
      </c>
      <c r="G142" t="n">
        <v>7</v>
      </c>
      <c r="H142" s="12" t="n">
        <v>45627</v>
      </c>
      <c r="I142" s="12" t="n">
        <v>45658</v>
      </c>
      <c r="J142" t="b">
        <v>0</v>
      </c>
      <c r="K142" s="13" t="n">
        <v>1.06</v>
      </c>
    </row>
    <row r="143">
      <c r="A143" t="inlineStr">
        <is>
          <t>NX-00139</t>
        </is>
      </c>
      <c r="B143" t="inlineStr">
        <is>
          <t>North America</t>
        </is>
      </c>
      <c r="C143" t="inlineStr">
        <is>
          <t>US / Canada</t>
        </is>
      </c>
      <c r="D143" s="12" t="n">
        <v>45413</v>
      </c>
      <c r="E143" s="13" t="n">
        <v>10.5</v>
      </c>
      <c r="F143" s="14" t="n">
        <v>871500</v>
      </c>
      <c r="G143" t="n">
        <v>9</v>
      </c>
      <c r="H143" s="12" t="n">
        <v>45689</v>
      </c>
      <c r="I143" s="12" t="n">
        <v>45689</v>
      </c>
      <c r="J143" t="b">
        <v>0</v>
      </c>
      <c r="K143" s="13" t="n">
        <v>0.03</v>
      </c>
    </row>
    <row r="144">
      <c r="A144" t="inlineStr">
        <is>
          <t>NX-00140</t>
        </is>
      </c>
      <c r="B144" t="inlineStr">
        <is>
          <t>North America</t>
        </is>
      </c>
      <c r="C144" t="inlineStr">
        <is>
          <t>US / Canada</t>
        </is>
      </c>
      <c r="D144" s="12" t="n">
        <v>45413</v>
      </c>
      <c r="E144" s="13" t="n">
        <v>15</v>
      </c>
      <c r="F144" s="14" t="n">
        <v>1245000</v>
      </c>
      <c r="G144" t="n">
        <v>8</v>
      </c>
      <c r="H144" s="12" t="n">
        <v>45658</v>
      </c>
      <c r="I144" s="12" t="n">
        <v>45658</v>
      </c>
      <c r="J144" t="b">
        <v>0</v>
      </c>
      <c r="K144" s="13" t="n">
        <v>0.06</v>
      </c>
    </row>
    <row r="145">
      <c r="A145" t="inlineStr">
        <is>
          <t>NX-00141</t>
        </is>
      </c>
      <c r="B145" t="inlineStr">
        <is>
          <t>North America</t>
        </is>
      </c>
      <c r="C145" t="inlineStr">
        <is>
          <t>US / Canada</t>
        </is>
      </c>
      <c r="D145" s="12" t="n">
        <v>45413</v>
      </c>
      <c r="E145" s="13" t="n">
        <v>7.8</v>
      </c>
      <c r="F145" s="14" t="n">
        <v>647400</v>
      </c>
      <c r="G145" t="n">
        <v>8</v>
      </c>
      <c r="H145" s="12" t="n">
        <v>45658</v>
      </c>
      <c r="I145" s="12" t="n">
        <v>45658</v>
      </c>
      <c r="J145" t="b">
        <v>0</v>
      </c>
      <c r="K145" s="13" t="n">
        <v>0.07000000000000001</v>
      </c>
    </row>
    <row r="146">
      <c r="A146" t="inlineStr">
        <is>
          <t>NX-00142</t>
        </is>
      </c>
      <c r="B146" t="inlineStr">
        <is>
          <t>North America</t>
        </is>
      </c>
      <c r="C146" t="inlineStr">
        <is>
          <t>US / Canada</t>
        </is>
      </c>
      <c r="D146" s="12" t="n">
        <v>45413</v>
      </c>
      <c r="E146" s="13" t="n">
        <v>6.4</v>
      </c>
      <c r="F146" s="14" t="n">
        <v>531200</v>
      </c>
      <c r="G146" t="n">
        <v>6</v>
      </c>
      <c r="H146" s="12" t="n">
        <v>45597</v>
      </c>
      <c r="I146" s="12" t="n">
        <v>45627</v>
      </c>
      <c r="J146" t="b">
        <v>0</v>
      </c>
      <c r="K146" s="13" t="n">
        <v>0.77</v>
      </c>
    </row>
    <row r="147">
      <c r="A147" t="inlineStr">
        <is>
          <t>NX-00143</t>
        </is>
      </c>
      <c r="B147" t="inlineStr">
        <is>
          <t>North America</t>
        </is>
      </c>
      <c r="C147" t="inlineStr">
        <is>
          <t>US / Canada</t>
        </is>
      </c>
      <c r="D147" s="12" t="n">
        <v>45413</v>
      </c>
      <c r="E147" s="13" t="n">
        <v>44</v>
      </c>
      <c r="F147" s="14" t="n">
        <v>3652000</v>
      </c>
      <c r="G147" t="n">
        <v>6</v>
      </c>
      <c r="H147" s="12" t="n">
        <v>45597</v>
      </c>
      <c r="I147" s="12" t="n">
        <v>45597</v>
      </c>
      <c r="J147" t="b">
        <v>0</v>
      </c>
      <c r="K147" s="13" t="n">
        <v>0</v>
      </c>
    </row>
    <row r="148">
      <c r="A148" t="inlineStr">
        <is>
          <t>NX-00144</t>
        </is>
      </c>
      <c r="B148" t="inlineStr">
        <is>
          <t>North America</t>
        </is>
      </c>
      <c r="C148" t="inlineStr">
        <is>
          <t>US / Canada</t>
        </is>
      </c>
      <c r="D148" s="12" t="n">
        <v>45413</v>
      </c>
      <c r="E148" s="13" t="n">
        <v>22.7</v>
      </c>
      <c r="F148" s="14" t="n">
        <v>1884100</v>
      </c>
      <c r="G148" t="n">
        <v>8</v>
      </c>
      <c r="H148" s="12" t="n">
        <v>45658</v>
      </c>
      <c r="I148" s="12" t="n">
        <v>45658</v>
      </c>
      <c r="J148" t="b">
        <v>0</v>
      </c>
      <c r="K148" s="13" t="n">
        <v>0.01</v>
      </c>
    </row>
    <row r="149">
      <c r="A149" t="inlineStr">
        <is>
          <t>NX-00145</t>
        </is>
      </c>
      <c r="B149" t="inlineStr">
        <is>
          <t>North America</t>
        </is>
      </c>
      <c r="C149" t="inlineStr">
        <is>
          <t>US / Canada</t>
        </is>
      </c>
      <c r="D149" s="12" t="n">
        <v>45413</v>
      </c>
      <c r="E149" s="13" t="n">
        <v>4.5</v>
      </c>
      <c r="F149" s="14" t="n">
        <v>373500</v>
      </c>
      <c r="G149" t="n">
        <v>5</v>
      </c>
      <c r="H149" s="12" t="n">
        <v>45566</v>
      </c>
      <c r="I149" s="12" t="n">
        <v>45597</v>
      </c>
      <c r="J149" t="b">
        <v>0</v>
      </c>
      <c r="K149" s="13" t="n">
        <v>0.78</v>
      </c>
    </row>
    <row r="150">
      <c r="A150" t="inlineStr">
        <is>
          <t>NX-00146</t>
        </is>
      </c>
      <c r="B150" t="inlineStr">
        <is>
          <t>North America</t>
        </is>
      </c>
      <c r="C150" t="inlineStr">
        <is>
          <t>US / Canada</t>
        </is>
      </c>
      <c r="D150" s="12" t="n">
        <v>45413</v>
      </c>
      <c r="E150" s="13" t="n">
        <v>26.3</v>
      </c>
      <c r="F150" s="14" t="n">
        <v>2182900</v>
      </c>
      <c r="G150" t="n">
        <v>5</v>
      </c>
      <c r="H150" s="12" t="n">
        <v>45566</v>
      </c>
      <c r="I150" s="12" t="n">
        <v>45566</v>
      </c>
      <c r="J150" t="b">
        <v>0</v>
      </c>
      <c r="K150" s="13" t="n">
        <v>0.09</v>
      </c>
    </row>
    <row r="151">
      <c r="A151" t="inlineStr">
        <is>
          <t>NX-00147</t>
        </is>
      </c>
      <c r="B151" t="inlineStr">
        <is>
          <t>North America</t>
        </is>
      </c>
      <c r="C151" t="inlineStr">
        <is>
          <t>US / Canada</t>
        </is>
      </c>
      <c r="D151" s="12" t="n">
        <v>45413</v>
      </c>
      <c r="E151" s="13" t="n">
        <v>11.3</v>
      </c>
      <c r="F151" s="14" t="n">
        <v>937900</v>
      </c>
      <c r="G151" t="n">
        <v>6</v>
      </c>
      <c r="H151" s="12" t="n">
        <v>45597</v>
      </c>
      <c r="I151" s="12" t="n">
        <v>45627</v>
      </c>
      <c r="J151" t="b">
        <v>0</v>
      </c>
      <c r="K151" s="13" t="n">
        <v>0.8</v>
      </c>
    </row>
    <row r="152">
      <c r="A152" t="inlineStr">
        <is>
          <t>NX-00148</t>
        </is>
      </c>
      <c r="B152" t="inlineStr">
        <is>
          <t>North America</t>
        </is>
      </c>
      <c r="C152" t="inlineStr">
        <is>
          <t>US / Canada</t>
        </is>
      </c>
      <c r="D152" s="12" t="n">
        <v>45413</v>
      </c>
      <c r="E152" s="13" t="n">
        <v>13.8</v>
      </c>
      <c r="F152" s="14" t="n">
        <v>1145400</v>
      </c>
      <c r="G152" t="n">
        <v>10</v>
      </c>
      <c r="H152" s="12" t="n">
        <v>45717</v>
      </c>
      <c r="I152" s="12" t="n">
        <v>45717</v>
      </c>
      <c r="J152" t="b">
        <v>0</v>
      </c>
      <c r="K152" s="13" t="n">
        <v>0.02</v>
      </c>
    </row>
    <row r="153">
      <c r="A153" t="inlineStr">
        <is>
          <t>NX-00149</t>
        </is>
      </c>
      <c r="B153" t="inlineStr">
        <is>
          <t>North America</t>
        </is>
      </c>
      <c r="C153" t="inlineStr">
        <is>
          <t>US / Canada</t>
        </is>
      </c>
      <c r="D153" s="12" t="n">
        <v>45413</v>
      </c>
      <c r="E153" s="13" t="n">
        <v>14.9</v>
      </c>
      <c r="F153" s="14" t="n">
        <v>1236700</v>
      </c>
      <c r="G153" t="n">
        <v>6</v>
      </c>
      <c r="H153" s="12" t="n">
        <v>45597</v>
      </c>
      <c r="I153" s="12" t="n">
        <v>45627</v>
      </c>
      <c r="J153" t="b">
        <v>0</v>
      </c>
      <c r="K153" s="13" t="n">
        <v>0.92</v>
      </c>
    </row>
    <row r="154">
      <c r="A154" t="inlineStr">
        <is>
          <t>NX-00150</t>
        </is>
      </c>
      <c r="B154" t="inlineStr">
        <is>
          <t>North America</t>
        </is>
      </c>
      <c r="C154" t="inlineStr">
        <is>
          <t>US / Canada</t>
        </is>
      </c>
      <c r="D154" s="12" t="n">
        <v>45413</v>
      </c>
      <c r="E154" s="13" t="n">
        <v>16.6</v>
      </c>
      <c r="F154" s="14" t="n">
        <v>1377800</v>
      </c>
      <c r="G154" t="n">
        <v>7</v>
      </c>
      <c r="H154" s="12" t="n">
        <v>45627</v>
      </c>
      <c r="I154" s="12" t="n">
        <v>45627</v>
      </c>
      <c r="J154" t="b">
        <v>0</v>
      </c>
      <c r="K154" s="13" t="n">
        <v>0.01</v>
      </c>
    </row>
    <row r="155">
      <c r="A155" t="inlineStr">
        <is>
          <t>NX-00151</t>
        </is>
      </c>
      <c r="B155" t="inlineStr">
        <is>
          <t>North America</t>
        </is>
      </c>
      <c r="C155" t="inlineStr">
        <is>
          <t>US / Canada</t>
        </is>
      </c>
      <c r="D155" s="12" t="n">
        <v>45413</v>
      </c>
      <c r="E155" s="13" t="n">
        <v>2.8</v>
      </c>
      <c r="F155" s="14" t="n">
        <v>232400</v>
      </c>
      <c r="G155" t="n">
        <v>10</v>
      </c>
      <c r="H155" s="12" t="n">
        <v>45717</v>
      </c>
      <c r="I155" s="12" t="n">
        <v>45717</v>
      </c>
      <c r="J155" t="b">
        <v>0</v>
      </c>
      <c r="K155" s="13" t="n">
        <v>0.07000000000000001</v>
      </c>
    </row>
    <row r="156">
      <c r="A156" t="inlineStr">
        <is>
          <t>NX-00152</t>
        </is>
      </c>
      <c r="B156" t="inlineStr">
        <is>
          <t>North America</t>
        </is>
      </c>
      <c r="C156" t="inlineStr">
        <is>
          <t>US / Canada</t>
        </is>
      </c>
      <c r="D156" s="12" t="n">
        <v>45413</v>
      </c>
      <c r="E156" s="13" t="n">
        <v>7.4</v>
      </c>
      <c r="F156" s="14" t="n">
        <v>614200</v>
      </c>
      <c r="G156" t="n">
        <v>12</v>
      </c>
      <c r="H156" s="12" t="n">
        <v>45778</v>
      </c>
      <c r="I156" s="12" t="n"/>
      <c r="J156" t="b">
        <v>1</v>
      </c>
      <c r="K156" s="13" t="n">
        <v>0.64</v>
      </c>
    </row>
    <row r="157">
      <c r="A157" t="inlineStr">
        <is>
          <t>NX-00153</t>
        </is>
      </c>
      <c r="B157" t="inlineStr">
        <is>
          <t>North America</t>
        </is>
      </c>
      <c r="C157" t="inlineStr">
        <is>
          <t>US / Canada</t>
        </is>
      </c>
      <c r="D157" s="12" t="n">
        <v>45413</v>
      </c>
      <c r="E157" s="13" t="n">
        <v>96.3</v>
      </c>
      <c r="F157" s="14" t="n">
        <v>7992900</v>
      </c>
      <c r="G157" t="n">
        <v>6</v>
      </c>
      <c r="H157" s="12" t="n">
        <v>45597</v>
      </c>
      <c r="I157" s="12" t="n">
        <v>45597</v>
      </c>
      <c r="J157" t="b">
        <v>0</v>
      </c>
      <c r="K157" s="13" t="n">
        <v>0.49</v>
      </c>
    </row>
    <row r="158">
      <c r="A158" t="inlineStr">
        <is>
          <t>NX-00154</t>
        </is>
      </c>
      <c r="B158" t="inlineStr">
        <is>
          <t>North America</t>
        </is>
      </c>
      <c r="C158" t="inlineStr">
        <is>
          <t>US / Canada</t>
        </is>
      </c>
      <c r="D158" s="12" t="n">
        <v>45413</v>
      </c>
      <c r="E158" s="13" t="n">
        <v>16.8</v>
      </c>
      <c r="F158" s="14" t="n">
        <v>1394400</v>
      </c>
      <c r="G158" t="n">
        <v>12</v>
      </c>
      <c r="H158" s="12" t="n">
        <v>45778</v>
      </c>
      <c r="I158" s="12" t="n">
        <v>45809</v>
      </c>
      <c r="J158" t="b">
        <v>0</v>
      </c>
      <c r="K158" s="13" t="n">
        <v>0.71</v>
      </c>
    </row>
    <row r="159">
      <c r="A159" t="inlineStr">
        <is>
          <t>NX-00155</t>
        </is>
      </c>
      <c r="B159" t="inlineStr">
        <is>
          <t>North America</t>
        </is>
      </c>
      <c r="C159" t="inlineStr">
        <is>
          <t>US / Canada</t>
        </is>
      </c>
      <c r="D159" s="12" t="n">
        <v>45413</v>
      </c>
      <c r="E159" s="13" t="n">
        <v>44.2</v>
      </c>
      <c r="F159" s="14" t="n">
        <v>3668600.000000001</v>
      </c>
      <c r="G159" t="n">
        <v>9</v>
      </c>
      <c r="H159" s="12" t="n">
        <v>45689</v>
      </c>
      <c r="I159" s="12" t="n">
        <v>45689</v>
      </c>
      <c r="J159" t="b">
        <v>0</v>
      </c>
      <c r="K159" s="13" t="n">
        <v>0.13</v>
      </c>
    </row>
    <row r="160">
      <c r="A160" t="inlineStr">
        <is>
          <t>NX-00156</t>
        </is>
      </c>
      <c r="B160" t="inlineStr">
        <is>
          <t>North America</t>
        </is>
      </c>
      <c r="C160" t="inlineStr">
        <is>
          <t>US / Canada</t>
        </is>
      </c>
      <c r="D160" s="12" t="n">
        <v>45413</v>
      </c>
      <c r="E160" s="13" t="n">
        <v>62.7</v>
      </c>
      <c r="F160" s="14" t="n">
        <v>5204100</v>
      </c>
      <c r="G160" t="n">
        <v>6</v>
      </c>
      <c r="H160" s="12" t="n">
        <v>45597</v>
      </c>
      <c r="I160" s="12" t="n">
        <v>45597</v>
      </c>
      <c r="J160" t="b">
        <v>0</v>
      </c>
      <c r="K160" s="13" t="n">
        <v>0.2</v>
      </c>
    </row>
    <row r="161">
      <c r="A161" t="inlineStr">
        <is>
          <t>NX-00157</t>
        </is>
      </c>
      <c r="B161" t="inlineStr">
        <is>
          <t>North America</t>
        </is>
      </c>
      <c r="C161" t="inlineStr">
        <is>
          <t>US / Canada</t>
        </is>
      </c>
      <c r="D161" s="12" t="n">
        <v>45413</v>
      </c>
      <c r="E161" s="13" t="n">
        <v>76</v>
      </c>
      <c r="F161" s="14" t="n">
        <v>6308000</v>
      </c>
      <c r="G161" t="n">
        <v>7</v>
      </c>
      <c r="H161" s="12" t="n">
        <v>45627</v>
      </c>
      <c r="I161" s="12" t="n">
        <v>45627</v>
      </c>
      <c r="J161" t="b">
        <v>0</v>
      </c>
      <c r="K161" s="13" t="n">
        <v>0</v>
      </c>
    </row>
    <row r="162">
      <c r="A162" t="inlineStr">
        <is>
          <t>NX-00158</t>
        </is>
      </c>
      <c r="B162" t="inlineStr">
        <is>
          <t>North America</t>
        </is>
      </c>
      <c r="C162" t="inlineStr">
        <is>
          <t>US / Canada</t>
        </is>
      </c>
      <c r="D162" s="12" t="n">
        <v>45413</v>
      </c>
      <c r="E162" s="13" t="n">
        <v>39.4</v>
      </c>
      <c r="F162" s="14" t="n">
        <v>3270200</v>
      </c>
      <c r="G162" t="n">
        <v>7</v>
      </c>
      <c r="H162" s="12" t="n">
        <v>45627</v>
      </c>
      <c r="I162" s="12" t="n"/>
      <c r="J162" t="b">
        <v>1</v>
      </c>
      <c r="K162" s="13" t="n">
        <v>0.6899999999999999</v>
      </c>
    </row>
    <row r="163">
      <c r="A163" t="inlineStr">
        <is>
          <t>NX-00159</t>
        </is>
      </c>
      <c r="B163" t="inlineStr">
        <is>
          <t>North America</t>
        </is>
      </c>
      <c r="C163" t="inlineStr">
        <is>
          <t>US / Canada</t>
        </is>
      </c>
      <c r="D163" s="12" t="n">
        <v>45413</v>
      </c>
      <c r="E163" s="13" t="n">
        <v>14.3</v>
      </c>
      <c r="F163" s="14" t="n">
        <v>1186900</v>
      </c>
      <c r="G163" t="n">
        <v>6</v>
      </c>
      <c r="H163" s="12" t="n">
        <v>45597</v>
      </c>
      <c r="I163" s="12" t="n">
        <v>45597</v>
      </c>
      <c r="J163" t="b">
        <v>0</v>
      </c>
      <c r="K163" s="13" t="n">
        <v>0.09</v>
      </c>
    </row>
    <row r="164">
      <c r="A164" t="inlineStr">
        <is>
          <t>NX-00160</t>
        </is>
      </c>
      <c r="B164" t="inlineStr">
        <is>
          <t>North America</t>
        </is>
      </c>
      <c r="C164" t="inlineStr">
        <is>
          <t>US / Canada</t>
        </is>
      </c>
      <c r="D164" s="12" t="n">
        <v>45413</v>
      </c>
      <c r="E164" s="13" t="n">
        <v>17.4</v>
      </c>
      <c r="F164" s="14" t="n">
        <v>1444200</v>
      </c>
      <c r="G164" t="n">
        <v>5</v>
      </c>
      <c r="H164" s="12" t="n">
        <v>45566</v>
      </c>
      <c r="I164" s="12" t="n">
        <v>45566</v>
      </c>
      <c r="J164" t="b">
        <v>0</v>
      </c>
      <c r="K164" s="13" t="n">
        <v>0.03</v>
      </c>
    </row>
    <row r="165">
      <c r="A165" t="inlineStr">
        <is>
          <t>NX-00161</t>
        </is>
      </c>
      <c r="B165" t="inlineStr">
        <is>
          <t>North America</t>
        </is>
      </c>
      <c r="C165" t="inlineStr">
        <is>
          <t>US / Canada</t>
        </is>
      </c>
      <c r="D165" s="12" t="n">
        <v>45413</v>
      </c>
      <c r="E165" s="13" t="n">
        <v>3.6</v>
      </c>
      <c r="F165" s="14" t="n">
        <v>298800</v>
      </c>
      <c r="G165" t="n">
        <v>6</v>
      </c>
      <c r="H165" s="12" t="n">
        <v>45597</v>
      </c>
      <c r="I165" s="12" t="n">
        <v>45597</v>
      </c>
      <c r="J165" t="b">
        <v>0</v>
      </c>
      <c r="K165" s="13" t="n">
        <v>0.01</v>
      </c>
    </row>
    <row r="166">
      <c r="A166" t="inlineStr">
        <is>
          <t>NX-00162</t>
        </is>
      </c>
      <c r="B166" t="inlineStr">
        <is>
          <t>North America</t>
        </is>
      </c>
      <c r="C166" t="inlineStr">
        <is>
          <t>US / Canada</t>
        </is>
      </c>
      <c r="D166" s="12" t="n">
        <v>45413</v>
      </c>
      <c r="E166" s="13" t="n">
        <v>39.2</v>
      </c>
      <c r="F166" s="14" t="n">
        <v>3253600</v>
      </c>
      <c r="G166" t="n">
        <v>21</v>
      </c>
      <c r="H166" s="12" t="n">
        <v>46054</v>
      </c>
      <c r="I166" s="12" t="n">
        <v>46113</v>
      </c>
      <c r="J166" t="b">
        <v>0</v>
      </c>
      <c r="K166" s="13" t="n">
        <v>1.91</v>
      </c>
    </row>
    <row r="167">
      <c r="A167" t="inlineStr">
        <is>
          <t>NX-00163</t>
        </is>
      </c>
      <c r="B167" t="inlineStr">
        <is>
          <t>North America</t>
        </is>
      </c>
      <c r="C167" t="inlineStr">
        <is>
          <t>US / Canada</t>
        </is>
      </c>
      <c r="D167" s="12" t="n">
        <v>45413</v>
      </c>
      <c r="E167" s="13" t="n">
        <v>17.7</v>
      </c>
      <c r="F167" s="14" t="n">
        <v>1469100</v>
      </c>
      <c r="G167" t="n">
        <v>5</v>
      </c>
      <c r="H167" s="12" t="n">
        <v>45566</v>
      </c>
      <c r="I167" s="12" t="n">
        <v>45566</v>
      </c>
      <c r="J167" t="b">
        <v>0</v>
      </c>
      <c r="K167" s="13" t="n">
        <v>0.04</v>
      </c>
    </row>
    <row r="168">
      <c r="A168" t="inlineStr">
        <is>
          <t>NX-00164</t>
        </is>
      </c>
      <c r="B168" t="inlineStr">
        <is>
          <t>North America</t>
        </is>
      </c>
      <c r="C168" t="inlineStr">
        <is>
          <t>US / Canada</t>
        </is>
      </c>
      <c r="D168" s="12" t="n">
        <v>45413</v>
      </c>
      <c r="E168" s="13" t="n">
        <v>9</v>
      </c>
      <c r="F168" s="14" t="n">
        <v>747000</v>
      </c>
      <c r="G168" t="n">
        <v>9</v>
      </c>
      <c r="H168" s="12" t="n">
        <v>45689</v>
      </c>
      <c r="I168" s="12" t="n">
        <v>45689</v>
      </c>
      <c r="J168" t="b">
        <v>0</v>
      </c>
      <c r="K168" s="13" t="n">
        <v>0.15</v>
      </c>
    </row>
    <row r="169">
      <c r="A169" t="inlineStr">
        <is>
          <t>NX-00165</t>
        </is>
      </c>
      <c r="B169" t="inlineStr">
        <is>
          <t>North America</t>
        </is>
      </c>
      <c r="C169" t="inlineStr">
        <is>
          <t>US / Canada</t>
        </is>
      </c>
      <c r="D169" s="12" t="n">
        <v>45413</v>
      </c>
      <c r="E169" s="13" t="n">
        <v>45</v>
      </c>
      <c r="F169" s="14" t="n">
        <v>3735000</v>
      </c>
      <c r="G169" t="n">
        <v>9</v>
      </c>
      <c r="H169" s="12" t="n">
        <v>45689</v>
      </c>
      <c r="I169" s="12" t="n">
        <v>45689</v>
      </c>
      <c r="J169" t="b">
        <v>0</v>
      </c>
      <c r="K169" s="13" t="n">
        <v>0.03</v>
      </c>
    </row>
    <row r="170">
      <c r="A170" t="inlineStr">
        <is>
          <t>NX-00166</t>
        </is>
      </c>
      <c r="B170" t="inlineStr">
        <is>
          <t>EMEA</t>
        </is>
      </c>
      <c r="C170" t="inlineStr">
        <is>
          <t>Europe</t>
        </is>
      </c>
      <c r="D170" s="12" t="n">
        <v>45413</v>
      </c>
      <c r="E170" s="13" t="n">
        <v>12.3</v>
      </c>
      <c r="F170" s="14" t="n">
        <v>1082400</v>
      </c>
      <c r="G170" t="n">
        <v>12</v>
      </c>
      <c r="H170" s="12" t="n">
        <v>45778</v>
      </c>
      <c r="I170" s="12" t="n">
        <v>45778</v>
      </c>
      <c r="J170" t="b">
        <v>0</v>
      </c>
      <c r="K170" s="13" t="n">
        <v>0.14</v>
      </c>
    </row>
    <row r="171">
      <c r="A171" t="inlineStr">
        <is>
          <t>NX-00167</t>
        </is>
      </c>
      <c r="B171" t="inlineStr">
        <is>
          <t>APAC</t>
        </is>
      </c>
      <c r="C171" t="inlineStr">
        <is>
          <t>India</t>
        </is>
      </c>
      <c r="D171" s="12" t="n">
        <v>45413</v>
      </c>
      <c r="E171" s="13" t="n">
        <v>12.5</v>
      </c>
      <c r="F171" s="14" t="n">
        <v>887500</v>
      </c>
      <c r="G171" t="n">
        <v>5</v>
      </c>
      <c r="H171" s="12" t="n">
        <v>45566</v>
      </c>
      <c r="I171" s="12" t="n">
        <v>45627</v>
      </c>
      <c r="J171" t="b">
        <v>0</v>
      </c>
      <c r="K171" s="13" t="n">
        <v>1.65</v>
      </c>
    </row>
    <row r="172">
      <c r="A172" t="inlineStr">
        <is>
          <t>NX-00168</t>
        </is>
      </c>
      <c r="B172" t="inlineStr">
        <is>
          <t>APAC</t>
        </is>
      </c>
      <c r="C172" t="inlineStr">
        <is>
          <t>Australia/SEA</t>
        </is>
      </c>
      <c r="D172" s="12" t="n">
        <v>45413</v>
      </c>
      <c r="E172" s="13" t="n">
        <v>22.5</v>
      </c>
      <c r="F172" s="14" t="n">
        <v>1890000</v>
      </c>
      <c r="G172" t="n">
        <v>10</v>
      </c>
      <c r="H172" s="12" t="n">
        <v>45717</v>
      </c>
      <c r="I172" s="12" t="n">
        <v>45717</v>
      </c>
      <c r="J172" t="b">
        <v>0</v>
      </c>
      <c r="K172" s="13" t="n">
        <v>0.21</v>
      </c>
    </row>
    <row r="173">
      <c r="A173" t="inlineStr">
        <is>
          <t>NX-00169</t>
        </is>
      </c>
      <c r="B173" t="inlineStr">
        <is>
          <t>APAC</t>
        </is>
      </c>
      <c r="C173" t="inlineStr">
        <is>
          <t>Australia/SEA</t>
        </is>
      </c>
      <c r="D173" s="12" t="n">
        <v>45413</v>
      </c>
      <c r="E173" s="13" t="n">
        <v>5.1</v>
      </c>
      <c r="F173" s="14" t="n">
        <v>428400</v>
      </c>
      <c r="G173" t="n">
        <v>8</v>
      </c>
      <c r="H173" s="12" t="n">
        <v>45658</v>
      </c>
      <c r="I173" s="12" t="n">
        <v>45717</v>
      </c>
      <c r="J173" t="b">
        <v>0</v>
      </c>
      <c r="K173" s="13" t="n">
        <v>1.77</v>
      </c>
    </row>
    <row r="174">
      <c r="A174" t="inlineStr">
        <is>
          <t>NX-00170</t>
        </is>
      </c>
      <c r="B174" t="inlineStr">
        <is>
          <t>LATAM</t>
        </is>
      </c>
      <c r="C174" t="inlineStr">
        <is>
          <t>LATAM</t>
        </is>
      </c>
      <c r="D174" s="12" t="n">
        <v>45413</v>
      </c>
      <c r="E174" s="13" t="n">
        <v>25.5</v>
      </c>
      <c r="F174" s="14" t="n">
        <v>2014500</v>
      </c>
      <c r="G174" t="n">
        <v>7</v>
      </c>
      <c r="H174" s="12" t="n">
        <v>45627</v>
      </c>
      <c r="I174" s="12" t="n">
        <v>45627</v>
      </c>
      <c r="J174" t="b">
        <v>0</v>
      </c>
      <c r="K174" s="13" t="n">
        <v>0.37</v>
      </c>
    </row>
    <row r="175">
      <c r="A175" t="inlineStr">
        <is>
          <t>NX-00171</t>
        </is>
      </c>
      <c r="B175" t="inlineStr">
        <is>
          <t>LATAM</t>
        </is>
      </c>
      <c r="C175" t="inlineStr">
        <is>
          <t>LATAM</t>
        </is>
      </c>
      <c r="D175" s="12" t="n">
        <v>45413</v>
      </c>
      <c r="E175" s="13" t="n">
        <v>19.4</v>
      </c>
      <c r="F175" s="14" t="n">
        <v>1532600</v>
      </c>
      <c r="G175" t="n">
        <v>10</v>
      </c>
      <c r="H175" s="12" t="n">
        <v>45717</v>
      </c>
      <c r="I175" s="12" t="n">
        <v>45778</v>
      </c>
      <c r="J175" t="b">
        <v>0</v>
      </c>
      <c r="K175" s="13" t="n">
        <v>1.51</v>
      </c>
    </row>
    <row r="176">
      <c r="A176" t="inlineStr">
        <is>
          <t>NX-00172</t>
        </is>
      </c>
      <c r="B176" t="inlineStr">
        <is>
          <t>LATAM</t>
        </is>
      </c>
      <c r="C176" t="inlineStr">
        <is>
          <t>LATAM</t>
        </is>
      </c>
      <c r="D176" s="12" t="n">
        <v>45413</v>
      </c>
      <c r="E176" s="13" t="n">
        <v>12.7</v>
      </c>
      <c r="F176" s="14" t="n">
        <v>1003300</v>
      </c>
      <c r="G176" t="n">
        <v>8</v>
      </c>
      <c r="H176" s="12" t="n">
        <v>45658</v>
      </c>
      <c r="I176" s="12" t="n">
        <v>45839</v>
      </c>
      <c r="J176" t="b">
        <v>0</v>
      </c>
      <c r="K176" s="13" t="n">
        <v>6.16</v>
      </c>
    </row>
    <row r="177">
      <c r="A177" t="inlineStr">
        <is>
          <t>NX-00173</t>
        </is>
      </c>
      <c r="B177" t="inlineStr">
        <is>
          <t>North America</t>
        </is>
      </c>
      <c r="C177" t="inlineStr">
        <is>
          <t>US / Canada</t>
        </is>
      </c>
      <c r="D177" s="12" t="n">
        <v>45444</v>
      </c>
      <c r="E177" s="13" t="n">
        <v>6</v>
      </c>
      <c r="F177" s="14" t="n">
        <v>498000</v>
      </c>
      <c r="G177" t="n">
        <v>10</v>
      </c>
      <c r="H177" s="12" t="n">
        <v>45748</v>
      </c>
      <c r="I177" s="12" t="n">
        <v>45748</v>
      </c>
      <c r="J177" t="b">
        <v>0</v>
      </c>
      <c r="K177" s="13" t="n">
        <v>0.45</v>
      </c>
    </row>
    <row r="178">
      <c r="A178" t="inlineStr">
        <is>
          <t>NX-00174</t>
        </is>
      </c>
      <c r="B178" t="inlineStr">
        <is>
          <t>North America</t>
        </is>
      </c>
      <c r="C178" t="inlineStr">
        <is>
          <t>US / Canada</t>
        </is>
      </c>
      <c r="D178" s="12" t="n">
        <v>45444</v>
      </c>
      <c r="E178" s="13" t="n">
        <v>12.1</v>
      </c>
      <c r="F178" s="14" t="n">
        <v>1004300</v>
      </c>
      <c r="G178" t="n">
        <v>8</v>
      </c>
      <c r="H178" s="12" t="n">
        <v>45689</v>
      </c>
      <c r="I178" s="12" t="n">
        <v>45748</v>
      </c>
      <c r="J178" t="b">
        <v>0</v>
      </c>
      <c r="K178" s="13" t="n">
        <v>1.72</v>
      </c>
    </row>
    <row r="179">
      <c r="A179" t="inlineStr">
        <is>
          <t>NX-00175</t>
        </is>
      </c>
      <c r="B179" t="inlineStr">
        <is>
          <t>North America</t>
        </is>
      </c>
      <c r="C179" t="inlineStr">
        <is>
          <t>US / Canada</t>
        </is>
      </c>
      <c r="D179" s="12" t="n">
        <v>45444</v>
      </c>
      <c r="E179" s="13" t="n">
        <v>7.8</v>
      </c>
      <c r="F179" s="14" t="n">
        <v>647400</v>
      </c>
      <c r="G179" t="n">
        <v>14</v>
      </c>
      <c r="H179" s="12" t="n">
        <v>45870</v>
      </c>
      <c r="I179" s="12" t="n">
        <v>45870</v>
      </c>
      <c r="J179" t="b">
        <v>0</v>
      </c>
      <c r="K179" s="13" t="n">
        <v>0</v>
      </c>
    </row>
    <row r="180">
      <c r="A180" t="inlineStr">
        <is>
          <t>NX-00176</t>
        </is>
      </c>
      <c r="B180" t="inlineStr">
        <is>
          <t>North America</t>
        </is>
      </c>
      <c r="C180" t="inlineStr">
        <is>
          <t>US / Canada</t>
        </is>
      </c>
      <c r="D180" s="12" t="n">
        <v>45444</v>
      </c>
      <c r="E180" s="13" t="n">
        <v>84.5</v>
      </c>
      <c r="F180" s="14" t="n">
        <v>7013500</v>
      </c>
      <c r="G180" t="n">
        <v>5</v>
      </c>
      <c r="H180" s="12" t="n">
        <v>45597</v>
      </c>
      <c r="I180" s="12" t="n">
        <v>45597</v>
      </c>
      <c r="J180" t="b">
        <v>0</v>
      </c>
      <c r="K180" s="13" t="n">
        <v>0.02</v>
      </c>
    </row>
    <row r="181">
      <c r="A181" t="inlineStr">
        <is>
          <t>NX-00177</t>
        </is>
      </c>
      <c r="B181" t="inlineStr">
        <is>
          <t>North America</t>
        </is>
      </c>
      <c r="C181" t="inlineStr">
        <is>
          <t>US / Canada</t>
        </is>
      </c>
      <c r="D181" s="12" t="n">
        <v>45444</v>
      </c>
      <c r="E181" s="13" t="n">
        <v>14</v>
      </c>
      <c r="F181" s="14" t="n">
        <v>1162000</v>
      </c>
      <c r="G181" t="n">
        <v>5</v>
      </c>
      <c r="H181" s="12" t="n">
        <v>45597</v>
      </c>
      <c r="I181" s="12" t="n">
        <v>45597</v>
      </c>
      <c r="J181" t="b">
        <v>0</v>
      </c>
      <c r="K181" s="13" t="n">
        <v>0.07000000000000001</v>
      </c>
    </row>
    <row r="182">
      <c r="A182" t="inlineStr">
        <is>
          <t>NX-00178</t>
        </is>
      </c>
      <c r="B182" t="inlineStr">
        <is>
          <t>North America</t>
        </is>
      </c>
      <c r="C182" t="inlineStr">
        <is>
          <t>US / Canada</t>
        </is>
      </c>
      <c r="D182" s="12" t="n">
        <v>45444</v>
      </c>
      <c r="E182" s="13" t="n">
        <v>32.2</v>
      </c>
      <c r="F182" s="14" t="n">
        <v>2672600</v>
      </c>
      <c r="G182" t="n">
        <v>10</v>
      </c>
      <c r="H182" s="12" t="n">
        <v>45748</v>
      </c>
      <c r="I182" s="12" t="n">
        <v>45748</v>
      </c>
      <c r="J182" t="b">
        <v>0</v>
      </c>
      <c r="K182" s="13" t="n">
        <v>0.41</v>
      </c>
    </row>
    <row r="183">
      <c r="A183" t="inlineStr">
        <is>
          <t>NX-00179</t>
        </is>
      </c>
      <c r="B183" t="inlineStr">
        <is>
          <t>North America</t>
        </is>
      </c>
      <c r="C183" t="inlineStr">
        <is>
          <t>US / Canada</t>
        </is>
      </c>
      <c r="D183" s="12" t="n">
        <v>45444</v>
      </c>
      <c r="E183" s="13" t="n">
        <v>60.6</v>
      </c>
      <c r="F183" s="14" t="n">
        <v>5029800</v>
      </c>
      <c r="G183" t="n">
        <v>5</v>
      </c>
      <c r="H183" s="12" t="n">
        <v>45597</v>
      </c>
      <c r="I183" s="12" t="n">
        <v>45597</v>
      </c>
      <c r="J183" t="b">
        <v>0</v>
      </c>
      <c r="K183" s="13" t="n">
        <v>0.05</v>
      </c>
    </row>
    <row r="184">
      <c r="A184" t="inlineStr">
        <is>
          <t>NX-00180</t>
        </is>
      </c>
      <c r="B184" t="inlineStr">
        <is>
          <t>North America</t>
        </is>
      </c>
      <c r="C184" t="inlineStr">
        <is>
          <t>US / Canada</t>
        </is>
      </c>
      <c r="D184" s="12" t="n">
        <v>45444</v>
      </c>
      <c r="E184" s="13" t="n">
        <v>13.3</v>
      </c>
      <c r="F184" s="14" t="n">
        <v>1103900</v>
      </c>
      <c r="G184" t="n">
        <v>6</v>
      </c>
      <c r="H184" s="12" t="n">
        <v>45627</v>
      </c>
      <c r="I184" s="12" t="n">
        <v>45627</v>
      </c>
      <c r="J184" t="b">
        <v>0</v>
      </c>
      <c r="K184" s="13" t="n">
        <v>0</v>
      </c>
    </row>
    <row r="185">
      <c r="A185" t="inlineStr">
        <is>
          <t>NX-00181</t>
        </is>
      </c>
      <c r="B185" t="inlineStr">
        <is>
          <t>North America</t>
        </is>
      </c>
      <c r="C185" t="inlineStr">
        <is>
          <t>US / Canada</t>
        </is>
      </c>
      <c r="D185" s="12" t="n">
        <v>45444</v>
      </c>
      <c r="E185" s="13" t="n">
        <v>13</v>
      </c>
      <c r="F185" s="14" t="n">
        <v>1079000</v>
      </c>
      <c r="G185" t="n">
        <v>8</v>
      </c>
      <c r="H185" s="12" t="n">
        <v>45689</v>
      </c>
      <c r="I185" s="12" t="n">
        <v>45689</v>
      </c>
      <c r="J185" t="b">
        <v>0</v>
      </c>
      <c r="K185" s="13" t="n">
        <v>0</v>
      </c>
    </row>
    <row r="186">
      <c r="A186" t="inlineStr">
        <is>
          <t>NX-00182</t>
        </is>
      </c>
      <c r="B186" t="inlineStr">
        <is>
          <t>North America</t>
        </is>
      </c>
      <c r="C186" t="inlineStr">
        <is>
          <t>US / Canada</t>
        </is>
      </c>
      <c r="D186" s="12" t="n">
        <v>45444</v>
      </c>
      <c r="E186" s="13" t="n">
        <v>17.7</v>
      </c>
      <c r="F186" s="14" t="n">
        <v>1469100</v>
      </c>
      <c r="G186" t="n">
        <v>7</v>
      </c>
      <c r="H186" s="12" t="n">
        <v>45658</v>
      </c>
      <c r="I186" s="12" t="n">
        <v>45658</v>
      </c>
      <c r="J186" t="b">
        <v>0</v>
      </c>
      <c r="K186" s="13" t="n">
        <v>0</v>
      </c>
    </row>
    <row r="187">
      <c r="A187" t="inlineStr">
        <is>
          <t>NX-00183</t>
        </is>
      </c>
      <c r="B187" t="inlineStr">
        <is>
          <t>North America</t>
        </is>
      </c>
      <c r="C187" t="inlineStr">
        <is>
          <t>US / Canada</t>
        </is>
      </c>
      <c r="D187" s="12" t="n">
        <v>45444</v>
      </c>
      <c r="E187" s="13" t="n">
        <v>17.5</v>
      </c>
      <c r="F187" s="14" t="n">
        <v>1452500</v>
      </c>
      <c r="G187" t="n">
        <v>14</v>
      </c>
      <c r="H187" s="12" t="n">
        <v>45870</v>
      </c>
      <c r="I187" s="12" t="n">
        <v>45870</v>
      </c>
      <c r="J187" t="b">
        <v>0</v>
      </c>
      <c r="K187" s="13" t="n">
        <v>0.01</v>
      </c>
    </row>
    <row r="188">
      <c r="A188" t="inlineStr">
        <is>
          <t>NX-00184</t>
        </is>
      </c>
      <c r="B188" t="inlineStr">
        <is>
          <t>North America</t>
        </is>
      </c>
      <c r="C188" t="inlineStr">
        <is>
          <t>US / Canada</t>
        </is>
      </c>
      <c r="D188" s="12" t="n">
        <v>45444</v>
      </c>
      <c r="E188" s="13" t="n">
        <v>46.2</v>
      </c>
      <c r="F188" s="14" t="n">
        <v>3834600.000000001</v>
      </c>
      <c r="G188" t="n">
        <v>7</v>
      </c>
      <c r="H188" s="12" t="n">
        <v>45658</v>
      </c>
      <c r="I188" s="12" t="n">
        <v>45658</v>
      </c>
      <c r="J188" t="b">
        <v>0</v>
      </c>
      <c r="K188" s="13" t="n">
        <v>0.1</v>
      </c>
    </row>
    <row r="189">
      <c r="A189" t="inlineStr">
        <is>
          <t>NX-00185</t>
        </is>
      </c>
      <c r="B189" t="inlineStr">
        <is>
          <t>North America</t>
        </is>
      </c>
      <c r="C189" t="inlineStr">
        <is>
          <t>US / Canada</t>
        </is>
      </c>
      <c r="D189" s="12" t="n">
        <v>45444</v>
      </c>
      <c r="E189" s="13" t="n">
        <v>51.3</v>
      </c>
      <c r="F189" s="14" t="n">
        <v>4257900</v>
      </c>
      <c r="G189" t="n">
        <v>5</v>
      </c>
      <c r="H189" s="12" t="n">
        <v>45597</v>
      </c>
      <c r="I189" s="12" t="n">
        <v>45627</v>
      </c>
      <c r="J189" t="b">
        <v>0</v>
      </c>
      <c r="K189" s="13" t="n">
        <v>0.64</v>
      </c>
    </row>
    <row r="190">
      <c r="A190" t="inlineStr">
        <is>
          <t>NX-00186</t>
        </is>
      </c>
      <c r="B190" t="inlineStr">
        <is>
          <t>North America</t>
        </is>
      </c>
      <c r="C190" t="inlineStr">
        <is>
          <t>US / Canada</t>
        </is>
      </c>
      <c r="D190" s="12" t="n">
        <v>45444</v>
      </c>
      <c r="E190" s="13" t="n">
        <v>68.7</v>
      </c>
      <c r="F190" s="14" t="n">
        <v>5702100</v>
      </c>
      <c r="G190" t="n">
        <v>7</v>
      </c>
      <c r="H190" s="12" t="n">
        <v>45658</v>
      </c>
      <c r="I190" s="12" t="n">
        <v>45658</v>
      </c>
      <c r="J190" t="b">
        <v>0</v>
      </c>
      <c r="K190" s="13" t="n">
        <v>0</v>
      </c>
    </row>
    <row r="191">
      <c r="A191" t="inlineStr">
        <is>
          <t>NX-00187</t>
        </is>
      </c>
      <c r="B191" t="inlineStr">
        <is>
          <t>North America</t>
        </is>
      </c>
      <c r="C191" t="inlineStr">
        <is>
          <t>US / Canada</t>
        </is>
      </c>
      <c r="D191" s="12" t="n">
        <v>45444</v>
      </c>
      <c r="E191" s="13" t="n">
        <v>42.3</v>
      </c>
      <c r="F191" s="14" t="n">
        <v>3510900</v>
      </c>
      <c r="G191" t="n">
        <v>5</v>
      </c>
      <c r="H191" s="12" t="n">
        <v>45597</v>
      </c>
      <c r="I191" s="12" t="n">
        <v>45597</v>
      </c>
      <c r="J191" t="b">
        <v>0</v>
      </c>
      <c r="K191" s="13" t="n">
        <v>0.04</v>
      </c>
    </row>
    <row r="192">
      <c r="A192" t="inlineStr">
        <is>
          <t>NX-00188</t>
        </is>
      </c>
      <c r="B192" t="inlineStr">
        <is>
          <t>North America</t>
        </is>
      </c>
      <c r="C192" t="inlineStr">
        <is>
          <t>US / Canada</t>
        </is>
      </c>
      <c r="D192" s="12" t="n">
        <v>45444</v>
      </c>
      <c r="E192" s="13" t="n">
        <v>30.9</v>
      </c>
      <c r="F192" s="14" t="n">
        <v>2564700</v>
      </c>
      <c r="G192" t="n">
        <v>11</v>
      </c>
      <c r="H192" s="12" t="n">
        <v>45778</v>
      </c>
      <c r="I192" s="12" t="n">
        <v>45778</v>
      </c>
      <c r="J192" t="b">
        <v>0</v>
      </c>
      <c r="K192" s="13" t="n">
        <v>0</v>
      </c>
    </row>
    <row r="193">
      <c r="A193" t="inlineStr">
        <is>
          <t>NX-00189</t>
        </is>
      </c>
      <c r="B193" t="inlineStr">
        <is>
          <t>North America</t>
        </is>
      </c>
      <c r="C193" t="inlineStr">
        <is>
          <t>US / Canada</t>
        </is>
      </c>
      <c r="D193" s="12" t="n">
        <v>45444</v>
      </c>
      <c r="E193" s="13" t="n">
        <v>4</v>
      </c>
      <c r="F193" s="14" t="n">
        <v>332000</v>
      </c>
      <c r="G193" t="n">
        <v>9</v>
      </c>
      <c r="H193" s="12" t="n">
        <v>45717</v>
      </c>
      <c r="I193" s="12" t="n">
        <v>45717</v>
      </c>
      <c r="J193" t="b">
        <v>0</v>
      </c>
      <c r="K193" s="13" t="n">
        <v>0.22</v>
      </c>
    </row>
    <row r="194">
      <c r="A194" t="inlineStr">
        <is>
          <t>NX-00190</t>
        </is>
      </c>
      <c r="B194" t="inlineStr">
        <is>
          <t>North America</t>
        </is>
      </c>
      <c r="C194" t="inlineStr">
        <is>
          <t>US / Canada</t>
        </is>
      </c>
      <c r="D194" s="12" t="n">
        <v>45444</v>
      </c>
      <c r="E194" s="13" t="n">
        <v>22.3</v>
      </c>
      <c r="F194" s="14" t="n">
        <v>1850900</v>
      </c>
      <c r="G194" t="n">
        <v>5</v>
      </c>
      <c r="H194" s="12" t="n">
        <v>45597</v>
      </c>
      <c r="I194" s="12" t="n">
        <v>45597</v>
      </c>
      <c r="J194" t="b">
        <v>0</v>
      </c>
      <c r="K194" s="13" t="n">
        <v>0.47</v>
      </c>
    </row>
    <row r="195">
      <c r="A195" t="inlineStr">
        <is>
          <t>NX-00191</t>
        </is>
      </c>
      <c r="B195" t="inlineStr">
        <is>
          <t>North America</t>
        </is>
      </c>
      <c r="C195" t="inlineStr">
        <is>
          <t>US / Canada</t>
        </is>
      </c>
      <c r="D195" s="12" t="n">
        <v>45444</v>
      </c>
      <c r="E195" s="13" t="n">
        <v>22.6</v>
      </c>
      <c r="F195" s="14" t="n">
        <v>1875800</v>
      </c>
      <c r="G195" t="n">
        <v>5</v>
      </c>
      <c r="H195" s="12" t="n">
        <v>45597</v>
      </c>
      <c r="I195" s="12" t="n">
        <v>45658</v>
      </c>
      <c r="J195" t="b">
        <v>0</v>
      </c>
      <c r="K195" s="13" t="n">
        <v>1.64</v>
      </c>
    </row>
    <row r="196">
      <c r="A196" t="inlineStr">
        <is>
          <t>NX-00192</t>
        </is>
      </c>
      <c r="B196" t="inlineStr">
        <is>
          <t>North America</t>
        </is>
      </c>
      <c r="C196" t="inlineStr">
        <is>
          <t>US / Canada</t>
        </is>
      </c>
      <c r="D196" s="12" t="n">
        <v>45444</v>
      </c>
      <c r="E196" s="13" t="n">
        <v>9.1</v>
      </c>
      <c r="F196" s="14" t="n">
        <v>755300</v>
      </c>
      <c r="G196" t="n">
        <v>6</v>
      </c>
      <c r="H196" s="12" t="n">
        <v>45627</v>
      </c>
      <c r="I196" s="12" t="n">
        <v>45627</v>
      </c>
      <c r="J196" t="b">
        <v>0</v>
      </c>
      <c r="K196" s="13" t="n">
        <v>0</v>
      </c>
    </row>
    <row r="197">
      <c r="A197" t="inlineStr">
        <is>
          <t>NX-00193</t>
        </is>
      </c>
      <c r="B197" t="inlineStr">
        <is>
          <t>North America</t>
        </is>
      </c>
      <c r="C197" t="inlineStr">
        <is>
          <t>US / Canada</t>
        </is>
      </c>
      <c r="D197" s="12" t="n">
        <v>45444</v>
      </c>
      <c r="E197" s="13" t="n">
        <v>9.699999999999999</v>
      </c>
      <c r="F197" s="14" t="n">
        <v>805099.9999999999</v>
      </c>
      <c r="G197" t="n">
        <v>5</v>
      </c>
      <c r="H197" s="12" t="n">
        <v>45597</v>
      </c>
      <c r="I197" s="12" t="n">
        <v>45627</v>
      </c>
      <c r="J197" t="b">
        <v>0</v>
      </c>
      <c r="K197" s="13" t="n">
        <v>0.8100000000000001</v>
      </c>
    </row>
    <row r="198">
      <c r="A198" t="inlineStr">
        <is>
          <t>NX-00194</t>
        </is>
      </c>
      <c r="B198" t="inlineStr">
        <is>
          <t>EMEA</t>
        </is>
      </c>
      <c r="C198" t="inlineStr">
        <is>
          <t>Europe</t>
        </is>
      </c>
      <c r="D198" s="12" t="n">
        <v>45444</v>
      </c>
      <c r="E198" s="13" t="n">
        <v>40.3</v>
      </c>
      <c r="F198" s="14" t="n">
        <v>3546400</v>
      </c>
      <c r="G198" t="n">
        <v>7</v>
      </c>
      <c r="H198" s="12" t="n">
        <v>45658</v>
      </c>
      <c r="I198" s="12" t="n">
        <v>45717</v>
      </c>
      <c r="J198" t="b">
        <v>0</v>
      </c>
      <c r="K198" s="13" t="n">
        <v>1.53</v>
      </c>
    </row>
    <row r="199">
      <c r="A199" t="inlineStr">
        <is>
          <t>NX-00195</t>
        </is>
      </c>
      <c r="B199" t="inlineStr">
        <is>
          <t>EMEA</t>
        </is>
      </c>
      <c r="C199" t="inlineStr">
        <is>
          <t>Europe</t>
        </is>
      </c>
      <c r="D199" s="12" t="n">
        <v>45444</v>
      </c>
      <c r="E199" s="13" t="n">
        <v>4</v>
      </c>
      <c r="F199" s="14" t="n">
        <v>352000</v>
      </c>
      <c r="G199" t="n">
        <v>6</v>
      </c>
      <c r="H199" s="12" t="n">
        <v>45627</v>
      </c>
      <c r="I199" s="12" t="n">
        <v>45689</v>
      </c>
      <c r="J199" t="b">
        <v>0</v>
      </c>
      <c r="K199" s="13" t="n">
        <v>2.05</v>
      </c>
    </row>
    <row r="200">
      <c r="A200" t="inlineStr">
        <is>
          <t>NX-00196</t>
        </is>
      </c>
      <c r="B200" t="inlineStr">
        <is>
          <t>EMEA</t>
        </is>
      </c>
      <c r="C200" t="inlineStr">
        <is>
          <t>Europe</t>
        </is>
      </c>
      <c r="D200" s="12" t="n">
        <v>45444</v>
      </c>
      <c r="E200" s="13" t="n">
        <v>24.8</v>
      </c>
      <c r="F200" s="14" t="n">
        <v>2182400</v>
      </c>
      <c r="G200" t="n">
        <v>5</v>
      </c>
      <c r="H200" s="12" t="n">
        <v>45597</v>
      </c>
      <c r="I200" s="12" t="n"/>
      <c r="J200" t="b">
        <v>1</v>
      </c>
      <c r="K200" s="13" t="n">
        <v>0.84</v>
      </c>
    </row>
    <row r="201">
      <c r="A201" t="inlineStr">
        <is>
          <t>NX-00197</t>
        </is>
      </c>
      <c r="B201" t="inlineStr">
        <is>
          <t>EMEA</t>
        </is>
      </c>
      <c r="C201" t="inlineStr">
        <is>
          <t>Europe</t>
        </is>
      </c>
      <c r="D201" s="12" t="n">
        <v>45444</v>
      </c>
      <c r="E201" s="13" t="n">
        <v>17.9</v>
      </c>
      <c r="F201" s="14" t="n">
        <v>1575200</v>
      </c>
      <c r="G201" t="n">
        <v>5</v>
      </c>
      <c r="H201" s="12" t="n">
        <v>45597</v>
      </c>
      <c r="I201" s="12" t="n">
        <v>45627</v>
      </c>
      <c r="J201" t="b">
        <v>0</v>
      </c>
      <c r="K201" s="13" t="n">
        <v>1.07</v>
      </c>
    </row>
    <row r="202">
      <c r="A202" t="inlineStr">
        <is>
          <t>NX-00198</t>
        </is>
      </c>
      <c r="B202" t="inlineStr">
        <is>
          <t>EMEA</t>
        </is>
      </c>
      <c r="C202" t="inlineStr">
        <is>
          <t>Europe</t>
        </is>
      </c>
      <c r="D202" s="12" t="n">
        <v>45444</v>
      </c>
      <c r="E202" s="13" t="n">
        <v>7.5</v>
      </c>
      <c r="F202" s="14" t="n">
        <v>660000</v>
      </c>
      <c r="G202" t="n">
        <v>5</v>
      </c>
      <c r="H202" s="12" t="n">
        <v>45597</v>
      </c>
      <c r="I202" s="12" t="n">
        <v>45597</v>
      </c>
      <c r="J202" t="b">
        <v>0</v>
      </c>
      <c r="K202" s="13" t="n">
        <v>0.21</v>
      </c>
    </row>
    <row r="203">
      <c r="A203" t="inlineStr">
        <is>
          <t>NX-00199</t>
        </is>
      </c>
      <c r="B203" t="inlineStr">
        <is>
          <t>EMEA</t>
        </is>
      </c>
      <c r="C203" t="inlineStr">
        <is>
          <t>Europe</t>
        </is>
      </c>
      <c r="D203" s="12" t="n">
        <v>45444</v>
      </c>
      <c r="E203" s="13" t="n">
        <v>11.3</v>
      </c>
      <c r="F203" s="14" t="n">
        <v>994400</v>
      </c>
      <c r="G203" t="n">
        <v>12</v>
      </c>
      <c r="H203" s="12" t="n">
        <v>45809</v>
      </c>
      <c r="I203" s="12" t="n">
        <v>45992</v>
      </c>
      <c r="J203" t="b">
        <v>0</v>
      </c>
      <c r="K203" s="13" t="n">
        <v>6.45</v>
      </c>
    </row>
    <row r="204">
      <c r="A204" t="inlineStr">
        <is>
          <t>NX-00200</t>
        </is>
      </c>
      <c r="B204" t="inlineStr">
        <is>
          <t>EMEA</t>
        </is>
      </c>
      <c r="C204" t="inlineStr">
        <is>
          <t>Europe</t>
        </is>
      </c>
      <c r="D204" s="12" t="n">
        <v>45444</v>
      </c>
      <c r="E204" s="13" t="n">
        <v>25</v>
      </c>
      <c r="F204" s="14" t="n">
        <v>2200000</v>
      </c>
      <c r="G204" t="n">
        <v>5</v>
      </c>
      <c r="H204" s="12" t="n">
        <v>45597</v>
      </c>
      <c r="I204" s="12" t="n">
        <v>45627</v>
      </c>
      <c r="J204" t="b">
        <v>0</v>
      </c>
      <c r="K204" s="13" t="n">
        <v>0.51</v>
      </c>
    </row>
    <row r="205">
      <c r="A205" t="inlineStr">
        <is>
          <t>NX-00201</t>
        </is>
      </c>
      <c r="B205" t="inlineStr">
        <is>
          <t>APAC</t>
        </is>
      </c>
      <c r="C205" t="inlineStr">
        <is>
          <t>India</t>
        </is>
      </c>
      <c r="D205" s="12" t="n">
        <v>45444</v>
      </c>
      <c r="E205" s="13" t="n">
        <v>7.2</v>
      </c>
      <c r="F205" s="14" t="n">
        <v>511200</v>
      </c>
      <c r="G205" t="n">
        <v>18</v>
      </c>
      <c r="H205" s="12" t="n">
        <v>45992</v>
      </c>
      <c r="I205" s="12" t="n">
        <v>46023</v>
      </c>
      <c r="J205" t="b">
        <v>0</v>
      </c>
      <c r="K205" s="13" t="n">
        <v>1.42</v>
      </c>
    </row>
    <row r="206">
      <c r="A206" t="inlineStr">
        <is>
          <t>NX-00202</t>
        </is>
      </c>
      <c r="B206" t="inlineStr">
        <is>
          <t>APAC</t>
        </is>
      </c>
      <c r="C206" t="inlineStr">
        <is>
          <t>Australia/SEA</t>
        </is>
      </c>
      <c r="D206" s="12" t="n">
        <v>45444</v>
      </c>
      <c r="E206" s="13" t="n">
        <v>30.4</v>
      </c>
      <c r="F206" s="14" t="n">
        <v>2553600</v>
      </c>
      <c r="G206" t="n">
        <v>7</v>
      </c>
      <c r="H206" s="12" t="n">
        <v>45658</v>
      </c>
      <c r="I206" s="12" t="n"/>
      <c r="J206" t="b">
        <v>1</v>
      </c>
      <c r="K206" s="13" t="n">
        <v>0.02</v>
      </c>
    </row>
    <row r="207">
      <c r="A207" t="inlineStr">
        <is>
          <t>NX-00203</t>
        </is>
      </c>
      <c r="B207" t="inlineStr">
        <is>
          <t>APAC</t>
        </is>
      </c>
      <c r="C207" t="inlineStr">
        <is>
          <t>Australia/SEA</t>
        </is>
      </c>
      <c r="D207" s="12" t="n">
        <v>45444</v>
      </c>
      <c r="E207" s="13" t="n">
        <v>16.5</v>
      </c>
      <c r="F207" s="14" t="n">
        <v>1386000</v>
      </c>
      <c r="G207" t="n">
        <v>5</v>
      </c>
      <c r="H207" s="12" t="n">
        <v>45597</v>
      </c>
      <c r="I207" s="12" t="n">
        <v>45627</v>
      </c>
      <c r="J207" t="b">
        <v>0</v>
      </c>
      <c r="K207" s="13" t="n">
        <v>1.47</v>
      </c>
    </row>
    <row r="208">
      <c r="A208" t="inlineStr">
        <is>
          <t>NX-00204</t>
        </is>
      </c>
      <c r="B208" t="inlineStr">
        <is>
          <t>LATAM</t>
        </is>
      </c>
      <c r="C208" t="inlineStr">
        <is>
          <t>LATAM</t>
        </is>
      </c>
      <c r="D208" s="12" t="n">
        <v>45444</v>
      </c>
      <c r="E208" s="13" t="n">
        <v>25.5</v>
      </c>
      <c r="F208" s="14" t="n">
        <v>2014500</v>
      </c>
      <c r="G208" t="n">
        <v>5</v>
      </c>
      <c r="H208" s="12" t="n">
        <v>45597</v>
      </c>
      <c r="I208" s="12" t="n">
        <v>45839</v>
      </c>
      <c r="J208" t="b">
        <v>0</v>
      </c>
      <c r="K208" s="13" t="n">
        <v>8.390000000000001</v>
      </c>
    </row>
    <row r="209">
      <c r="A209" t="inlineStr">
        <is>
          <t>NX-00205</t>
        </is>
      </c>
      <c r="B209" t="inlineStr">
        <is>
          <t>LATAM</t>
        </is>
      </c>
      <c r="C209" t="inlineStr">
        <is>
          <t>LATAM</t>
        </is>
      </c>
      <c r="D209" s="12" t="n">
        <v>45444</v>
      </c>
      <c r="E209" s="13" t="n">
        <v>19.6</v>
      </c>
      <c r="F209" s="14" t="n">
        <v>1548400</v>
      </c>
      <c r="G209" t="n">
        <v>11</v>
      </c>
      <c r="H209" s="12" t="n">
        <v>45778</v>
      </c>
      <c r="I209" s="12" t="n">
        <v>45962</v>
      </c>
      <c r="J209" t="b">
        <v>0</v>
      </c>
      <c r="K209" s="13" t="n">
        <v>6.36</v>
      </c>
    </row>
    <row r="210">
      <c r="A210" t="inlineStr">
        <is>
          <t>NX-00206</t>
        </is>
      </c>
      <c r="B210" t="inlineStr">
        <is>
          <t>North America</t>
        </is>
      </c>
      <c r="C210" t="inlineStr">
        <is>
          <t>US / Canada</t>
        </is>
      </c>
      <c r="D210" s="12" t="n">
        <v>45474</v>
      </c>
      <c r="E210" s="13" t="n">
        <v>4.7</v>
      </c>
      <c r="F210" s="14" t="n">
        <v>390100</v>
      </c>
      <c r="G210" t="n">
        <v>5</v>
      </c>
      <c r="H210" s="12" t="n">
        <v>45627</v>
      </c>
      <c r="I210" s="12" t="n">
        <v>45627</v>
      </c>
      <c r="J210" t="b">
        <v>0</v>
      </c>
      <c r="K210" s="13" t="n">
        <v>0.21</v>
      </c>
    </row>
    <row r="211">
      <c r="A211" t="inlineStr">
        <is>
          <t>NX-00207</t>
        </is>
      </c>
      <c r="B211" t="inlineStr">
        <is>
          <t>North America</t>
        </is>
      </c>
      <c r="C211" t="inlineStr">
        <is>
          <t>US / Canada</t>
        </is>
      </c>
      <c r="D211" s="12" t="n">
        <v>45474</v>
      </c>
      <c r="E211" s="13" t="n">
        <v>51.3</v>
      </c>
      <c r="F211" s="14" t="n">
        <v>4257900</v>
      </c>
      <c r="G211" t="n">
        <v>5</v>
      </c>
      <c r="H211" s="12" t="n">
        <v>45627</v>
      </c>
      <c r="I211" s="12" t="n">
        <v>45627</v>
      </c>
      <c r="J211" t="b">
        <v>0</v>
      </c>
      <c r="K211" s="13" t="n">
        <v>0</v>
      </c>
    </row>
    <row r="212">
      <c r="A212" t="inlineStr">
        <is>
          <t>NX-00208</t>
        </is>
      </c>
      <c r="B212" t="inlineStr">
        <is>
          <t>North America</t>
        </is>
      </c>
      <c r="C212" t="inlineStr">
        <is>
          <t>US / Canada</t>
        </is>
      </c>
      <c r="D212" s="12" t="n">
        <v>45474</v>
      </c>
      <c r="E212" s="13" t="n">
        <v>13.8</v>
      </c>
      <c r="F212" s="14" t="n">
        <v>1145400</v>
      </c>
      <c r="G212" t="n">
        <v>8</v>
      </c>
      <c r="H212" s="12" t="n">
        <v>45717</v>
      </c>
      <c r="I212" s="12" t="n">
        <v>45748</v>
      </c>
      <c r="J212" t="b">
        <v>0</v>
      </c>
      <c r="K212" s="13" t="n">
        <v>0.55</v>
      </c>
    </row>
    <row r="213">
      <c r="A213" t="inlineStr">
        <is>
          <t>NX-00209</t>
        </is>
      </c>
      <c r="B213" t="inlineStr">
        <is>
          <t>North America</t>
        </is>
      </c>
      <c r="C213" t="inlineStr">
        <is>
          <t>US / Canada</t>
        </is>
      </c>
      <c r="D213" s="12" t="n">
        <v>45474</v>
      </c>
      <c r="E213" s="13" t="n">
        <v>30.8</v>
      </c>
      <c r="F213" s="14" t="n">
        <v>2556400</v>
      </c>
      <c r="G213" t="n">
        <v>14</v>
      </c>
      <c r="H213" s="12" t="n">
        <v>45901</v>
      </c>
      <c r="I213" s="12" t="n">
        <v>45901</v>
      </c>
      <c r="J213" t="b">
        <v>0</v>
      </c>
      <c r="K213" s="13" t="n">
        <v>0</v>
      </c>
    </row>
    <row r="214">
      <c r="A214" t="inlineStr">
        <is>
          <t>NX-00210</t>
        </is>
      </c>
      <c r="B214" t="inlineStr">
        <is>
          <t>North America</t>
        </is>
      </c>
      <c r="C214" t="inlineStr">
        <is>
          <t>US / Canada</t>
        </is>
      </c>
      <c r="D214" s="12" t="n">
        <v>45474</v>
      </c>
      <c r="E214" s="13" t="n">
        <v>29</v>
      </c>
      <c r="F214" s="14" t="n">
        <v>2407000</v>
      </c>
      <c r="G214" t="n">
        <v>5</v>
      </c>
      <c r="H214" s="12" t="n">
        <v>45627</v>
      </c>
      <c r="I214" s="12" t="n">
        <v>45658</v>
      </c>
      <c r="J214" t="b">
        <v>0</v>
      </c>
      <c r="K214" s="13" t="n">
        <v>0.51</v>
      </c>
    </row>
    <row r="215">
      <c r="A215" t="inlineStr">
        <is>
          <t>NX-00211</t>
        </is>
      </c>
      <c r="B215" t="inlineStr">
        <is>
          <t>North America</t>
        </is>
      </c>
      <c r="C215" t="inlineStr">
        <is>
          <t>US / Canada</t>
        </is>
      </c>
      <c r="D215" s="12" t="n">
        <v>45474</v>
      </c>
      <c r="E215" s="13" t="n">
        <v>12.4</v>
      </c>
      <c r="F215" s="14" t="n">
        <v>1029200</v>
      </c>
      <c r="G215" t="n">
        <v>5</v>
      </c>
      <c r="H215" s="12" t="n">
        <v>45627</v>
      </c>
      <c r="I215" s="12" t="n">
        <v>45627</v>
      </c>
      <c r="J215" t="b">
        <v>0</v>
      </c>
      <c r="K215" s="13" t="n">
        <v>0</v>
      </c>
    </row>
    <row r="216">
      <c r="A216" t="inlineStr">
        <is>
          <t>NX-00212</t>
        </is>
      </c>
      <c r="B216" t="inlineStr">
        <is>
          <t>North America</t>
        </is>
      </c>
      <c r="C216" t="inlineStr">
        <is>
          <t>US / Canada</t>
        </is>
      </c>
      <c r="D216" s="12" t="n">
        <v>45474</v>
      </c>
      <c r="E216" s="13" t="n">
        <v>31.5</v>
      </c>
      <c r="F216" s="14" t="n">
        <v>2614500</v>
      </c>
      <c r="G216" t="n">
        <v>8</v>
      </c>
      <c r="H216" s="12" t="n">
        <v>45717</v>
      </c>
      <c r="I216" s="12" t="n">
        <v>45717</v>
      </c>
      <c r="J216" t="b">
        <v>0</v>
      </c>
      <c r="K216" s="13" t="n">
        <v>0</v>
      </c>
    </row>
    <row r="217">
      <c r="A217" t="inlineStr">
        <is>
          <t>NX-00213</t>
        </is>
      </c>
      <c r="B217" t="inlineStr">
        <is>
          <t>North America</t>
        </is>
      </c>
      <c r="C217" t="inlineStr">
        <is>
          <t>US / Canada</t>
        </is>
      </c>
      <c r="D217" s="12" t="n">
        <v>45474</v>
      </c>
      <c r="E217" s="13" t="n">
        <v>8.9</v>
      </c>
      <c r="F217" s="14" t="n">
        <v>738700</v>
      </c>
      <c r="G217" t="n">
        <v>10</v>
      </c>
      <c r="H217" s="12" t="n">
        <v>45778</v>
      </c>
      <c r="I217" s="12" t="n">
        <v>45778</v>
      </c>
      <c r="J217" t="b">
        <v>0</v>
      </c>
      <c r="K217" s="13" t="n">
        <v>0.46</v>
      </c>
    </row>
    <row r="218">
      <c r="A218" t="inlineStr">
        <is>
          <t>NX-00214</t>
        </is>
      </c>
      <c r="B218" t="inlineStr">
        <is>
          <t>North America</t>
        </is>
      </c>
      <c r="C218" t="inlineStr">
        <is>
          <t>US / Canada</t>
        </is>
      </c>
      <c r="D218" s="12" t="n">
        <v>45474</v>
      </c>
      <c r="E218" s="13" t="n">
        <v>9.699999999999999</v>
      </c>
      <c r="F218" s="14" t="n">
        <v>805099.9999999999</v>
      </c>
      <c r="G218" t="n">
        <v>6</v>
      </c>
      <c r="H218" s="12" t="n">
        <v>45658</v>
      </c>
      <c r="I218" s="12" t="n">
        <v>45658</v>
      </c>
      <c r="J218" t="b">
        <v>0</v>
      </c>
      <c r="K218" s="13" t="n">
        <v>0.05</v>
      </c>
    </row>
    <row r="219">
      <c r="A219" t="inlineStr">
        <is>
          <t>NX-00215</t>
        </is>
      </c>
      <c r="B219" t="inlineStr">
        <is>
          <t>North America</t>
        </is>
      </c>
      <c r="C219" t="inlineStr">
        <is>
          <t>US / Canada</t>
        </is>
      </c>
      <c r="D219" s="12" t="n">
        <v>45474</v>
      </c>
      <c r="E219" s="13" t="n">
        <v>18.2</v>
      </c>
      <c r="F219" s="14" t="n">
        <v>1510600</v>
      </c>
      <c r="G219" t="n">
        <v>6</v>
      </c>
      <c r="H219" s="12" t="n">
        <v>45658</v>
      </c>
      <c r="I219" s="12" t="n">
        <v>45658</v>
      </c>
      <c r="J219" t="b">
        <v>0</v>
      </c>
      <c r="K219" s="13" t="n">
        <v>0</v>
      </c>
    </row>
    <row r="220">
      <c r="A220" t="inlineStr">
        <is>
          <t>NX-00216</t>
        </is>
      </c>
      <c r="B220" t="inlineStr">
        <is>
          <t>North America</t>
        </is>
      </c>
      <c r="C220" t="inlineStr">
        <is>
          <t>US / Canada</t>
        </is>
      </c>
      <c r="D220" s="12" t="n">
        <v>45474</v>
      </c>
      <c r="E220" s="13" t="n">
        <v>20.7</v>
      </c>
      <c r="F220" s="14" t="n">
        <v>1718100</v>
      </c>
      <c r="G220" t="n">
        <v>5</v>
      </c>
      <c r="H220" s="12" t="n">
        <v>45627</v>
      </c>
      <c r="I220" s="12" t="n">
        <v>45627</v>
      </c>
      <c r="J220" t="b">
        <v>0</v>
      </c>
      <c r="K220" s="13" t="n">
        <v>0.01</v>
      </c>
    </row>
    <row r="221">
      <c r="A221" t="inlineStr">
        <is>
          <t>NX-00217</t>
        </is>
      </c>
      <c r="B221" t="inlineStr">
        <is>
          <t>North America</t>
        </is>
      </c>
      <c r="C221" t="inlineStr">
        <is>
          <t>US / Canada</t>
        </is>
      </c>
      <c r="D221" s="12" t="n">
        <v>45474</v>
      </c>
      <c r="E221" s="13" t="n">
        <v>47.5</v>
      </c>
      <c r="F221" s="14" t="n">
        <v>3942500</v>
      </c>
      <c r="G221" t="n">
        <v>8</v>
      </c>
      <c r="H221" s="12" t="n">
        <v>45717</v>
      </c>
      <c r="I221" s="12" t="n">
        <v>45717</v>
      </c>
      <c r="J221" t="b">
        <v>0</v>
      </c>
      <c r="K221" s="13" t="n">
        <v>0.16</v>
      </c>
    </row>
    <row r="222">
      <c r="A222" t="inlineStr">
        <is>
          <t>NX-00218</t>
        </is>
      </c>
      <c r="B222" t="inlineStr">
        <is>
          <t>North America</t>
        </is>
      </c>
      <c r="C222" t="inlineStr">
        <is>
          <t>US / Canada</t>
        </is>
      </c>
      <c r="D222" s="12" t="n">
        <v>45474</v>
      </c>
      <c r="E222" s="13" t="n">
        <v>8.199999999999999</v>
      </c>
      <c r="F222" s="14" t="n">
        <v>680599.9999999999</v>
      </c>
      <c r="G222" t="n">
        <v>6</v>
      </c>
      <c r="H222" s="12" t="n">
        <v>45658</v>
      </c>
      <c r="I222" s="12" t="n">
        <v>45689</v>
      </c>
      <c r="J222" t="b">
        <v>0</v>
      </c>
      <c r="K222" s="13" t="n">
        <v>0.64</v>
      </c>
    </row>
    <row r="223">
      <c r="A223" t="inlineStr">
        <is>
          <t>NX-00219</t>
        </is>
      </c>
      <c r="B223" t="inlineStr">
        <is>
          <t>North America</t>
        </is>
      </c>
      <c r="C223" t="inlineStr">
        <is>
          <t>US / Canada</t>
        </is>
      </c>
      <c r="D223" s="12" t="n">
        <v>45474</v>
      </c>
      <c r="E223" s="13" t="n">
        <v>8.4</v>
      </c>
      <c r="F223" s="14" t="n">
        <v>697200</v>
      </c>
      <c r="G223" t="n">
        <v>10</v>
      </c>
      <c r="H223" s="12" t="n">
        <v>45778</v>
      </c>
      <c r="I223" s="12" t="n">
        <v>45809</v>
      </c>
      <c r="J223" t="b">
        <v>0</v>
      </c>
      <c r="K223" s="13" t="n">
        <v>0.99</v>
      </c>
    </row>
    <row r="224">
      <c r="A224" t="inlineStr">
        <is>
          <t>NX-00220</t>
        </is>
      </c>
      <c r="B224" t="inlineStr">
        <is>
          <t>North America</t>
        </is>
      </c>
      <c r="C224" t="inlineStr">
        <is>
          <t>US / Canada</t>
        </is>
      </c>
      <c r="D224" s="12" t="n">
        <v>45474</v>
      </c>
      <c r="E224" s="13" t="n">
        <v>4.7</v>
      </c>
      <c r="F224" s="14" t="n">
        <v>390100</v>
      </c>
      <c r="G224" t="n">
        <v>8</v>
      </c>
      <c r="H224" s="12" t="n">
        <v>45717</v>
      </c>
      <c r="I224" s="12" t="n">
        <v>45717</v>
      </c>
      <c r="J224" t="b">
        <v>0</v>
      </c>
      <c r="K224" s="13" t="n">
        <v>0.11</v>
      </c>
    </row>
    <row r="225">
      <c r="A225" t="inlineStr">
        <is>
          <t>NX-00221</t>
        </is>
      </c>
      <c r="B225" t="inlineStr">
        <is>
          <t>North America</t>
        </is>
      </c>
      <c r="C225" t="inlineStr">
        <is>
          <t>US / Canada</t>
        </is>
      </c>
      <c r="D225" s="12" t="n">
        <v>45474</v>
      </c>
      <c r="E225" s="13" t="n">
        <v>18.7</v>
      </c>
      <c r="F225" s="14" t="n">
        <v>1552100</v>
      </c>
      <c r="G225" t="n">
        <v>11</v>
      </c>
      <c r="H225" s="12" t="n">
        <v>45809</v>
      </c>
      <c r="I225" s="12" t="n">
        <v>45809</v>
      </c>
      <c r="J225" t="b">
        <v>0</v>
      </c>
      <c r="K225" s="13" t="n">
        <v>0.4</v>
      </c>
    </row>
    <row r="226">
      <c r="A226" t="inlineStr">
        <is>
          <t>NX-00222</t>
        </is>
      </c>
      <c r="B226" t="inlineStr">
        <is>
          <t>North America</t>
        </is>
      </c>
      <c r="C226" t="inlineStr">
        <is>
          <t>US / Canada</t>
        </is>
      </c>
      <c r="D226" s="12" t="n">
        <v>45474</v>
      </c>
      <c r="E226" s="13" t="n">
        <v>3.5</v>
      </c>
      <c r="F226" s="14" t="n">
        <v>290500</v>
      </c>
      <c r="G226" t="n">
        <v>7</v>
      </c>
      <c r="H226" s="12" t="n">
        <v>45689</v>
      </c>
      <c r="I226" s="12" t="n">
        <v>45689</v>
      </c>
      <c r="J226" t="b">
        <v>0</v>
      </c>
      <c r="K226" s="13" t="n">
        <v>0.12</v>
      </c>
    </row>
    <row r="227">
      <c r="A227" t="inlineStr">
        <is>
          <t>NX-00223</t>
        </is>
      </c>
      <c r="B227" t="inlineStr">
        <is>
          <t>EMEA</t>
        </is>
      </c>
      <c r="C227" t="inlineStr">
        <is>
          <t>Europe</t>
        </is>
      </c>
      <c r="D227" s="12" t="n">
        <v>45474</v>
      </c>
      <c r="E227" s="13" t="n">
        <v>20.9</v>
      </c>
      <c r="F227" s="14" t="n">
        <v>1839200</v>
      </c>
      <c r="G227" t="n">
        <v>5</v>
      </c>
      <c r="H227" s="12" t="n">
        <v>45627</v>
      </c>
      <c r="I227" s="12" t="n">
        <v>45658</v>
      </c>
      <c r="J227" t="b">
        <v>0</v>
      </c>
      <c r="K227" s="13" t="n">
        <v>0.8</v>
      </c>
    </row>
    <row r="228">
      <c r="A228" t="inlineStr">
        <is>
          <t>NX-00224</t>
        </is>
      </c>
      <c r="B228" t="inlineStr">
        <is>
          <t>EMEA</t>
        </is>
      </c>
      <c r="C228" t="inlineStr">
        <is>
          <t>Europe</t>
        </is>
      </c>
      <c r="D228" s="12" t="n">
        <v>45474</v>
      </c>
      <c r="E228" s="13" t="n">
        <v>5.4</v>
      </c>
      <c r="F228" s="14" t="n">
        <v>475200.0000000001</v>
      </c>
      <c r="G228" t="n">
        <v>8</v>
      </c>
      <c r="H228" s="12" t="n">
        <v>45717</v>
      </c>
      <c r="I228" s="12" t="n">
        <v>45717</v>
      </c>
      <c r="J228" t="b">
        <v>0</v>
      </c>
      <c r="K228" s="13" t="n">
        <v>0.13</v>
      </c>
    </row>
    <row r="229">
      <c r="A229" t="inlineStr">
        <is>
          <t>NX-00225</t>
        </is>
      </c>
      <c r="B229" t="inlineStr">
        <is>
          <t>EMEA</t>
        </is>
      </c>
      <c r="C229" t="inlineStr">
        <is>
          <t>Europe</t>
        </is>
      </c>
      <c r="D229" s="12" t="n">
        <v>45474</v>
      </c>
      <c r="E229" s="13" t="n">
        <v>5.2</v>
      </c>
      <c r="F229" s="14" t="n">
        <v>457600</v>
      </c>
      <c r="G229" t="n">
        <v>5</v>
      </c>
      <c r="H229" s="12" t="n">
        <v>45627</v>
      </c>
      <c r="I229" s="12" t="n">
        <v>45748</v>
      </c>
      <c r="J229" t="b">
        <v>0</v>
      </c>
      <c r="K229" s="13" t="n">
        <v>4.29</v>
      </c>
    </row>
    <row r="230">
      <c r="A230" t="inlineStr">
        <is>
          <t>NX-00226</t>
        </is>
      </c>
      <c r="B230" t="inlineStr">
        <is>
          <t>EMEA</t>
        </is>
      </c>
      <c r="C230" t="inlineStr">
        <is>
          <t>Europe</t>
        </is>
      </c>
      <c r="D230" s="12" t="n">
        <v>45474</v>
      </c>
      <c r="E230" s="13" t="n">
        <v>41.7</v>
      </c>
      <c r="F230" s="14" t="n">
        <v>3669600.000000001</v>
      </c>
      <c r="G230" t="n">
        <v>9</v>
      </c>
      <c r="H230" s="12" t="n">
        <v>45748</v>
      </c>
      <c r="I230" s="12" t="n">
        <v>45748</v>
      </c>
      <c r="J230" t="b">
        <v>0</v>
      </c>
      <c r="K230" s="13" t="n">
        <v>0.05</v>
      </c>
    </row>
    <row r="231">
      <c r="A231" t="inlineStr">
        <is>
          <t>NX-00227</t>
        </is>
      </c>
      <c r="B231" t="inlineStr">
        <is>
          <t>EMEA</t>
        </is>
      </c>
      <c r="C231" t="inlineStr">
        <is>
          <t>MENA</t>
        </is>
      </c>
      <c r="D231" s="12" t="n">
        <v>45474</v>
      </c>
      <c r="E231" s="13" t="n">
        <v>25.5</v>
      </c>
      <c r="F231" s="14" t="n">
        <v>2065500</v>
      </c>
      <c r="G231" t="n">
        <v>13</v>
      </c>
      <c r="H231" s="12" t="n">
        <v>45870</v>
      </c>
      <c r="I231" s="12" t="n">
        <v>45870</v>
      </c>
      <c r="J231" t="b">
        <v>0</v>
      </c>
      <c r="K231" s="13" t="n">
        <v>0.29</v>
      </c>
    </row>
    <row r="232">
      <c r="A232" t="inlineStr">
        <is>
          <t>NX-00228</t>
        </is>
      </c>
      <c r="B232" t="inlineStr">
        <is>
          <t>EMEA</t>
        </is>
      </c>
      <c r="C232" t="inlineStr">
        <is>
          <t>MENA</t>
        </is>
      </c>
      <c r="D232" s="12" t="n">
        <v>45474</v>
      </c>
      <c r="E232" s="13" t="n">
        <v>5.3</v>
      </c>
      <c r="F232" s="14" t="n">
        <v>429300</v>
      </c>
      <c r="G232" t="n">
        <v>17</v>
      </c>
      <c r="H232" s="12" t="n">
        <v>45992</v>
      </c>
      <c r="I232" s="12" t="n">
        <v>46478</v>
      </c>
      <c r="J232" t="b">
        <v>0</v>
      </c>
      <c r="K232" s="13" t="n">
        <v>16.02</v>
      </c>
    </row>
    <row r="233">
      <c r="A233" t="inlineStr">
        <is>
          <t>NX-00229</t>
        </is>
      </c>
      <c r="B233" t="inlineStr">
        <is>
          <t>APAC</t>
        </is>
      </c>
      <c r="C233" t="inlineStr">
        <is>
          <t>India</t>
        </is>
      </c>
      <c r="D233" s="12" t="n">
        <v>45474</v>
      </c>
      <c r="E233" s="13" t="n">
        <v>48.4</v>
      </c>
      <c r="F233" s="14" t="n">
        <v>3436400</v>
      </c>
      <c r="G233" t="n">
        <v>14</v>
      </c>
      <c r="H233" s="12" t="n">
        <v>45901</v>
      </c>
      <c r="I233" s="12" t="n">
        <v>45901</v>
      </c>
      <c r="J233" t="b">
        <v>0</v>
      </c>
      <c r="K233" s="13" t="n">
        <v>0.01</v>
      </c>
    </row>
    <row r="234">
      <c r="A234" t="inlineStr">
        <is>
          <t>NX-00230</t>
        </is>
      </c>
      <c r="B234" t="inlineStr">
        <is>
          <t>APAC</t>
        </is>
      </c>
      <c r="C234" t="inlineStr">
        <is>
          <t>Australia/SEA</t>
        </is>
      </c>
      <c r="D234" s="12" t="n">
        <v>45474</v>
      </c>
      <c r="E234" s="13" t="n">
        <v>8.199999999999999</v>
      </c>
      <c r="F234" s="14" t="n">
        <v>688799.9999999999</v>
      </c>
      <c r="G234" t="n">
        <v>6</v>
      </c>
      <c r="H234" s="12" t="n">
        <v>45658</v>
      </c>
      <c r="I234" s="12" t="n">
        <v>45658</v>
      </c>
      <c r="J234" t="b">
        <v>0</v>
      </c>
      <c r="K234" s="13" t="n">
        <v>0.31</v>
      </c>
    </row>
    <row r="235">
      <c r="A235" t="inlineStr">
        <is>
          <t>NX-00231</t>
        </is>
      </c>
      <c r="B235" t="inlineStr">
        <is>
          <t>APAC</t>
        </is>
      </c>
      <c r="C235" t="inlineStr">
        <is>
          <t>Australia/SEA</t>
        </is>
      </c>
      <c r="D235" s="12" t="n">
        <v>45474</v>
      </c>
      <c r="E235" s="13" t="n">
        <v>14.4</v>
      </c>
      <c r="F235" s="14" t="n">
        <v>1209600</v>
      </c>
      <c r="G235" t="n">
        <v>6</v>
      </c>
      <c r="H235" s="12" t="n">
        <v>45658</v>
      </c>
      <c r="I235" s="12" t="n">
        <v>45689</v>
      </c>
      <c r="J235" t="b">
        <v>0</v>
      </c>
      <c r="K235" s="13" t="n">
        <v>0.64</v>
      </c>
    </row>
    <row r="236">
      <c r="A236" t="inlineStr">
        <is>
          <t>NX-00232</t>
        </is>
      </c>
      <c r="B236" t="inlineStr">
        <is>
          <t>APAC</t>
        </is>
      </c>
      <c r="C236" t="inlineStr">
        <is>
          <t>Australia/SEA</t>
        </is>
      </c>
      <c r="D236" s="12" t="n">
        <v>45474</v>
      </c>
      <c r="E236" s="13" t="n">
        <v>14.6</v>
      </c>
      <c r="F236" s="14" t="n">
        <v>1226400</v>
      </c>
      <c r="G236" t="n">
        <v>8</v>
      </c>
      <c r="H236" s="12" t="n">
        <v>45717</v>
      </c>
      <c r="I236" s="12" t="n">
        <v>45778</v>
      </c>
      <c r="J236" t="b">
        <v>0</v>
      </c>
      <c r="K236" s="13" t="n">
        <v>2.11</v>
      </c>
    </row>
    <row r="237">
      <c r="A237" t="inlineStr">
        <is>
          <t>NX-00233</t>
        </is>
      </c>
      <c r="B237" t="inlineStr">
        <is>
          <t>APAC</t>
        </is>
      </c>
      <c r="C237" t="inlineStr">
        <is>
          <t>Australia/SEA</t>
        </is>
      </c>
      <c r="D237" s="12" t="n">
        <v>45474</v>
      </c>
      <c r="E237" s="13" t="n">
        <v>9.699999999999999</v>
      </c>
      <c r="F237" s="14" t="n">
        <v>814799.9999999999</v>
      </c>
      <c r="G237" t="n">
        <v>5</v>
      </c>
      <c r="H237" s="12" t="n">
        <v>45627</v>
      </c>
      <c r="I237" s="12" t="n">
        <v>45717</v>
      </c>
      <c r="J237" t="b">
        <v>0</v>
      </c>
      <c r="K237" s="13" t="n">
        <v>3.36</v>
      </c>
    </row>
    <row r="238">
      <c r="A238" t="inlineStr">
        <is>
          <t>NX-00234</t>
        </is>
      </c>
      <c r="B238" t="inlineStr">
        <is>
          <t>LATAM</t>
        </is>
      </c>
      <c r="C238" t="inlineStr">
        <is>
          <t>LATAM</t>
        </is>
      </c>
      <c r="D238" s="12" t="n">
        <v>45474</v>
      </c>
      <c r="E238" s="13" t="n">
        <v>5.9</v>
      </c>
      <c r="F238" s="14" t="n">
        <v>466100</v>
      </c>
      <c r="G238" t="n">
        <v>8</v>
      </c>
      <c r="H238" s="12" t="n">
        <v>45717</v>
      </c>
      <c r="I238" s="12" t="n">
        <v>45778</v>
      </c>
      <c r="J238" t="b">
        <v>0</v>
      </c>
      <c r="K238" s="13" t="n">
        <v>2.02</v>
      </c>
    </row>
    <row r="239">
      <c r="A239" t="inlineStr">
        <is>
          <t>NX-00235</t>
        </is>
      </c>
      <c r="B239" t="inlineStr">
        <is>
          <t>LATAM</t>
        </is>
      </c>
      <c r="C239" t="inlineStr">
        <is>
          <t>LATAM</t>
        </is>
      </c>
      <c r="D239" s="12" t="n">
        <v>45474</v>
      </c>
      <c r="E239" s="13" t="n">
        <v>31.8</v>
      </c>
      <c r="F239" s="14" t="n">
        <v>2512200</v>
      </c>
      <c r="G239" t="n">
        <v>11</v>
      </c>
      <c r="H239" s="12" t="n">
        <v>45809</v>
      </c>
      <c r="I239" s="12" t="n">
        <v>45809</v>
      </c>
      <c r="J239" t="b">
        <v>0</v>
      </c>
      <c r="K239" s="13" t="n">
        <v>0.01</v>
      </c>
    </row>
    <row r="240">
      <c r="A240" t="inlineStr">
        <is>
          <t>NX-00236</t>
        </is>
      </c>
      <c r="B240" t="inlineStr">
        <is>
          <t>LATAM</t>
        </is>
      </c>
      <c r="C240" t="inlineStr">
        <is>
          <t>LATAM</t>
        </is>
      </c>
      <c r="D240" s="12" t="n">
        <v>45474</v>
      </c>
      <c r="E240" s="13" t="n">
        <v>17</v>
      </c>
      <c r="F240" s="14" t="n">
        <v>1343000</v>
      </c>
      <c r="G240" t="n">
        <v>9</v>
      </c>
      <c r="H240" s="12" t="n">
        <v>45748</v>
      </c>
      <c r="I240" s="12" t="n">
        <v>45748</v>
      </c>
      <c r="J240" t="b">
        <v>0</v>
      </c>
      <c r="K240" s="13" t="n">
        <v>0.27</v>
      </c>
    </row>
    <row r="241">
      <c r="A241" t="inlineStr">
        <is>
          <t>NX-00237</t>
        </is>
      </c>
      <c r="B241" t="inlineStr">
        <is>
          <t>LATAM</t>
        </is>
      </c>
      <c r="C241" t="inlineStr">
        <is>
          <t>LATAM</t>
        </is>
      </c>
      <c r="D241" s="12" t="n">
        <v>45474</v>
      </c>
      <c r="E241" s="13" t="n">
        <v>12.5</v>
      </c>
      <c r="F241" s="14" t="n">
        <v>987500</v>
      </c>
      <c r="G241" t="n">
        <v>7</v>
      </c>
      <c r="H241" s="12" t="n">
        <v>45689</v>
      </c>
      <c r="I241" s="12" t="n">
        <v>45689</v>
      </c>
      <c r="J241" t="b">
        <v>0</v>
      </c>
      <c r="K241" s="13" t="n">
        <v>0</v>
      </c>
    </row>
    <row r="242">
      <c r="A242" t="inlineStr">
        <is>
          <t>NX-00238</t>
        </is>
      </c>
      <c r="B242" t="inlineStr">
        <is>
          <t>North America</t>
        </is>
      </c>
      <c r="C242" t="inlineStr">
        <is>
          <t>US / Canada</t>
        </is>
      </c>
      <c r="D242" s="12" t="n">
        <v>45505</v>
      </c>
      <c r="E242" s="13" t="n">
        <v>19.2</v>
      </c>
      <c r="F242" s="14" t="n">
        <v>1593600</v>
      </c>
      <c r="G242" t="n">
        <v>12</v>
      </c>
      <c r="H242" s="12" t="n">
        <v>45870</v>
      </c>
      <c r="I242" s="12" t="n">
        <v>45870</v>
      </c>
      <c r="J242" t="b">
        <v>0</v>
      </c>
      <c r="K242" s="13" t="n">
        <v>0</v>
      </c>
    </row>
    <row r="243">
      <c r="A243" t="inlineStr">
        <is>
          <t>NX-00239</t>
        </is>
      </c>
      <c r="B243" t="inlineStr">
        <is>
          <t>North America</t>
        </is>
      </c>
      <c r="C243" t="inlineStr">
        <is>
          <t>US / Canada</t>
        </is>
      </c>
      <c r="D243" s="12" t="n">
        <v>45505</v>
      </c>
      <c r="E243" s="13" t="n">
        <v>43.7</v>
      </c>
      <c r="F243" s="14" t="n">
        <v>3627100.000000001</v>
      </c>
      <c r="G243" t="n">
        <v>9</v>
      </c>
      <c r="H243" s="12" t="n">
        <v>45778</v>
      </c>
      <c r="I243" s="12" t="n">
        <v>45778</v>
      </c>
      <c r="J243" t="b">
        <v>0</v>
      </c>
      <c r="K243" s="13" t="n">
        <v>0.2</v>
      </c>
    </row>
    <row r="244">
      <c r="A244" t="inlineStr">
        <is>
          <t>NX-00240</t>
        </is>
      </c>
      <c r="B244" t="inlineStr">
        <is>
          <t>North America</t>
        </is>
      </c>
      <c r="C244" t="inlineStr">
        <is>
          <t>US / Canada</t>
        </is>
      </c>
      <c r="D244" s="12" t="n">
        <v>45505</v>
      </c>
      <c r="E244" s="13" t="n">
        <v>22.5</v>
      </c>
      <c r="F244" s="14" t="n">
        <v>1867500</v>
      </c>
      <c r="G244" t="n">
        <v>5</v>
      </c>
      <c r="H244" s="12" t="n">
        <v>45658</v>
      </c>
      <c r="I244" s="12" t="n">
        <v>45689</v>
      </c>
      <c r="J244" t="b">
        <v>0</v>
      </c>
      <c r="K244" s="13" t="n">
        <v>1.48</v>
      </c>
    </row>
    <row r="245">
      <c r="A245" t="inlineStr">
        <is>
          <t>NX-00241</t>
        </is>
      </c>
      <c r="B245" t="inlineStr">
        <is>
          <t>North America</t>
        </is>
      </c>
      <c r="C245" t="inlineStr">
        <is>
          <t>US / Canada</t>
        </is>
      </c>
      <c r="D245" s="12" t="n">
        <v>45505</v>
      </c>
      <c r="E245" s="13" t="n">
        <v>15.6</v>
      </c>
      <c r="F245" s="14" t="n">
        <v>1294800</v>
      </c>
      <c r="G245" t="n">
        <v>8</v>
      </c>
      <c r="H245" s="12" t="n">
        <v>45748</v>
      </c>
      <c r="I245" s="12" t="n">
        <v>45778</v>
      </c>
      <c r="J245" t="b">
        <v>0</v>
      </c>
      <c r="K245" s="13" t="n">
        <v>1.05</v>
      </c>
    </row>
    <row r="246">
      <c r="A246" t="inlineStr">
        <is>
          <t>NX-00242</t>
        </is>
      </c>
      <c r="B246" t="inlineStr">
        <is>
          <t>North America</t>
        </is>
      </c>
      <c r="C246" t="inlineStr">
        <is>
          <t>US / Canada</t>
        </is>
      </c>
      <c r="D246" s="12" t="n">
        <v>45505</v>
      </c>
      <c r="E246" s="13" t="n">
        <v>18.8</v>
      </c>
      <c r="F246" s="14" t="n">
        <v>1560400</v>
      </c>
      <c r="G246" t="n">
        <v>8</v>
      </c>
      <c r="H246" s="12" t="n">
        <v>45748</v>
      </c>
      <c r="I246" s="12" t="n">
        <v>45748</v>
      </c>
      <c r="J246" t="b">
        <v>0</v>
      </c>
      <c r="K246" s="13" t="n">
        <v>0</v>
      </c>
    </row>
    <row r="247">
      <c r="A247" t="inlineStr">
        <is>
          <t>NX-00243</t>
        </is>
      </c>
      <c r="B247" t="inlineStr">
        <is>
          <t>North America</t>
        </is>
      </c>
      <c r="C247" t="inlineStr">
        <is>
          <t>US / Canada</t>
        </is>
      </c>
      <c r="D247" s="12" t="n">
        <v>45505</v>
      </c>
      <c r="E247" s="13" t="n">
        <v>8.4</v>
      </c>
      <c r="F247" s="14" t="n">
        <v>697200</v>
      </c>
      <c r="G247" t="n">
        <v>5</v>
      </c>
      <c r="H247" s="12" t="n">
        <v>45658</v>
      </c>
      <c r="I247" s="12" t="n">
        <v>45658</v>
      </c>
      <c r="J247" t="b">
        <v>0</v>
      </c>
      <c r="K247" s="13" t="n">
        <v>0.07000000000000001</v>
      </c>
    </row>
    <row r="248">
      <c r="A248" t="inlineStr">
        <is>
          <t>NX-00244</t>
        </is>
      </c>
      <c r="B248" t="inlineStr">
        <is>
          <t>North America</t>
        </is>
      </c>
      <c r="C248" t="inlineStr">
        <is>
          <t>US / Canada</t>
        </is>
      </c>
      <c r="D248" s="12" t="n">
        <v>45505</v>
      </c>
      <c r="E248" s="13" t="n">
        <v>14.9</v>
      </c>
      <c r="F248" s="14" t="n">
        <v>1236700</v>
      </c>
      <c r="G248" t="n">
        <v>10</v>
      </c>
      <c r="H248" s="12" t="n">
        <v>45809</v>
      </c>
      <c r="I248" s="12" t="n">
        <v>45809</v>
      </c>
      <c r="J248" t="b">
        <v>0</v>
      </c>
      <c r="K248" s="13" t="n">
        <v>0</v>
      </c>
    </row>
    <row r="249">
      <c r="A249" t="inlineStr">
        <is>
          <t>NX-00245</t>
        </is>
      </c>
      <c r="B249" t="inlineStr">
        <is>
          <t>North America</t>
        </is>
      </c>
      <c r="C249" t="inlineStr">
        <is>
          <t>US / Canada</t>
        </is>
      </c>
      <c r="D249" s="12" t="n">
        <v>45505</v>
      </c>
      <c r="E249" s="13" t="n">
        <v>5.8</v>
      </c>
      <c r="F249" s="14" t="n">
        <v>481400</v>
      </c>
      <c r="G249" t="n">
        <v>5</v>
      </c>
      <c r="H249" s="12" t="n">
        <v>45658</v>
      </c>
      <c r="I249" s="12" t="n">
        <v>45658</v>
      </c>
      <c r="J249" t="b">
        <v>0</v>
      </c>
      <c r="K249" s="13" t="n">
        <v>0.02</v>
      </c>
    </row>
    <row r="250">
      <c r="A250" t="inlineStr">
        <is>
          <t>NX-00246</t>
        </is>
      </c>
      <c r="B250" t="inlineStr">
        <is>
          <t>North America</t>
        </is>
      </c>
      <c r="C250" t="inlineStr">
        <is>
          <t>US / Canada</t>
        </is>
      </c>
      <c r="D250" s="12" t="n">
        <v>45505</v>
      </c>
      <c r="E250" s="13" t="n">
        <v>5.2</v>
      </c>
      <c r="F250" s="14" t="n">
        <v>431600</v>
      </c>
      <c r="G250" t="n">
        <v>5</v>
      </c>
      <c r="H250" s="12" t="n">
        <v>45658</v>
      </c>
      <c r="I250" s="12" t="n">
        <v>45658</v>
      </c>
      <c r="J250" t="b">
        <v>0</v>
      </c>
      <c r="K250" s="13" t="n">
        <v>0</v>
      </c>
    </row>
    <row r="251">
      <c r="A251" t="inlineStr">
        <is>
          <t>NX-00247</t>
        </is>
      </c>
      <c r="B251" t="inlineStr">
        <is>
          <t>North America</t>
        </is>
      </c>
      <c r="C251" t="inlineStr">
        <is>
          <t>US / Canada</t>
        </is>
      </c>
      <c r="D251" s="12" t="n">
        <v>45505</v>
      </c>
      <c r="E251" s="13" t="n">
        <v>25.1</v>
      </c>
      <c r="F251" s="14" t="n">
        <v>2083300</v>
      </c>
      <c r="G251" t="n">
        <v>5</v>
      </c>
      <c r="H251" s="12" t="n">
        <v>45658</v>
      </c>
      <c r="I251" s="12" t="n">
        <v>45717</v>
      </c>
      <c r="J251" t="b">
        <v>0</v>
      </c>
      <c r="K251" s="13" t="n">
        <v>1.53</v>
      </c>
    </row>
    <row r="252">
      <c r="A252" t="inlineStr">
        <is>
          <t>NX-00248</t>
        </is>
      </c>
      <c r="B252" t="inlineStr">
        <is>
          <t>North America</t>
        </is>
      </c>
      <c r="C252" t="inlineStr">
        <is>
          <t>US / Canada</t>
        </is>
      </c>
      <c r="D252" s="12" t="n">
        <v>45505</v>
      </c>
      <c r="E252" s="13" t="n">
        <v>14.8</v>
      </c>
      <c r="F252" s="14" t="n">
        <v>1228400</v>
      </c>
      <c r="G252" t="n">
        <v>8</v>
      </c>
      <c r="H252" s="12" t="n">
        <v>45748</v>
      </c>
      <c r="I252" s="12" t="n">
        <v>45748</v>
      </c>
      <c r="J252" t="b">
        <v>0</v>
      </c>
      <c r="K252" s="13" t="n">
        <v>0</v>
      </c>
    </row>
    <row r="253">
      <c r="A253" t="inlineStr">
        <is>
          <t>NX-00249</t>
        </is>
      </c>
      <c r="B253" t="inlineStr">
        <is>
          <t>North America</t>
        </is>
      </c>
      <c r="C253" t="inlineStr">
        <is>
          <t>US / Canada</t>
        </is>
      </c>
      <c r="D253" s="12" t="n">
        <v>45505</v>
      </c>
      <c r="E253" s="13" t="n">
        <v>28.8</v>
      </c>
      <c r="F253" s="14" t="n">
        <v>2390400</v>
      </c>
      <c r="G253" t="n">
        <v>10</v>
      </c>
      <c r="H253" s="12" t="n">
        <v>45809</v>
      </c>
      <c r="I253" s="12" t="n">
        <v>45809</v>
      </c>
      <c r="J253" t="b">
        <v>0</v>
      </c>
      <c r="K253" s="13" t="n">
        <v>0.36</v>
      </c>
    </row>
    <row r="254">
      <c r="A254" t="inlineStr">
        <is>
          <t>NX-00250</t>
        </is>
      </c>
      <c r="B254" t="inlineStr">
        <is>
          <t>North America</t>
        </is>
      </c>
      <c r="C254" t="inlineStr">
        <is>
          <t>US / Canada</t>
        </is>
      </c>
      <c r="D254" s="12" t="n">
        <v>45505</v>
      </c>
      <c r="E254" s="13" t="n">
        <v>4.8</v>
      </c>
      <c r="F254" s="14" t="n">
        <v>398400</v>
      </c>
      <c r="G254" t="n">
        <v>5</v>
      </c>
      <c r="H254" s="12" t="n">
        <v>45658</v>
      </c>
      <c r="I254" s="12" t="n">
        <v>45658</v>
      </c>
      <c r="J254" t="b">
        <v>0</v>
      </c>
      <c r="K254" s="13" t="n">
        <v>0.01</v>
      </c>
    </row>
    <row r="255">
      <c r="A255" t="inlineStr">
        <is>
          <t>NX-00251</t>
        </is>
      </c>
      <c r="B255" t="inlineStr">
        <is>
          <t>North America</t>
        </is>
      </c>
      <c r="C255" t="inlineStr">
        <is>
          <t>US / Canada</t>
        </is>
      </c>
      <c r="D255" s="12" t="n">
        <v>45505</v>
      </c>
      <c r="E255" s="13" t="n">
        <v>33.1</v>
      </c>
      <c r="F255" s="14" t="n">
        <v>2747300</v>
      </c>
      <c r="G255" t="n">
        <v>11</v>
      </c>
      <c r="H255" s="12" t="n">
        <v>45839</v>
      </c>
      <c r="I255" s="12" t="n">
        <v>45839</v>
      </c>
      <c r="J255" t="b">
        <v>0</v>
      </c>
      <c r="K255" s="13" t="n">
        <v>0.2</v>
      </c>
    </row>
    <row r="256">
      <c r="A256" t="inlineStr">
        <is>
          <t>NX-00252</t>
        </is>
      </c>
      <c r="B256" t="inlineStr">
        <is>
          <t>North America</t>
        </is>
      </c>
      <c r="C256" t="inlineStr">
        <is>
          <t>US / Canada</t>
        </is>
      </c>
      <c r="D256" s="12" t="n">
        <v>45505</v>
      </c>
      <c r="E256" s="13" t="n">
        <v>27.1</v>
      </c>
      <c r="F256" s="14" t="n">
        <v>2249300</v>
      </c>
      <c r="G256" t="n">
        <v>9</v>
      </c>
      <c r="H256" s="12" t="n">
        <v>45778</v>
      </c>
      <c r="I256" s="12" t="n">
        <v>45809</v>
      </c>
      <c r="J256" t="b">
        <v>0</v>
      </c>
      <c r="K256" s="13" t="n">
        <v>0.57</v>
      </c>
    </row>
    <row r="257">
      <c r="A257" t="inlineStr">
        <is>
          <t>NX-00253</t>
        </is>
      </c>
      <c r="B257" t="inlineStr">
        <is>
          <t>North America</t>
        </is>
      </c>
      <c r="C257" t="inlineStr">
        <is>
          <t>US / Canada</t>
        </is>
      </c>
      <c r="D257" s="12" t="n">
        <v>45505</v>
      </c>
      <c r="E257" s="13" t="n">
        <v>13.1</v>
      </c>
      <c r="F257" s="14" t="n">
        <v>1087300</v>
      </c>
      <c r="G257" t="n">
        <v>7</v>
      </c>
      <c r="H257" s="12" t="n">
        <v>45717</v>
      </c>
      <c r="I257" s="12" t="n">
        <v>45748</v>
      </c>
      <c r="J257" t="b">
        <v>0</v>
      </c>
      <c r="K257" s="13" t="n">
        <v>0.76</v>
      </c>
    </row>
    <row r="258">
      <c r="A258" t="inlineStr">
        <is>
          <t>NX-00254</t>
        </is>
      </c>
      <c r="B258" t="inlineStr">
        <is>
          <t>North America</t>
        </is>
      </c>
      <c r="C258" t="inlineStr">
        <is>
          <t>US / Canada</t>
        </is>
      </c>
      <c r="D258" s="12" t="n">
        <v>45505</v>
      </c>
      <c r="E258" s="13" t="n">
        <v>32.2</v>
      </c>
      <c r="F258" s="14" t="n">
        <v>2672600</v>
      </c>
      <c r="G258" t="n">
        <v>5</v>
      </c>
      <c r="H258" s="12" t="n">
        <v>45658</v>
      </c>
      <c r="I258" s="12" t="n">
        <v>45658</v>
      </c>
      <c r="J258" t="b">
        <v>0</v>
      </c>
      <c r="K258" s="13" t="n">
        <v>0</v>
      </c>
    </row>
    <row r="259">
      <c r="A259" t="inlineStr">
        <is>
          <t>NX-00255</t>
        </is>
      </c>
      <c r="B259" t="inlineStr">
        <is>
          <t>North America</t>
        </is>
      </c>
      <c r="C259" t="inlineStr">
        <is>
          <t>US / Canada</t>
        </is>
      </c>
      <c r="D259" s="12" t="n">
        <v>45505</v>
      </c>
      <c r="E259" s="13" t="n">
        <v>15.2</v>
      </c>
      <c r="F259" s="14" t="n">
        <v>1261600</v>
      </c>
      <c r="G259" t="n">
        <v>6</v>
      </c>
      <c r="H259" s="12" t="n">
        <v>45689</v>
      </c>
      <c r="I259" s="12" t="n">
        <v>45689</v>
      </c>
      <c r="J259" t="b">
        <v>0</v>
      </c>
      <c r="K259" s="13" t="n">
        <v>0</v>
      </c>
    </row>
    <row r="260">
      <c r="A260" t="inlineStr">
        <is>
          <t>NX-00256</t>
        </is>
      </c>
      <c r="B260" t="inlineStr">
        <is>
          <t>North America</t>
        </is>
      </c>
      <c r="C260" t="inlineStr">
        <is>
          <t>US / Canada</t>
        </is>
      </c>
      <c r="D260" s="12" t="n">
        <v>45505</v>
      </c>
      <c r="E260" s="13" t="n">
        <v>9.699999999999999</v>
      </c>
      <c r="F260" s="14" t="n">
        <v>805099.9999999999</v>
      </c>
      <c r="G260" t="n">
        <v>12</v>
      </c>
      <c r="H260" s="12" t="n">
        <v>45870</v>
      </c>
      <c r="I260" s="12" t="n">
        <v>45870</v>
      </c>
      <c r="J260" t="b">
        <v>0</v>
      </c>
      <c r="K260" s="13" t="n">
        <v>0</v>
      </c>
    </row>
    <row r="261">
      <c r="A261" t="inlineStr">
        <is>
          <t>NX-00257</t>
        </is>
      </c>
      <c r="B261" t="inlineStr">
        <is>
          <t>North America</t>
        </is>
      </c>
      <c r="C261" t="inlineStr">
        <is>
          <t>US / Canada</t>
        </is>
      </c>
      <c r="D261" s="12" t="n">
        <v>45505</v>
      </c>
      <c r="E261" s="13" t="n">
        <v>13.8</v>
      </c>
      <c r="F261" s="14" t="n">
        <v>1145400</v>
      </c>
      <c r="G261" t="n">
        <v>6</v>
      </c>
      <c r="H261" s="12" t="n">
        <v>45689</v>
      </c>
      <c r="I261" s="12" t="n">
        <v>45689</v>
      </c>
      <c r="J261" t="b">
        <v>0</v>
      </c>
      <c r="K261" s="13" t="n">
        <v>0.47</v>
      </c>
    </row>
    <row r="262">
      <c r="A262" t="inlineStr">
        <is>
          <t>NX-00258</t>
        </is>
      </c>
      <c r="B262" t="inlineStr">
        <is>
          <t>EMEA</t>
        </is>
      </c>
      <c r="C262" t="inlineStr">
        <is>
          <t>Europe</t>
        </is>
      </c>
      <c r="D262" s="12" t="n">
        <v>45505</v>
      </c>
      <c r="E262" s="13" t="n">
        <v>5.8</v>
      </c>
      <c r="F262" s="14" t="n">
        <v>510400</v>
      </c>
      <c r="G262" t="n">
        <v>16</v>
      </c>
      <c r="H262" s="12" t="n">
        <v>45992</v>
      </c>
      <c r="I262" s="12" t="n">
        <v>45992</v>
      </c>
      <c r="J262" t="b">
        <v>0</v>
      </c>
      <c r="K262" s="13" t="n">
        <v>0.28</v>
      </c>
    </row>
    <row r="263">
      <c r="A263" t="inlineStr">
        <is>
          <t>NX-00259</t>
        </is>
      </c>
      <c r="B263" t="inlineStr">
        <is>
          <t>EMEA</t>
        </is>
      </c>
      <c r="C263" t="inlineStr">
        <is>
          <t>Europe</t>
        </is>
      </c>
      <c r="D263" s="12" t="n">
        <v>45505</v>
      </c>
      <c r="E263" s="13" t="n">
        <v>12.7</v>
      </c>
      <c r="F263" s="14" t="n">
        <v>1117600</v>
      </c>
      <c r="G263" t="n">
        <v>18</v>
      </c>
      <c r="H263" s="12" t="n">
        <v>46054</v>
      </c>
      <c r="I263" s="12" t="n">
        <v>46204</v>
      </c>
      <c r="J263" t="b">
        <v>0</v>
      </c>
      <c r="K263" s="13" t="n">
        <v>5.01</v>
      </c>
    </row>
    <row r="264">
      <c r="A264" t="inlineStr">
        <is>
          <t>NX-00260</t>
        </is>
      </c>
      <c r="B264" t="inlineStr">
        <is>
          <t>EMEA</t>
        </is>
      </c>
      <c r="C264" t="inlineStr">
        <is>
          <t>Europe</t>
        </is>
      </c>
      <c r="D264" s="12" t="n">
        <v>45505</v>
      </c>
      <c r="E264" s="13" t="n">
        <v>8.1</v>
      </c>
      <c r="F264" s="14" t="n">
        <v>712800</v>
      </c>
      <c r="G264" t="n">
        <v>5</v>
      </c>
      <c r="H264" s="12" t="n">
        <v>45658</v>
      </c>
      <c r="I264" s="12" t="n">
        <v>45658</v>
      </c>
      <c r="J264" t="b">
        <v>0</v>
      </c>
      <c r="K264" s="13" t="n">
        <v>0.1</v>
      </c>
    </row>
    <row r="265">
      <c r="A265" t="inlineStr">
        <is>
          <t>NX-00261</t>
        </is>
      </c>
      <c r="B265" t="inlineStr">
        <is>
          <t>EMEA</t>
        </is>
      </c>
      <c r="C265" t="inlineStr">
        <is>
          <t>MENA</t>
        </is>
      </c>
      <c r="D265" s="12" t="n">
        <v>45505</v>
      </c>
      <c r="E265" s="13" t="n">
        <v>16.5</v>
      </c>
      <c r="F265" s="14" t="n">
        <v>1336500</v>
      </c>
      <c r="G265" t="n">
        <v>5</v>
      </c>
      <c r="H265" s="12" t="n">
        <v>45658</v>
      </c>
      <c r="I265" s="12" t="n">
        <v>45717</v>
      </c>
      <c r="J265" t="b">
        <v>0</v>
      </c>
      <c r="K265" s="13" t="n">
        <v>2.3</v>
      </c>
    </row>
    <row r="266">
      <c r="A266" t="inlineStr">
        <is>
          <t>NX-00262</t>
        </is>
      </c>
      <c r="B266" t="inlineStr">
        <is>
          <t>EMEA</t>
        </is>
      </c>
      <c r="C266" t="inlineStr">
        <is>
          <t>MENA</t>
        </is>
      </c>
      <c r="D266" s="12" t="n">
        <v>45505</v>
      </c>
      <c r="E266" s="13" t="n">
        <v>9.699999999999999</v>
      </c>
      <c r="F266" s="14" t="n">
        <v>785700</v>
      </c>
      <c r="G266" t="n">
        <v>11</v>
      </c>
      <c r="H266" s="12" t="n">
        <v>45839</v>
      </c>
      <c r="I266" s="12" t="n">
        <v>45839</v>
      </c>
      <c r="J266" t="b">
        <v>0</v>
      </c>
      <c r="K266" s="13" t="n">
        <v>0.05</v>
      </c>
    </row>
    <row r="267">
      <c r="A267" t="inlineStr">
        <is>
          <t>NX-00263</t>
        </is>
      </c>
      <c r="B267" t="inlineStr">
        <is>
          <t>EMEA</t>
        </is>
      </c>
      <c r="C267" t="inlineStr">
        <is>
          <t>MENA</t>
        </is>
      </c>
      <c r="D267" s="12" t="n">
        <v>45505</v>
      </c>
      <c r="E267" s="13" t="n">
        <v>10</v>
      </c>
      <c r="F267" s="14" t="n">
        <v>810000</v>
      </c>
      <c r="G267" t="n">
        <v>5</v>
      </c>
      <c r="H267" s="12" t="n">
        <v>45658</v>
      </c>
      <c r="I267" s="12" t="n">
        <v>45689</v>
      </c>
      <c r="J267" t="b">
        <v>0</v>
      </c>
      <c r="K267" s="13" t="n">
        <v>0.89</v>
      </c>
    </row>
    <row r="268">
      <c r="A268" t="inlineStr">
        <is>
          <t>NX-00264</t>
        </is>
      </c>
      <c r="B268" t="inlineStr">
        <is>
          <t>APAC</t>
        </is>
      </c>
      <c r="C268" t="inlineStr">
        <is>
          <t>India</t>
        </is>
      </c>
      <c r="D268" s="12" t="n">
        <v>45505</v>
      </c>
      <c r="E268" s="13" t="n">
        <v>9.5</v>
      </c>
      <c r="F268" s="14" t="n">
        <v>674500</v>
      </c>
      <c r="G268" t="n">
        <v>16</v>
      </c>
      <c r="H268" s="12" t="n">
        <v>45992</v>
      </c>
      <c r="I268" s="12" t="n">
        <v>46143</v>
      </c>
      <c r="J268" t="b">
        <v>0</v>
      </c>
      <c r="K268" s="13" t="n">
        <v>5.22</v>
      </c>
    </row>
    <row r="269">
      <c r="A269" t="inlineStr">
        <is>
          <t>NX-00265</t>
        </is>
      </c>
      <c r="B269" t="inlineStr">
        <is>
          <t>APAC</t>
        </is>
      </c>
      <c r="C269" t="inlineStr">
        <is>
          <t>India</t>
        </is>
      </c>
      <c r="D269" s="12" t="n">
        <v>45505</v>
      </c>
      <c r="E269" s="13" t="n">
        <v>11.2</v>
      </c>
      <c r="F269" s="14" t="n">
        <v>795200</v>
      </c>
      <c r="G269" t="n">
        <v>7</v>
      </c>
      <c r="H269" s="12" t="n">
        <v>45717</v>
      </c>
      <c r="I269" s="12" t="n">
        <v>45809</v>
      </c>
      <c r="J269" t="b">
        <v>0</v>
      </c>
      <c r="K269" s="13" t="n">
        <v>2.79</v>
      </c>
    </row>
    <row r="270">
      <c r="A270" t="inlineStr">
        <is>
          <t>NX-00266</t>
        </is>
      </c>
      <c r="B270" t="inlineStr">
        <is>
          <t>APAC</t>
        </is>
      </c>
      <c r="C270" t="inlineStr">
        <is>
          <t>Australia/SEA</t>
        </is>
      </c>
      <c r="D270" s="12" t="n">
        <v>45505</v>
      </c>
      <c r="E270" s="13" t="n">
        <v>49.5</v>
      </c>
      <c r="F270" s="14" t="n">
        <v>4158000</v>
      </c>
      <c r="G270" t="n">
        <v>10</v>
      </c>
      <c r="H270" s="12" t="n">
        <v>45809</v>
      </c>
      <c r="I270" s="12" t="n">
        <v>45809</v>
      </c>
      <c r="J270" t="b">
        <v>0</v>
      </c>
      <c r="K270" s="13" t="n">
        <v>0.17</v>
      </c>
    </row>
    <row r="271">
      <c r="A271" t="inlineStr">
        <is>
          <t>NX-00267</t>
        </is>
      </c>
      <c r="B271" t="inlineStr">
        <is>
          <t>LATAM</t>
        </is>
      </c>
      <c r="C271" t="inlineStr">
        <is>
          <t>LATAM</t>
        </is>
      </c>
      <c r="D271" s="12" t="n">
        <v>45505</v>
      </c>
      <c r="E271" s="13" t="n">
        <v>7.5</v>
      </c>
      <c r="F271" s="14" t="n">
        <v>592500</v>
      </c>
      <c r="G271" t="n">
        <v>7</v>
      </c>
      <c r="H271" s="12" t="n">
        <v>45717</v>
      </c>
      <c r="I271" s="12" t="n">
        <v>45870</v>
      </c>
      <c r="J271" t="b">
        <v>0</v>
      </c>
      <c r="K271" s="13" t="n">
        <v>4.83</v>
      </c>
    </row>
    <row r="272">
      <c r="A272" t="inlineStr">
        <is>
          <t>NX-00268</t>
        </is>
      </c>
      <c r="B272" t="inlineStr">
        <is>
          <t>North America</t>
        </is>
      </c>
      <c r="C272" t="inlineStr">
        <is>
          <t>US / Canada</t>
        </is>
      </c>
      <c r="D272" s="12" t="n">
        <v>45536</v>
      </c>
      <c r="E272" s="13" t="n">
        <v>7.1</v>
      </c>
      <c r="F272" s="14" t="n">
        <v>589300</v>
      </c>
      <c r="G272" t="n">
        <v>12</v>
      </c>
      <c r="H272" s="12" t="n">
        <v>45901</v>
      </c>
      <c r="I272" s="12" t="n">
        <v>45901</v>
      </c>
      <c r="J272" t="b">
        <v>0</v>
      </c>
      <c r="K272" s="13" t="n">
        <v>0.35</v>
      </c>
    </row>
    <row r="273">
      <c r="A273" t="inlineStr">
        <is>
          <t>NX-00269</t>
        </is>
      </c>
      <c r="B273" t="inlineStr">
        <is>
          <t>North America</t>
        </is>
      </c>
      <c r="C273" t="inlineStr">
        <is>
          <t>US / Canada</t>
        </is>
      </c>
      <c r="D273" s="12" t="n">
        <v>45536</v>
      </c>
      <c r="E273" s="13" t="n">
        <v>7</v>
      </c>
      <c r="F273" s="14" t="n">
        <v>581000</v>
      </c>
      <c r="G273" t="n">
        <v>11</v>
      </c>
      <c r="H273" s="12" t="n">
        <v>45870</v>
      </c>
      <c r="I273" s="12" t="n">
        <v>45870</v>
      </c>
      <c r="J273" t="b">
        <v>0</v>
      </c>
      <c r="K273" s="13" t="n">
        <v>0</v>
      </c>
    </row>
    <row r="274">
      <c r="A274" t="inlineStr">
        <is>
          <t>NX-00270</t>
        </is>
      </c>
      <c r="B274" t="inlineStr">
        <is>
          <t>North America</t>
        </is>
      </c>
      <c r="C274" t="inlineStr">
        <is>
          <t>US / Canada</t>
        </is>
      </c>
      <c r="D274" s="12" t="n">
        <v>45536</v>
      </c>
      <c r="E274" s="13" t="n">
        <v>7.2</v>
      </c>
      <c r="F274" s="14" t="n">
        <v>597600</v>
      </c>
      <c r="G274" t="n">
        <v>8</v>
      </c>
      <c r="H274" s="12" t="n">
        <v>45778</v>
      </c>
      <c r="I274" s="12" t="n">
        <v>45778</v>
      </c>
      <c r="J274" t="b">
        <v>0</v>
      </c>
      <c r="K274" s="13" t="n">
        <v>0.47</v>
      </c>
    </row>
    <row r="275">
      <c r="A275" t="inlineStr">
        <is>
          <t>NX-00271</t>
        </is>
      </c>
      <c r="B275" t="inlineStr">
        <is>
          <t>North America</t>
        </is>
      </c>
      <c r="C275" t="inlineStr">
        <is>
          <t>US / Canada</t>
        </is>
      </c>
      <c r="D275" s="12" t="n">
        <v>45536</v>
      </c>
      <c r="E275" s="13" t="n">
        <v>7</v>
      </c>
      <c r="F275" s="14" t="n">
        <v>581000</v>
      </c>
      <c r="G275" t="n">
        <v>10</v>
      </c>
      <c r="H275" s="12" t="n">
        <v>45839</v>
      </c>
      <c r="I275" s="12" t="n"/>
      <c r="J275" t="b">
        <v>1</v>
      </c>
      <c r="K275" s="13" t="n">
        <v>0.49</v>
      </c>
    </row>
    <row r="276">
      <c r="A276" t="inlineStr">
        <is>
          <t>NX-00272</t>
        </is>
      </c>
      <c r="B276" t="inlineStr">
        <is>
          <t>North America</t>
        </is>
      </c>
      <c r="C276" t="inlineStr">
        <is>
          <t>US / Canada</t>
        </is>
      </c>
      <c r="D276" s="12" t="n">
        <v>45536</v>
      </c>
      <c r="E276" s="13" t="n">
        <v>3.1</v>
      </c>
      <c r="F276" s="14" t="n">
        <v>257300</v>
      </c>
      <c r="G276" t="n">
        <v>5</v>
      </c>
      <c r="H276" s="12" t="n">
        <v>45689</v>
      </c>
      <c r="I276" s="12" t="n">
        <v>45689</v>
      </c>
      <c r="J276" t="b">
        <v>0</v>
      </c>
      <c r="K276" s="13" t="n">
        <v>0.01</v>
      </c>
    </row>
    <row r="277">
      <c r="A277" t="inlineStr">
        <is>
          <t>NX-00273</t>
        </is>
      </c>
      <c r="B277" t="inlineStr">
        <is>
          <t>North America</t>
        </is>
      </c>
      <c r="C277" t="inlineStr">
        <is>
          <t>US / Canada</t>
        </is>
      </c>
      <c r="D277" s="12" t="n">
        <v>45536</v>
      </c>
      <c r="E277" s="13" t="n">
        <v>8</v>
      </c>
      <c r="F277" s="14" t="n">
        <v>664000</v>
      </c>
      <c r="G277" t="n">
        <v>5</v>
      </c>
      <c r="H277" s="12" t="n">
        <v>45689</v>
      </c>
      <c r="I277" s="12" t="n">
        <v>45717</v>
      </c>
      <c r="J277" t="b">
        <v>0</v>
      </c>
      <c r="K277" s="13" t="n">
        <v>0.58</v>
      </c>
    </row>
    <row r="278">
      <c r="A278" t="inlineStr">
        <is>
          <t>NX-00274</t>
        </is>
      </c>
      <c r="B278" t="inlineStr">
        <is>
          <t>North America</t>
        </is>
      </c>
      <c r="C278" t="inlineStr">
        <is>
          <t>US / Canada</t>
        </is>
      </c>
      <c r="D278" s="12" t="n">
        <v>45536</v>
      </c>
      <c r="E278" s="13" t="n">
        <v>114.9</v>
      </c>
      <c r="F278" s="14" t="n">
        <v>9536700</v>
      </c>
      <c r="G278" t="n">
        <v>9</v>
      </c>
      <c r="H278" s="12" t="n">
        <v>45809</v>
      </c>
      <c r="I278" s="12" t="n">
        <v>45809</v>
      </c>
      <c r="J278" t="b">
        <v>0</v>
      </c>
      <c r="K278" s="13" t="n">
        <v>0.01</v>
      </c>
    </row>
    <row r="279">
      <c r="A279" t="inlineStr">
        <is>
          <t>NX-00275</t>
        </is>
      </c>
      <c r="B279" t="inlineStr">
        <is>
          <t>North America</t>
        </is>
      </c>
      <c r="C279" t="inlineStr">
        <is>
          <t>US / Canada</t>
        </is>
      </c>
      <c r="D279" s="12" t="n">
        <v>45536</v>
      </c>
      <c r="E279" s="13" t="n">
        <v>9.1</v>
      </c>
      <c r="F279" s="14" t="n">
        <v>755300</v>
      </c>
      <c r="G279" t="n">
        <v>7</v>
      </c>
      <c r="H279" s="12" t="n">
        <v>45748</v>
      </c>
      <c r="I279" s="12" t="n">
        <v>45748</v>
      </c>
      <c r="J279" t="b">
        <v>0</v>
      </c>
      <c r="K279" s="13" t="n">
        <v>0.09</v>
      </c>
    </row>
    <row r="280">
      <c r="A280" t="inlineStr">
        <is>
          <t>NX-00276</t>
        </is>
      </c>
      <c r="B280" t="inlineStr">
        <is>
          <t>North America</t>
        </is>
      </c>
      <c r="C280" t="inlineStr">
        <is>
          <t>US / Canada</t>
        </is>
      </c>
      <c r="D280" s="12" t="n">
        <v>45536</v>
      </c>
      <c r="E280" s="13" t="n">
        <v>14.5</v>
      </c>
      <c r="F280" s="14" t="n">
        <v>1203500</v>
      </c>
      <c r="G280" t="n">
        <v>16</v>
      </c>
      <c r="H280" s="12" t="n">
        <v>46023</v>
      </c>
      <c r="I280" s="12" t="n">
        <v>46023</v>
      </c>
      <c r="J280" t="b">
        <v>0</v>
      </c>
      <c r="K280" s="13" t="n">
        <v>0</v>
      </c>
    </row>
    <row r="281">
      <c r="A281" t="inlineStr">
        <is>
          <t>NX-00277</t>
        </is>
      </c>
      <c r="B281" t="inlineStr">
        <is>
          <t>North America</t>
        </is>
      </c>
      <c r="C281" t="inlineStr">
        <is>
          <t>US / Canada</t>
        </is>
      </c>
      <c r="D281" s="12" t="n">
        <v>45536</v>
      </c>
      <c r="E281" s="13" t="n">
        <v>24.8</v>
      </c>
      <c r="F281" s="14" t="n">
        <v>2058400</v>
      </c>
      <c r="G281" t="n">
        <v>8</v>
      </c>
      <c r="H281" s="12" t="n">
        <v>45778</v>
      </c>
      <c r="I281" s="12" t="n">
        <v>45778</v>
      </c>
      <c r="J281" t="b">
        <v>0</v>
      </c>
      <c r="K281" s="13" t="n">
        <v>0</v>
      </c>
    </row>
    <row r="282">
      <c r="A282" t="inlineStr">
        <is>
          <t>NX-00278</t>
        </is>
      </c>
      <c r="B282" t="inlineStr">
        <is>
          <t>North America</t>
        </is>
      </c>
      <c r="C282" t="inlineStr">
        <is>
          <t>US / Canada</t>
        </is>
      </c>
      <c r="D282" s="12" t="n">
        <v>45536</v>
      </c>
      <c r="E282" s="13" t="n">
        <v>22.7</v>
      </c>
      <c r="F282" s="14" t="n">
        <v>1884100</v>
      </c>
      <c r="G282" t="n">
        <v>11</v>
      </c>
      <c r="H282" s="12" t="n">
        <v>45870</v>
      </c>
      <c r="I282" s="12" t="n">
        <v>45870</v>
      </c>
      <c r="J282" t="b">
        <v>0</v>
      </c>
      <c r="K282" s="13" t="n">
        <v>0</v>
      </c>
    </row>
    <row r="283">
      <c r="A283" t="inlineStr">
        <is>
          <t>NX-00279</t>
        </is>
      </c>
      <c r="B283" t="inlineStr">
        <is>
          <t>North America</t>
        </is>
      </c>
      <c r="C283" t="inlineStr">
        <is>
          <t>US / Canada</t>
        </is>
      </c>
      <c r="D283" s="12" t="n">
        <v>45536</v>
      </c>
      <c r="E283" s="13" t="n">
        <v>7.7</v>
      </c>
      <c r="F283" s="14" t="n">
        <v>639100</v>
      </c>
      <c r="G283" t="n">
        <v>5</v>
      </c>
      <c r="H283" s="12" t="n">
        <v>45689</v>
      </c>
      <c r="I283" s="12" t="n">
        <v>45689</v>
      </c>
      <c r="J283" t="b">
        <v>0</v>
      </c>
      <c r="K283" s="13" t="n">
        <v>0.01</v>
      </c>
    </row>
    <row r="284">
      <c r="A284" t="inlineStr">
        <is>
          <t>NX-00280</t>
        </is>
      </c>
      <c r="B284" t="inlineStr">
        <is>
          <t>North America</t>
        </is>
      </c>
      <c r="C284" t="inlineStr">
        <is>
          <t>US / Canada</t>
        </is>
      </c>
      <c r="D284" s="12" t="n">
        <v>45536</v>
      </c>
      <c r="E284" s="13" t="n">
        <v>59.8</v>
      </c>
      <c r="F284" s="14" t="n">
        <v>4963400</v>
      </c>
      <c r="G284" t="n">
        <v>12</v>
      </c>
      <c r="H284" s="12" t="n">
        <v>45901</v>
      </c>
      <c r="I284" s="12" t="n">
        <v>45901</v>
      </c>
      <c r="J284" t="b">
        <v>0</v>
      </c>
      <c r="K284" s="13" t="n">
        <v>0</v>
      </c>
    </row>
    <row r="285">
      <c r="A285" t="inlineStr">
        <is>
          <t>NX-00281</t>
        </is>
      </c>
      <c r="B285" t="inlineStr">
        <is>
          <t>North America</t>
        </is>
      </c>
      <c r="C285" t="inlineStr">
        <is>
          <t>US / Canada</t>
        </is>
      </c>
      <c r="D285" s="12" t="n">
        <v>45536</v>
      </c>
      <c r="E285" s="13" t="n">
        <v>8.199999999999999</v>
      </c>
      <c r="F285" s="14" t="n">
        <v>680599.9999999999</v>
      </c>
      <c r="G285" t="n">
        <v>5</v>
      </c>
      <c r="H285" s="12" t="n">
        <v>45689</v>
      </c>
      <c r="I285" s="12" t="n">
        <v>45748</v>
      </c>
      <c r="J285" t="b">
        <v>0</v>
      </c>
      <c r="K285" s="13" t="n">
        <v>1.77</v>
      </c>
    </row>
    <row r="286">
      <c r="A286" t="inlineStr">
        <is>
          <t>NX-00282</t>
        </is>
      </c>
      <c r="B286" t="inlineStr">
        <is>
          <t>North America</t>
        </is>
      </c>
      <c r="C286" t="inlineStr">
        <is>
          <t>US / Canada</t>
        </is>
      </c>
      <c r="D286" s="12" t="n">
        <v>45536</v>
      </c>
      <c r="E286" s="13" t="n">
        <v>5.8</v>
      </c>
      <c r="F286" s="14" t="n">
        <v>481400</v>
      </c>
      <c r="G286" t="n">
        <v>7</v>
      </c>
      <c r="H286" s="12" t="n">
        <v>45748</v>
      </c>
      <c r="I286" s="12" t="n">
        <v>45748</v>
      </c>
      <c r="J286" t="b">
        <v>0</v>
      </c>
      <c r="K286" s="13" t="n">
        <v>0.35</v>
      </c>
    </row>
    <row r="287">
      <c r="A287" t="inlineStr">
        <is>
          <t>NX-00283</t>
        </is>
      </c>
      <c r="B287" t="inlineStr">
        <is>
          <t>North America</t>
        </is>
      </c>
      <c r="C287" t="inlineStr">
        <is>
          <t>US / Canada</t>
        </is>
      </c>
      <c r="D287" s="12" t="n">
        <v>45536</v>
      </c>
      <c r="E287" s="13" t="n">
        <v>23</v>
      </c>
      <c r="F287" s="14" t="n">
        <v>1909000</v>
      </c>
      <c r="G287" t="n">
        <v>7</v>
      </c>
      <c r="H287" s="12" t="n">
        <v>45748</v>
      </c>
      <c r="I287" s="12" t="n">
        <v>45748</v>
      </c>
      <c r="J287" t="b">
        <v>0</v>
      </c>
      <c r="K287" s="13" t="n">
        <v>0.07000000000000001</v>
      </c>
    </row>
    <row r="288">
      <c r="A288" t="inlineStr">
        <is>
          <t>NX-00284</t>
        </is>
      </c>
      <c r="B288" t="inlineStr">
        <is>
          <t>North America</t>
        </is>
      </c>
      <c r="C288" t="inlineStr">
        <is>
          <t>US / Canada</t>
        </is>
      </c>
      <c r="D288" s="12" t="n">
        <v>45536</v>
      </c>
      <c r="E288" s="13" t="n">
        <v>6.1</v>
      </c>
      <c r="F288" s="14" t="n">
        <v>506300</v>
      </c>
      <c r="G288" t="n">
        <v>15</v>
      </c>
      <c r="H288" s="12" t="n">
        <v>45992</v>
      </c>
      <c r="I288" s="12" t="n">
        <v>45992</v>
      </c>
      <c r="J288" t="b">
        <v>0</v>
      </c>
      <c r="K288" s="13" t="n">
        <v>0</v>
      </c>
    </row>
    <row r="289">
      <c r="A289" t="inlineStr">
        <is>
          <t>NX-00285</t>
        </is>
      </c>
      <c r="B289" t="inlineStr">
        <is>
          <t>North America</t>
        </is>
      </c>
      <c r="C289" t="inlineStr">
        <is>
          <t>US / Canada</t>
        </is>
      </c>
      <c r="D289" s="12" t="n">
        <v>45536</v>
      </c>
      <c r="E289" s="13" t="n">
        <v>22.8</v>
      </c>
      <c r="F289" s="14" t="n">
        <v>1892400</v>
      </c>
      <c r="G289" t="n">
        <v>6</v>
      </c>
      <c r="H289" s="12" t="n">
        <v>45717</v>
      </c>
      <c r="I289" s="12" t="n">
        <v>45717</v>
      </c>
      <c r="J289" t="b">
        <v>0</v>
      </c>
      <c r="K289" s="13" t="n">
        <v>0.03</v>
      </c>
    </row>
    <row r="290">
      <c r="A290" t="inlineStr">
        <is>
          <t>NX-00286</t>
        </is>
      </c>
      <c r="B290" t="inlineStr">
        <is>
          <t>EMEA</t>
        </is>
      </c>
      <c r="C290" t="inlineStr">
        <is>
          <t>Europe</t>
        </is>
      </c>
      <c r="D290" s="12" t="n">
        <v>45536</v>
      </c>
      <c r="E290" s="13" t="n">
        <v>9.300000000000001</v>
      </c>
      <c r="F290" s="14" t="n">
        <v>818400.0000000001</v>
      </c>
      <c r="G290" t="n">
        <v>5</v>
      </c>
      <c r="H290" s="12" t="n">
        <v>45689</v>
      </c>
      <c r="I290" s="12" t="n">
        <v>45689</v>
      </c>
      <c r="J290" t="b">
        <v>0</v>
      </c>
      <c r="K290" s="13" t="n">
        <v>0.05</v>
      </c>
    </row>
    <row r="291">
      <c r="A291" t="inlineStr">
        <is>
          <t>NX-00287</t>
        </is>
      </c>
      <c r="B291" t="inlineStr">
        <is>
          <t>EMEA</t>
        </is>
      </c>
      <c r="C291" t="inlineStr">
        <is>
          <t>Europe</t>
        </is>
      </c>
      <c r="D291" s="12" t="n">
        <v>45536</v>
      </c>
      <c r="E291" s="13" t="n">
        <v>14.3</v>
      </c>
      <c r="F291" s="14" t="n">
        <v>1258400</v>
      </c>
      <c r="G291" t="n">
        <v>5</v>
      </c>
      <c r="H291" s="12" t="n">
        <v>45689</v>
      </c>
      <c r="I291" s="12" t="n">
        <v>45689</v>
      </c>
      <c r="J291" t="b">
        <v>0</v>
      </c>
      <c r="K291" s="13" t="n">
        <v>0.45</v>
      </c>
    </row>
    <row r="292">
      <c r="A292" t="inlineStr">
        <is>
          <t>NX-00288</t>
        </is>
      </c>
      <c r="B292" t="inlineStr">
        <is>
          <t>EMEA</t>
        </is>
      </c>
      <c r="C292" t="inlineStr">
        <is>
          <t>MENA</t>
        </is>
      </c>
      <c r="D292" s="12" t="n">
        <v>45536</v>
      </c>
      <c r="E292" s="13" t="n">
        <v>22.7</v>
      </c>
      <c r="F292" s="14" t="n">
        <v>1838700</v>
      </c>
      <c r="G292" t="n">
        <v>7</v>
      </c>
      <c r="H292" s="12" t="n">
        <v>45748</v>
      </c>
      <c r="I292" s="12" t="n">
        <v>45748</v>
      </c>
      <c r="J292" t="b">
        <v>0</v>
      </c>
      <c r="K292" s="13" t="n">
        <v>0.46</v>
      </c>
    </row>
    <row r="293">
      <c r="A293" t="inlineStr">
        <is>
          <t>NX-00289</t>
        </is>
      </c>
      <c r="B293" t="inlineStr">
        <is>
          <t>EMEA</t>
        </is>
      </c>
      <c r="C293" t="inlineStr">
        <is>
          <t>MENA</t>
        </is>
      </c>
      <c r="D293" s="12" t="n">
        <v>45536</v>
      </c>
      <c r="E293" s="13" t="n">
        <v>12.4</v>
      </c>
      <c r="F293" s="14" t="n">
        <v>1004400</v>
      </c>
      <c r="G293" t="n">
        <v>8</v>
      </c>
      <c r="H293" s="12" t="n">
        <v>45778</v>
      </c>
      <c r="I293" s="12" t="n">
        <v>45901</v>
      </c>
      <c r="J293" t="b">
        <v>0</v>
      </c>
      <c r="K293" s="13" t="n">
        <v>3.83</v>
      </c>
    </row>
    <row r="294">
      <c r="A294" t="inlineStr">
        <is>
          <t>NX-00290</t>
        </is>
      </c>
      <c r="B294" t="inlineStr">
        <is>
          <t>APAC</t>
        </is>
      </c>
      <c r="C294" t="inlineStr">
        <is>
          <t>India</t>
        </is>
      </c>
      <c r="D294" s="12" t="n">
        <v>45536</v>
      </c>
      <c r="E294" s="13" t="n">
        <v>10.2</v>
      </c>
      <c r="F294" s="14" t="n">
        <v>724200</v>
      </c>
      <c r="G294" t="n">
        <v>8</v>
      </c>
      <c r="H294" s="12" t="n">
        <v>45778</v>
      </c>
      <c r="I294" s="12" t="n">
        <v>45870</v>
      </c>
      <c r="J294" t="b">
        <v>0</v>
      </c>
      <c r="K294" s="13" t="n">
        <v>3.12</v>
      </c>
    </row>
    <row r="295">
      <c r="A295" t="inlineStr">
        <is>
          <t>NX-00291</t>
        </is>
      </c>
      <c r="B295" t="inlineStr">
        <is>
          <t>APAC</t>
        </is>
      </c>
      <c r="C295" t="inlineStr">
        <is>
          <t>India</t>
        </is>
      </c>
      <c r="D295" s="12" t="n">
        <v>45536</v>
      </c>
      <c r="E295" s="13" t="n">
        <v>15.8</v>
      </c>
      <c r="F295" s="14" t="n">
        <v>1121800</v>
      </c>
      <c r="G295" t="n">
        <v>11</v>
      </c>
      <c r="H295" s="12" t="n">
        <v>45870</v>
      </c>
      <c r="I295" s="12" t="n">
        <v>45931</v>
      </c>
      <c r="J295" t="b">
        <v>0</v>
      </c>
      <c r="K295" s="13" t="n">
        <v>2.14</v>
      </c>
    </row>
    <row r="296">
      <c r="A296" t="inlineStr">
        <is>
          <t>NX-00292</t>
        </is>
      </c>
      <c r="B296" t="inlineStr">
        <is>
          <t>APAC</t>
        </is>
      </c>
      <c r="C296" t="inlineStr">
        <is>
          <t>Australia/SEA</t>
        </is>
      </c>
      <c r="D296" s="12" t="n">
        <v>45536</v>
      </c>
      <c r="E296" s="13" t="n">
        <v>23.3</v>
      </c>
      <c r="F296" s="14" t="n">
        <v>1957200</v>
      </c>
      <c r="G296" t="n">
        <v>7</v>
      </c>
      <c r="H296" s="12" t="n">
        <v>45748</v>
      </c>
      <c r="I296" s="12" t="n">
        <v>45748</v>
      </c>
      <c r="J296" t="b">
        <v>0</v>
      </c>
      <c r="K296" s="13" t="n">
        <v>0</v>
      </c>
    </row>
    <row r="297">
      <c r="A297" t="inlineStr">
        <is>
          <t>NX-00293</t>
        </is>
      </c>
      <c r="B297" t="inlineStr">
        <is>
          <t>APAC</t>
        </is>
      </c>
      <c r="C297" t="inlineStr">
        <is>
          <t>Australia/SEA</t>
        </is>
      </c>
      <c r="D297" s="12" t="n">
        <v>45536</v>
      </c>
      <c r="E297" s="13" t="n">
        <v>18.8</v>
      </c>
      <c r="F297" s="14" t="n">
        <v>1579200</v>
      </c>
      <c r="G297" t="n">
        <v>6</v>
      </c>
      <c r="H297" s="12" t="n">
        <v>45717</v>
      </c>
      <c r="I297" s="12" t="n">
        <v>45748</v>
      </c>
      <c r="J297" t="b">
        <v>0</v>
      </c>
      <c r="K297" s="13" t="n">
        <v>1.13</v>
      </c>
    </row>
    <row r="298">
      <c r="A298" t="inlineStr">
        <is>
          <t>NX-00294</t>
        </is>
      </c>
      <c r="B298" t="inlineStr">
        <is>
          <t>LATAM</t>
        </is>
      </c>
      <c r="C298" t="inlineStr">
        <is>
          <t>LATAM</t>
        </is>
      </c>
      <c r="D298" s="12" t="n">
        <v>45536</v>
      </c>
      <c r="E298" s="13" t="n">
        <v>12.5</v>
      </c>
      <c r="F298" s="14" t="n">
        <v>987500</v>
      </c>
      <c r="G298" t="n">
        <v>8</v>
      </c>
      <c r="H298" s="12" t="n">
        <v>45778</v>
      </c>
      <c r="I298" s="12" t="n"/>
      <c r="J298" t="b">
        <v>1</v>
      </c>
      <c r="K298" s="13" t="n">
        <v>0.2</v>
      </c>
    </row>
    <row r="299">
      <c r="A299" t="inlineStr">
        <is>
          <t>NX-00295</t>
        </is>
      </c>
      <c r="B299" t="inlineStr">
        <is>
          <t>LATAM</t>
        </is>
      </c>
      <c r="C299" t="inlineStr">
        <is>
          <t>LATAM</t>
        </is>
      </c>
      <c r="D299" s="12" t="n">
        <v>45536</v>
      </c>
      <c r="E299" s="13" t="n">
        <v>16.9</v>
      </c>
      <c r="F299" s="14" t="n">
        <v>1335100</v>
      </c>
      <c r="G299" t="n">
        <v>11</v>
      </c>
      <c r="H299" s="12" t="n">
        <v>45870</v>
      </c>
      <c r="I299" s="12" t="n">
        <v>45931</v>
      </c>
      <c r="J299" t="b">
        <v>0</v>
      </c>
      <c r="K299" s="13" t="n">
        <v>1.77</v>
      </c>
    </row>
    <row r="300">
      <c r="A300" t="inlineStr">
        <is>
          <t>NX-00296</t>
        </is>
      </c>
      <c r="B300" t="inlineStr">
        <is>
          <t>LATAM</t>
        </is>
      </c>
      <c r="C300" t="inlineStr">
        <is>
          <t>LATAM</t>
        </is>
      </c>
      <c r="D300" s="12" t="n">
        <v>45536</v>
      </c>
      <c r="E300" s="13" t="n">
        <v>29.9</v>
      </c>
      <c r="F300" s="14" t="n">
        <v>2362100</v>
      </c>
      <c r="G300" t="n">
        <v>5</v>
      </c>
      <c r="H300" s="12" t="n">
        <v>45689</v>
      </c>
      <c r="I300" s="12" t="n">
        <v>45717</v>
      </c>
      <c r="J300" t="b">
        <v>0</v>
      </c>
      <c r="K300" s="13" t="n">
        <v>1.35</v>
      </c>
    </row>
    <row r="301">
      <c r="A301" t="inlineStr">
        <is>
          <t>NX-00297</t>
        </is>
      </c>
      <c r="B301" t="inlineStr">
        <is>
          <t>LATAM</t>
        </is>
      </c>
      <c r="C301" t="inlineStr">
        <is>
          <t>LATAM</t>
        </is>
      </c>
      <c r="D301" s="12" t="n">
        <v>45536</v>
      </c>
      <c r="E301" s="13" t="n">
        <v>9.6</v>
      </c>
      <c r="F301" s="14" t="n">
        <v>758400</v>
      </c>
      <c r="G301" t="n">
        <v>7</v>
      </c>
      <c r="H301" s="12" t="n">
        <v>45748</v>
      </c>
      <c r="I301" s="12" t="n">
        <v>45809</v>
      </c>
      <c r="J301" t="b">
        <v>0</v>
      </c>
      <c r="K301" s="13" t="n">
        <v>2.33</v>
      </c>
    </row>
    <row r="302">
      <c r="A302" t="inlineStr">
        <is>
          <t>NX-00298</t>
        </is>
      </c>
      <c r="B302" t="inlineStr">
        <is>
          <t>North America</t>
        </is>
      </c>
      <c r="C302" t="inlineStr">
        <is>
          <t>US / Canada</t>
        </is>
      </c>
      <c r="D302" s="12" t="n">
        <v>45566</v>
      </c>
      <c r="E302" s="13" t="n">
        <v>7.1</v>
      </c>
      <c r="F302" s="14" t="n">
        <v>589300</v>
      </c>
      <c r="G302" t="n">
        <v>5</v>
      </c>
      <c r="H302" s="12" t="n">
        <v>45717</v>
      </c>
      <c r="I302" s="12" t="n">
        <v>45717</v>
      </c>
      <c r="J302" t="b">
        <v>0</v>
      </c>
      <c r="K302" s="13" t="n">
        <v>0</v>
      </c>
    </row>
    <row r="303">
      <c r="A303" t="inlineStr">
        <is>
          <t>NX-00299</t>
        </is>
      </c>
      <c r="B303" t="inlineStr">
        <is>
          <t>North America</t>
        </is>
      </c>
      <c r="C303" t="inlineStr">
        <is>
          <t>US / Canada</t>
        </is>
      </c>
      <c r="D303" s="12" t="n">
        <v>45566</v>
      </c>
      <c r="E303" s="13" t="n">
        <v>39.6</v>
      </c>
      <c r="F303" s="14" t="n">
        <v>3286800</v>
      </c>
      <c r="G303" t="n">
        <v>6</v>
      </c>
      <c r="H303" s="12" t="n">
        <v>45748</v>
      </c>
      <c r="I303" s="12" t="n">
        <v>45748</v>
      </c>
      <c r="J303" t="b">
        <v>0</v>
      </c>
      <c r="K303" s="13" t="n">
        <v>0</v>
      </c>
    </row>
    <row r="304">
      <c r="A304" t="inlineStr">
        <is>
          <t>NX-00300</t>
        </is>
      </c>
      <c r="B304" t="inlineStr">
        <is>
          <t>North America</t>
        </is>
      </c>
      <c r="C304" t="inlineStr">
        <is>
          <t>US / Canada</t>
        </is>
      </c>
      <c r="D304" s="12" t="n">
        <v>45566</v>
      </c>
      <c r="E304" s="13" t="n">
        <v>17.8</v>
      </c>
      <c r="F304" s="14" t="n">
        <v>1477400</v>
      </c>
      <c r="G304" t="n">
        <v>5</v>
      </c>
      <c r="H304" s="12" t="n">
        <v>45717</v>
      </c>
      <c r="I304" s="12" t="n">
        <v>45717</v>
      </c>
      <c r="J304" t="b">
        <v>0</v>
      </c>
      <c r="K304" s="13" t="n">
        <v>0.03</v>
      </c>
    </row>
    <row r="305">
      <c r="A305" t="inlineStr">
        <is>
          <t>NX-00301</t>
        </is>
      </c>
      <c r="B305" t="inlineStr">
        <is>
          <t>North America</t>
        </is>
      </c>
      <c r="C305" t="inlineStr">
        <is>
          <t>US / Canada</t>
        </is>
      </c>
      <c r="D305" s="12" t="n">
        <v>45566</v>
      </c>
      <c r="E305" s="13" t="n">
        <v>7.7</v>
      </c>
      <c r="F305" s="14" t="n">
        <v>639100</v>
      </c>
      <c r="G305" t="n">
        <v>5</v>
      </c>
      <c r="H305" s="12" t="n">
        <v>45717</v>
      </c>
      <c r="I305" s="12" t="n">
        <v>45717</v>
      </c>
      <c r="J305" t="b">
        <v>0</v>
      </c>
      <c r="K305" s="13" t="n">
        <v>0.01</v>
      </c>
    </row>
    <row r="306">
      <c r="A306" t="inlineStr">
        <is>
          <t>NX-00302</t>
        </is>
      </c>
      <c r="B306" t="inlineStr">
        <is>
          <t>North America</t>
        </is>
      </c>
      <c r="C306" t="inlineStr">
        <is>
          <t>US / Canada</t>
        </is>
      </c>
      <c r="D306" s="12" t="n">
        <v>45566</v>
      </c>
      <c r="E306" s="13" t="n">
        <v>27.3</v>
      </c>
      <c r="F306" s="14" t="n">
        <v>2265900</v>
      </c>
      <c r="G306" t="n">
        <v>13</v>
      </c>
      <c r="H306" s="12" t="n">
        <v>45962</v>
      </c>
      <c r="I306" s="12" t="n">
        <v>45962</v>
      </c>
      <c r="J306" t="b">
        <v>0</v>
      </c>
      <c r="K306" s="13" t="n">
        <v>0</v>
      </c>
    </row>
    <row r="307">
      <c r="A307" t="inlineStr">
        <is>
          <t>NX-00303</t>
        </is>
      </c>
      <c r="B307" t="inlineStr">
        <is>
          <t>North America</t>
        </is>
      </c>
      <c r="C307" t="inlineStr">
        <is>
          <t>US / Canada</t>
        </is>
      </c>
      <c r="D307" s="12" t="n">
        <v>45566</v>
      </c>
      <c r="E307" s="13" t="n">
        <v>25.8</v>
      </c>
      <c r="F307" s="14" t="n">
        <v>2141400</v>
      </c>
      <c r="G307" t="n">
        <v>7</v>
      </c>
      <c r="H307" s="12" t="n">
        <v>45778</v>
      </c>
      <c r="I307" s="12" t="n"/>
      <c r="J307" t="b">
        <v>1</v>
      </c>
      <c r="K307" s="13" t="n">
        <v>0.2</v>
      </c>
    </row>
    <row r="308">
      <c r="A308" t="inlineStr">
        <is>
          <t>NX-00304</t>
        </is>
      </c>
      <c r="B308" t="inlineStr">
        <is>
          <t>North America</t>
        </is>
      </c>
      <c r="C308" t="inlineStr">
        <is>
          <t>US / Canada</t>
        </is>
      </c>
      <c r="D308" s="12" t="n">
        <v>45566</v>
      </c>
      <c r="E308" s="13" t="n">
        <v>37</v>
      </c>
      <c r="F308" s="14" t="n">
        <v>3071000</v>
      </c>
      <c r="G308" t="n">
        <v>7</v>
      </c>
      <c r="H308" s="12" t="n">
        <v>45778</v>
      </c>
      <c r="I308" s="12" t="n">
        <v>45809</v>
      </c>
      <c r="J308" t="b">
        <v>0</v>
      </c>
      <c r="K308" s="13" t="n">
        <v>0.73</v>
      </c>
    </row>
    <row r="309">
      <c r="A309" t="inlineStr">
        <is>
          <t>NX-00305</t>
        </is>
      </c>
      <c r="B309" t="inlineStr">
        <is>
          <t>North America</t>
        </is>
      </c>
      <c r="C309" t="inlineStr">
        <is>
          <t>US / Canada</t>
        </is>
      </c>
      <c r="D309" s="12" t="n">
        <v>45566</v>
      </c>
      <c r="E309" s="13" t="n">
        <v>27.6</v>
      </c>
      <c r="F309" s="14" t="n">
        <v>2290800</v>
      </c>
      <c r="G309" t="n">
        <v>5</v>
      </c>
      <c r="H309" s="12" t="n">
        <v>45717</v>
      </c>
      <c r="I309" s="12" t="n">
        <v>45717</v>
      </c>
      <c r="J309" t="b">
        <v>0</v>
      </c>
      <c r="K309" s="13" t="n">
        <v>0.05</v>
      </c>
    </row>
    <row r="310">
      <c r="A310" t="inlineStr">
        <is>
          <t>NX-00306</t>
        </is>
      </c>
      <c r="B310" t="inlineStr">
        <is>
          <t>North America</t>
        </is>
      </c>
      <c r="C310" t="inlineStr">
        <is>
          <t>US / Canada</t>
        </is>
      </c>
      <c r="D310" s="12" t="n">
        <v>45566</v>
      </c>
      <c r="E310" s="13" t="n">
        <v>2.9</v>
      </c>
      <c r="F310" s="14" t="n">
        <v>240700</v>
      </c>
      <c r="G310" t="n">
        <v>14</v>
      </c>
      <c r="H310" s="12" t="n">
        <v>45992</v>
      </c>
      <c r="I310" s="12" t="n">
        <v>45992</v>
      </c>
      <c r="J310" t="b">
        <v>0</v>
      </c>
      <c r="K310" s="13" t="n">
        <v>0.25</v>
      </c>
    </row>
    <row r="311">
      <c r="A311" t="inlineStr">
        <is>
          <t>NX-00307</t>
        </is>
      </c>
      <c r="B311" t="inlineStr">
        <is>
          <t>North America</t>
        </is>
      </c>
      <c r="C311" t="inlineStr">
        <is>
          <t>US / Canada</t>
        </is>
      </c>
      <c r="D311" s="12" t="n">
        <v>45566</v>
      </c>
      <c r="E311" s="13" t="n">
        <v>21.3</v>
      </c>
      <c r="F311" s="14" t="n">
        <v>1767900</v>
      </c>
      <c r="G311" t="n">
        <v>7</v>
      </c>
      <c r="H311" s="12" t="n">
        <v>45778</v>
      </c>
      <c r="I311" s="12" t="n">
        <v>45778</v>
      </c>
      <c r="J311" t="b">
        <v>0</v>
      </c>
      <c r="K311" s="13" t="n">
        <v>0.39</v>
      </c>
    </row>
    <row r="312">
      <c r="A312" t="inlineStr">
        <is>
          <t>NX-00308</t>
        </is>
      </c>
      <c r="B312" t="inlineStr">
        <is>
          <t>North America</t>
        </is>
      </c>
      <c r="C312" t="inlineStr">
        <is>
          <t>US / Canada</t>
        </is>
      </c>
      <c r="D312" s="12" t="n">
        <v>45566</v>
      </c>
      <c r="E312" s="13" t="n">
        <v>29</v>
      </c>
      <c r="F312" s="14" t="n">
        <v>2407000</v>
      </c>
      <c r="G312" t="n">
        <v>6</v>
      </c>
      <c r="H312" s="12" t="n">
        <v>45748</v>
      </c>
      <c r="I312" s="12" t="n">
        <v>45778</v>
      </c>
      <c r="J312" t="b">
        <v>0</v>
      </c>
      <c r="K312" s="13" t="n">
        <v>0.58</v>
      </c>
    </row>
    <row r="313">
      <c r="A313" t="inlineStr">
        <is>
          <t>NX-00309</t>
        </is>
      </c>
      <c r="B313" t="inlineStr">
        <is>
          <t>North America</t>
        </is>
      </c>
      <c r="C313" t="inlineStr">
        <is>
          <t>US / Canada</t>
        </is>
      </c>
      <c r="D313" s="12" t="n">
        <v>45566</v>
      </c>
      <c r="E313" s="13" t="n">
        <v>2.5</v>
      </c>
      <c r="F313" s="14" t="n">
        <v>207500</v>
      </c>
      <c r="G313" t="n">
        <v>7</v>
      </c>
      <c r="H313" s="12" t="n">
        <v>45778</v>
      </c>
      <c r="I313" s="12" t="n">
        <v>45778</v>
      </c>
      <c r="J313" t="b">
        <v>0</v>
      </c>
      <c r="K313" s="13" t="n">
        <v>0</v>
      </c>
    </row>
    <row r="314">
      <c r="A314" t="inlineStr">
        <is>
          <t>NX-00310</t>
        </is>
      </c>
      <c r="B314" t="inlineStr">
        <is>
          <t>North America</t>
        </is>
      </c>
      <c r="C314" t="inlineStr">
        <is>
          <t>US / Canada</t>
        </is>
      </c>
      <c r="D314" s="12" t="n">
        <v>45566</v>
      </c>
      <c r="E314" s="13" t="n">
        <v>10.3</v>
      </c>
      <c r="F314" s="14" t="n">
        <v>854900.0000000001</v>
      </c>
      <c r="G314" t="n">
        <v>6</v>
      </c>
      <c r="H314" s="12" t="n">
        <v>45748</v>
      </c>
      <c r="I314" s="12" t="n">
        <v>45809</v>
      </c>
      <c r="J314" t="b">
        <v>0</v>
      </c>
      <c r="K314" s="13" t="n">
        <v>2.13</v>
      </c>
    </row>
    <row r="315">
      <c r="A315" t="inlineStr">
        <is>
          <t>NX-00311</t>
        </is>
      </c>
      <c r="B315" t="inlineStr">
        <is>
          <t>North America</t>
        </is>
      </c>
      <c r="C315" t="inlineStr">
        <is>
          <t>US / Canada</t>
        </is>
      </c>
      <c r="D315" s="12" t="n">
        <v>45566</v>
      </c>
      <c r="E315" s="13" t="n">
        <v>6.5</v>
      </c>
      <c r="F315" s="14" t="n">
        <v>539500</v>
      </c>
      <c r="G315" t="n">
        <v>11</v>
      </c>
      <c r="H315" s="12" t="n">
        <v>45901</v>
      </c>
      <c r="I315" s="12" t="n">
        <v>45901</v>
      </c>
      <c r="J315" t="b">
        <v>0</v>
      </c>
      <c r="K315" s="13" t="n">
        <v>0.04</v>
      </c>
    </row>
    <row r="316">
      <c r="A316" t="inlineStr">
        <is>
          <t>NX-00312</t>
        </is>
      </c>
      <c r="B316" t="inlineStr">
        <is>
          <t>North America</t>
        </is>
      </c>
      <c r="C316" t="inlineStr">
        <is>
          <t>US / Canada</t>
        </is>
      </c>
      <c r="D316" s="12" t="n">
        <v>45566</v>
      </c>
      <c r="E316" s="13" t="n">
        <v>20.3</v>
      </c>
      <c r="F316" s="14" t="n">
        <v>1684900</v>
      </c>
      <c r="G316" t="n">
        <v>7</v>
      </c>
      <c r="H316" s="12" t="n">
        <v>45778</v>
      </c>
      <c r="I316" s="12" t="n">
        <v>45778</v>
      </c>
      <c r="J316" t="b">
        <v>0</v>
      </c>
      <c r="K316" s="13" t="n">
        <v>0.01</v>
      </c>
    </row>
    <row r="317">
      <c r="A317" t="inlineStr">
        <is>
          <t>NX-00313</t>
        </is>
      </c>
      <c r="B317" t="inlineStr">
        <is>
          <t>North America</t>
        </is>
      </c>
      <c r="C317" t="inlineStr">
        <is>
          <t>US / Canada</t>
        </is>
      </c>
      <c r="D317" s="12" t="n">
        <v>45566</v>
      </c>
      <c r="E317" s="13" t="n">
        <v>7.5</v>
      </c>
      <c r="F317" s="14" t="n">
        <v>622500</v>
      </c>
      <c r="G317" t="n">
        <v>13</v>
      </c>
      <c r="H317" s="12" t="n">
        <v>45962</v>
      </c>
      <c r="I317" s="12" t="n">
        <v>45962</v>
      </c>
      <c r="J317" t="b">
        <v>0</v>
      </c>
      <c r="K317" s="13" t="n">
        <v>0</v>
      </c>
    </row>
    <row r="318">
      <c r="A318" t="inlineStr">
        <is>
          <t>NX-00314</t>
        </is>
      </c>
      <c r="B318" t="inlineStr">
        <is>
          <t>North America</t>
        </is>
      </c>
      <c r="C318" t="inlineStr">
        <is>
          <t>US / Canada</t>
        </is>
      </c>
      <c r="D318" s="12" t="n">
        <v>45566</v>
      </c>
      <c r="E318" s="13" t="n">
        <v>3</v>
      </c>
      <c r="F318" s="14" t="n">
        <v>249000</v>
      </c>
      <c r="G318" t="n">
        <v>5</v>
      </c>
      <c r="H318" s="12" t="n">
        <v>45717</v>
      </c>
      <c r="I318" s="12" t="n">
        <v>45717</v>
      </c>
      <c r="J318" t="b">
        <v>0</v>
      </c>
      <c r="K318" s="13" t="n">
        <v>0.01</v>
      </c>
    </row>
    <row r="319">
      <c r="A319" t="inlineStr">
        <is>
          <t>NX-00315</t>
        </is>
      </c>
      <c r="B319" t="inlineStr">
        <is>
          <t>North America</t>
        </is>
      </c>
      <c r="C319" t="inlineStr">
        <is>
          <t>US / Canada</t>
        </is>
      </c>
      <c r="D319" s="12" t="n">
        <v>45566</v>
      </c>
      <c r="E319" s="13" t="n">
        <v>17.4</v>
      </c>
      <c r="F319" s="14" t="n">
        <v>1444200</v>
      </c>
      <c r="G319" t="n">
        <v>5</v>
      </c>
      <c r="H319" s="12" t="n">
        <v>45717</v>
      </c>
      <c r="I319" s="12" t="n">
        <v>45717</v>
      </c>
      <c r="J319" t="b">
        <v>0</v>
      </c>
      <c r="K319" s="13" t="n">
        <v>0.01</v>
      </c>
    </row>
    <row r="320">
      <c r="A320" t="inlineStr">
        <is>
          <t>NX-00316</t>
        </is>
      </c>
      <c r="B320" t="inlineStr">
        <is>
          <t>North America</t>
        </is>
      </c>
      <c r="C320" t="inlineStr">
        <is>
          <t>US / Canada</t>
        </is>
      </c>
      <c r="D320" s="12" t="n">
        <v>45566</v>
      </c>
      <c r="E320" s="13" t="n">
        <v>27.7</v>
      </c>
      <c r="F320" s="14" t="n">
        <v>2299100</v>
      </c>
      <c r="G320" t="n">
        <v>9</v>
      </c>
      <c r="H320" s="12" t="n">
        <v>45839</v>
      </c>
      <c r="I320" s="12" t="n">
        <v>45901</v>
      </c>
      <c r="J320" t="b">
        <v>0</v>
      </c>
      <c r="K320" s="13" t="n">
        <v>1.88</v>
      </c>
    </row>
    <row r="321">
      <c r="A321" t="inlineStr">
        <is>
          <t>NX-00317</t>
        </is>
      </c>
      <c r="B321" t="inlineStr">
        <is>
          <t>North America</t>
        </is>
      </c>
      <c r="C321" t="inlineStr">
        <is>
          <t>US / Canada</t>
        </is>
      </c>
      <c r="D321" s="12" t="n">
        <v>45566</v>
      </c>
      <c r="E321" s="13" t="n">
        <v>4</v>
      </c>
      <c r="F321" s="14" t="n">
        <v>332000</v>
      </c>
      <c r="G321" t="n">
        <v>9</v>
      </c>
      <c r="H321" s="12" t="n">
        <v>45839</v>
      </c>
      <c r="I321" s="12" t="n">
        <v>45839</v>
      </c>
      <c r="J321" t="b">
        <v>0</v>
      </c>
      <c r="K321" s="13" t="n">
        <v>0</v>
      </c>
    </row>
    <row r="322">
      <c r="A322" t="inlineStr">
        <is>
          <t>NX-00318</t>
        </is>
      </c>
      <c r="B322" t="inlineStr">
        <is>
          <t>North America</t>
        </is>
      </c>
      <c r="C322" t="inlineStr">
        <is>
          <t>US / Canada</t>
        </is>
      </c>
      <c r="D322" s="12" t="n">
        <v>45566</v>
      </c>
      <c r="E322" s="13" t="n">
        <v>67.5</v>
      </c>
      <c r="F322" s="14" t="n">
        <v>5602500</v>
      </c>
      <c r="G322" t="n">
        <v>7</v>
      </c>
      <c r="H322" s="12" t="n">
        <v>45778</v>
      </c>
      <c r="I322" s="12" t="n">
        <v>45778</v>
      </c>
      <c r="J322" t="b">
        <v>0</v>
      </c>
      <c r="K322" s="13" t="n">
        <v>0.1</v>
      </c>
    </row>
    <row r="323">
      <c r="A323" t="inlineStr">
        <is>
          <t>NX-00319</t>
        </is>
      </c>
      <c r="B323" t="inlineStr">
        <is>
          <t>North America</t>
        </is>
      </c>
      <c r="C323" t="inlineStr">
        <is>
          <t>US / Canada</t>
        </is>
      </c>
      <c r="D323" s="12" t="n">
        <v>45566</v>
      </c>
      <c r="E323" s="13" t="n">
        <v>12.2</v>
      </c>
      <c r="F323" s="14" t="n">
        <v>1012600</v>
      </c>
      <c r="G323" t="n">
        <v>8</v>
      </c>
      <c r="H323" s="12" t="n">
        <v>45809</v>
      </c>
      <c r="I323" s="12" t="n">
        <v>45809</v>
      </c>
      <c r="J323" t="b">
        <v>0</v>
      </c>
      <c r="K323" s="13" t="n">
        <v>0</v>
      </c>
    </row>
    <row r="324">
      <c r="A324" t="inlineStr">
        <is>
          <t>NX-00320</t>
        </is>
      </c>
      <c r="B324" t="inlineStr">
        <is>
          <t>North America</t>
        </is>
      </c>
      <c r="C324" t="inlineStr">
        <is>
          <t>US / Canada</t>
        </is>
      </c>
      <c r="D324" s="12" t="n">
        <v>45566</v>
      </c>
      <c r="E324" s="13" t="n">
        <v>6.7</v>
      </c>
      <c r="F324" s="14" t="n">
        <v>556100</v>
      </c>
      <c r="G324" t="n">
        <v>12</v>
      </c>
      <c r="H324" s="12" t="n">
        <v>45931</v>
      </c>
      <c r="I324" s="12" t="n">
        <v>45931</v>
      </c>
      <c r="J324" t="b">
        <v>0</v>
      </c>
      <c r="K324" s="13" t="n">
        <v>0</v>
      </c>
    </row>
    <row r="325">
      <c r="A325" t="inlineStr">
        <is>
          <t>NX-00321</t>
        </is>
      </c>
      <c r="B325" t="inlineStr">
        <is>
          <t>EMEA</t>
        </is>
      </c>
      <c r="C325" t="inlineStr">
        <is>
          <t>Europe</t>
        </is>
      </c>
      <c r="D325" s="12" t="n">
        <v>45566</v>
      </c>
      <c r="E325" s="13" t="n">
        <v>5.8</v>
      </c>
      <c r="F325" s="14" t="n">
        <v>510400</v>
      </c>
      <c r="G325" t="n">
        <v>5</v>
      </c>
      <c r="H325" s="12" t="n">
        <v>45717</v>
      </c>
      <c r="I325" s="12" t="n">
        <v>45717</v>
      </c>
      <c r="J325" t="b">
        <v>0</v>
      </c>
      <c r="K325" s="13" t="n">
        <v>0</v>
      </c>
    </row>
    <row r="326">
      <c r="A326" t="inlineStr">
        <is>
          <t>NX-00322</t>
        </is>
      </c>
      <c r="B326" t="inlineStr">
        <is>
          <t>EMEA</t>
        </is>
      </c>
      <c r="C326" t="inlineStr">
        <is>
          <t>Europe</t>
        </is>
      </c>
      <c r="D326" s="12" t="n">
        <v>45566</v>
      </c>
      <c r="E326" s="13" t="n">
        <v>4.6</v>
      </c>
      <c r="F326" s="14" t="n">
        <v>404800</v>
      </c>
      <c r="G326" t="n">
        <v>5</v>
      </c>
      <c r="H326" s="12" t="n">
        <v>45717</v>
      </c>
      <c r="I326" s="12" t="n">
        <v>45839</v>
      </c>
      <c r="J326" t="b">
        <v>0</v>
      </c>
      <c r="K326" s="13" t="n">
        <v>4.15</v>
      </c>
    </row>
    <row r="327">
      <c r="A327" t="inlineStr">
        <is>
          <t>NX-00323</t>
        </is>
      </c>
      <c r="B327" t="inlineStr">
        <is>
          <t>EMEA</t>
        </is>
      </c>
      <c r="C327" t="inlineStr">
        <is>
          <t>MENA</t>
        </is>
      </c>
      <c r="D327" s="12" t="n">
        <v>45566</v>
      </c>
      <c r="E327" s="13" t="n">
        <v>7.7</v>
      </c>
      <c r="F327" s="14" t="n">
        <v>623700</v>
      </c>
      <c r="G327" t="n">
        <v>10</v>
      </c>
      <c r="H327" s="12" t="n">
        <v>45870</v>
      </c>
      <c r="I327" s="12" t="n">
        <v>46023</v>
      </c>
      <c r="J327" t="b">
        <v>0</v>
      </c>
      <c r="K327" s="13" t="n">
        <v>5.11</v>
      </c>
    </row>
    <row r="328">
      <c r="A328" t="inlineStr">
        <is>
          <t>NX-00324</t>
        </is>
      </c>
      <c r="B328" t="inlineStr">
        <is>
          <t>EMEA</t>
        </is>
      </c>
      <c r="C328" t="inlineStr">
        <is>
          <t>MENA</t>
        </is>
      </c>
      <c r="D328" s="12" t="n">
        <v>45566</v>
      </c>
      <c r="E328" s="13" t="n">
        <v>8.6</v>
      </c>
      <c r="F328" s="14" t="n">
        <v>696600</v>
      </c>
      <c r="G328" t="n">
        <v>6</v>
      </c>
      <c r="H328" s="12" t="n">
        <v>45748</v>
      </c>
      <c r="I328" s="12" t="n">
        <v>45870</v>
      </c>
      <c r="J328" t="b">
        <v>0</v>
      </c>
      <c r="K328" s="13" t="n">
        <v>3.57</v>
      </c>
    </row>
    <row r="329">
      <c r="A329" t="inlineStr">
        <is>
          <t>NX-00325</t>
        </is>
      </c>
      <c r="B329" t="inlineStr">
        <is>
          <t>EMEA</t>
        </is>
      </c>
      <c r="C329" t="inlineStr">
        <is>
          <t>MENA</t>
        </is>
      </c>
      <c r="D329" s="12" t="n">
        <v>45566</v>
      </c>
      <c r="E329" s="13" t="n">
        <v>4.8</v>
      </c>
      <c r="F329" s="14" t="n">
        <v>388800</v>
      </c>
      <c r="G329" t="n">
        <v>10</v>
      </c>
      <c r="H329" s="12" t="n">
        <v>45870</v>
      </c>
      <c r="I329" s="12" t="n">
        <v>45870</v>
      </c>
      <c r="J329" t="b">
        <v>0</v>
      </c>
      <c r="K329" s="13" t="n">
        <v>0.01</v>
      </c>
    </row>
    <row r="330">
      <c r="A330" t="inlineStr">
        <is>
          <t>NX-00326</t>
        </is>
      </c>
      <c r="B330" t="inlineStr">
        <is>
          <t>APAC</t>
        </is>
      </c>
      <c r="C330" t="inlineStr">
        <is>
          <t>India</t>
        </is>
      </c>
      <c r="D330" s="12" t="n">
        <v>45566</v>
      </c>
      <c r="E330" s="13" t="n">
        <v>7.9</v>
      </c>
      <c r="F330" s="14" t="n">
        <v>560900</v>
      </c>
      <c r="G330" t="n">
        <v>13</v>
      </c>
      <c r="H330" s="12" t="n">
        <v>45962</v>
      </c>
      <c r="I330" s="12" t="n">
        <v>45962</v>
      </c>
      <c r="J330" t="b">
        <v>0</v>
      </c>
      <c r="K330" s="13" t="n">
        <v>0</v>
      </c>
    </row>
    <row r="331">
      <c r="A331" t="inlineStr">
        <is>
          <t>NX-00327</t>
        </is>
      </c>
      <c r="B331" t="inlineStr">
        <is>
          <t>APAC</t>
        </is>
      </c>
      <c r="C331" t="inlineStr">
        <is>
          <t>India</t>
        </is>
      </c>
      <c r="D331" s="12" t="n">
        <v>45566</v>
      </c>
      <c r="E331" s="13" t="n">
        <v>3.9</v>
      </c>
      <c r="F331" s="14" t="n">
        <v>276900</v>
      </c>
      <c r="G331" t="n">
        <v>8</v>
      </c>
      <c r="H331" s="12" t="n">
        <v>45809</v>
      </c>
      <c r="I331" s="12" t="n">
        <v>46539</v>
      </c>
      <c r="J331" t="b">
        <v>0</v>
      </c>
      <c r="K331" s="13" t="n">
        <v>23.97</v>
      </c>
    </row>
    <row r="332">
      <c r="A332" t="inlineStr">
        <is>
          <t>NX-00328</t>
        </is>
      </c>
      <c r="B332" t="inlineStr">
        <is>
          <t>LATAM</t>
        </is>
      </c>
      <c r="C332" t="inlineStr">
        <is>
          <t>LATAM</t>
        </is>
      </c>
      <c r="D332" s="12" t="n">
        <v>45566</v>
      </c>
      <c r="E332" s="13" t="n">
        <v>23.2</v>
      </c>
      <c r="F332" s="14" t="n">
        <v>1832800</v>
      </c>
      <c r="G332" t="n">
        <v>6</v>
      </c>
      <c r="H332" s="12" t="n">
        <v>45748</v>
      </c>
      <c r="I332" s="12" t="n">
        <v>45748</v>
      </c>
      <c r="J332" t="b">
        <v>0</v>
      </c>
      <c r="K332" s="13" t="n">
        <v>0.01</v>
      </c>
    </row>
    <row r="333">
      <c r="A333" t="inlineStr">
        <is>
          <t>NX-00329</t>
        </is>
      </c>
      <c r="B333" t="inlineStr">
        <is>
          <t>LATAM</t>
        </is>
      </c>
      <c r="C333" t="inlineStr">
        <is>
          <t>LATAM</t>
        </is>
      </c>
      <c r="D333" s="12" t="n">
        <v>45566</v>
      </c>
      <c r="E333" s="13" t="n">
        <v>7.4</v>
      </c>
      <c r="F333" s="14" t="n">
        <v>584600</v>
      </c>
      <c r="G333" t="n">
        <v>5</v>
      </c>
      <c r="H333" s="12" t="n">
        <v>45717</v>
      </c>
      <c r="I333" s="12" t="n">
        <v>45717</v>
      </c>
      <c r="J333" t="b">
        <v>0</v>
      </c>
      <c r="K333" s="13" t="n">
        <v>0.01</v>
      </c>
    </row>
    <row r="334">
      <c r="A334" t="inlineStr">
        <is>
          <t>NX-00330</t>
        </is>
      </c>
      <c r="B334" t="inlineStr">
        <is>
          <t>North America</t>
        </is>
      </c>
      <c r="C334" t="inlineStr">
        <is>
          <t>US / Canada</t>
        </is>
      </c>
      <c r="D334" s="12" t="n">
        <v>45597</v>
      </c>
      <c r="E334" s="13" t="n">
        <v>58.1</v>
      </c>
      <c r="F334" s="14" t="n">
        <v>4822300</v>
      </c>
      <c r="G334" t="n">
        <v>10</v>
      </c>
      <c r="H334" s="12" t="n">
        <v>45901</v>
      </c>
      <c r="I334" s="12" t="n">
        <v>45931</v>
      </c>
      <c r="J334" t="b">
        <v>0</v>
      </c>
      <c r="K334" s="13" t="n">
        <v>0.57</v>
      </c>
    </row>
    <row r="335">
      <c r="A335" t="inlineStr">
        <is>
          <t>NX-00331</t>
        </is>
      </c>
      <c r="B335" t="inlineStr">
        <is>
          <t>North America</t>
        </is>
      </c>
      <c r="C335" t="inlineStr">
        <is>
          <t>US / Canada</t>
        </is>
      </c>
      <c r="D335" s="12" t="n">
        <v>45597</v>
      </c>
      <c r="E335" s="13" t="n">
        <v>21</v>
      </c>
      <c r="F335" s="14" t="n">
        <v>1743000</v>
      </c>
      <c r="G335" t="n">
        <v>7</v>
      </c>
      <c r="H335" s="12" t="n">
        <v>45809</v>
      </c>
      <c r="I335" s="12" t="n">
        <v>45839</v>
      </c>
      <c r="J335" t="b">
        <v>0</v>
      </c>
      <c r="K335" s="13" t="n">
        <v>0.7</v>
      </c>
    </row>
    <row r="336">
      <c r="A336" t="inlineStr">
        <is>
          <t>NX-00332</t>
        </is>
      </c>
      <c r="B336" t="inlineStr">
        <is>
          <t>North America</t>
        </is>
      </c>
      <c r="C336" t="inlineStr">
        <is>
          <t>US / Canada</t>
        </is>
      </c>
      <c r="D336" s="12" t="n">
        <v>45597</v>
      </c>
      <c r="E336" s="13" t="n">
        <v>13.5</v>
      </c>
      <c r="F336" s="14" t="n">
        <v>1120500</v>
      </c>
      <c r="G336" t="n">
        <v>8</v>
      </c>
      <c r="H336" s="12" t="n">
        <v>45839</v>
      </c>
      <c r="I336" s="12" t="n">
        <v>45839</v>
      </c>
      <c r="J336" t="b">
        <v>0</v>
      </c>
      <c r="K336" s="13" t="n">
        <v>0.14</v>
      </c>
    </row>
    <row r="337">
      <c r="A337" t="inlineStr">
        <is>
          <t>NX-00333</t>
        </is>
      </c>
      <c r="B337" t="inlineStr">
        <is>
          <t>North America</t>
        </is>
      </c>
      <c r="C337" t="inlineStr">
        <is>
          <t>US / Canada</t>
        </is>
      </c>
      <c r="D337" s="12" t="n">
        <v>45597</v>
      </c>
      <c r="E337" s="13" t="n">
        <v>6.6</v>
      </c>
      <c r="F337" s="14" t="n">
        <v>547800</v>
      </c>
      <c r="G337" t="n">
        <v>10</v>
      </c>
      <c r="H337" s="12" t="n">
        <v>45901</v>
      </c>
      <c r="I337" s="12" t="n">
        <v>45901</v>
      </c>
      <c r="J337" t="b">
        <v>0</v>
      </c>
      <c r="K337" s="13" t="n">
        <v>0</v>
      </c>
    </row>
    <row r="338">
      <c r="A338" t="inlineStr">
        <is>
          <t>NX-00334</t>
        </is>
      </c>
      <c r="B338" t="inlineStr">
        <is>
          <t>North America</t>
        </is>
      </c>
      <c r="C338" t="inlineStr">
        <is>
          <t>US / Canada</t>
        </is>
      </c>
      <c r="D338" s="12" t="n">
        <v>45597</v>
      </c>
      <c r="E338" s="13" t="n">
        <v>10.3</v>
      </c>
      <c r="F338" s="14" t="n">
        <v>854900.0000000001</v>
      </c>
      <c r="G338" t="n">
        <v>9</v>
      </c>
      <c r="H338" s="12" t="n">
        <v>45870</v>
      </c>
      <c r="I338" s="12" t="n">
        <v>45870</v>
      </c>
      <c r="J338" t="b">
        <v>0</v>
      </c>
      <c r="K338" s="13" t="n">
        <v>0</v>
      </c>
    </row>
    <row r="339">
      <c r="A339" t="inlineStr">
        <is>
          <t>NX-00335</t>
        </is>
      </c>
      <c r="B339" t="inlineStr">
        <is>
          <t>North America</t>
        </is>
      </c>
      <c r="C339" t="inlineStr">
        <is>
          <t>US / Canada</t>
        </is>
      </c>
      <c r="D339" s="12" t="n">
        <v>45597</v>
      </c>
      <c r="E339" s="13" t="n">
        <v>13.5</v>
      </c>
      <c r="F339" s="14" t="n">
        <v>1120500</v>
      </c>
      <c r="G339" t="n">
        <v>9</v>
      </c>
      <c r="H339" s="12" t="n">
        <v>45870</v>
      </c>
      <c r="I339" s="12" t="n">
        <v>45870</v>
      </c>
      <c r="J339" t="b">
        <v>0</v>
      </c>
      <c r="K339" s="13" t="n">
        <v>0</v>
      </c>
    </row>
    <row r="340">
      <c r="A340" t="inlineStr">
        <is>
          <t>NX-00336</t>
        </is>
      </c>
      <c r="B340" t="inlineStr">
        <is>
          <t>North America</t>
        </is>
      </c>
      <c r="C340" t="inlineStr">
        <is>
          <t>US / Canada</t>
        </is>
      </c>
      <c r="D340" s="12" t="n">
        <v>45597</v>
      </c>
      <c r="E340" s="13" t="n">
        <v>7.4</v>
      </c>
      <c r="F340" s="14" t="n">
        <v>614200</v>
      </c>
      <c r="G340" t="n">
        <v>8</v>
      </c>
      <c r="H340" s="12" t="n">
        <v>45839</v>
      </c>
      <c r="I340" s="12" t="n">
        <v>45839</v>
      </c>
      <c r="J340" t="b">
        <v>0</v>
      </c>
      <c r="K340" s="13" t="n">
        <v>0</v>
      </c>
    </row>
    <row r="341">
      <c r="A341" t="inlineStr">
        <is>
          <t>NX-00337</t>
        </is>
      </c>
      <c r="B341" t="inlineStr">
        <is>
          <t>North America</t>
        </is>
      </c>
      <c r="C341" t="inlineStr">
        <is>
          <t>US / Canada</t>
        </is>
      </c>
      <c r="D341" s="12" t="n">
        <v>45597</v>
      </c>
      <c r="E341" s="13" t="n">
        <v>26.7</v>
      </c>
      <c r="F341" s="14" t="n">
        <v>2216100</v>
      </c>
      <c r="G341" t="n">
        <v>13</v>
      </c>
      <c r="H341" s="12" t="n">
        <v>45992</v>
      </c>
      <c r="I341" s="12" t="n">
        <v>46023</v>
      </c>
      <c r="J341" t="b">
        <v>0</v>
      </c>
      <c r="K341" s="13" t="n">
        <v>1.35</v>
      </c>
    </row>
    <row r="342">
      <c r="A342" t="inlineStr">
        <is>
          <t>NX-00338</t>
        </is>
      </c>
      <c r="B342" t="inlineStr">
        <is>
          <t>North America</t>
        </is>
      </c>
      <c r="C342" t="inlineStr">
        <is>
          <t>US / Canada</t>
        </is>
      </c>
      <c r="D342" s="12" t="n">
        <v>45597</v>
      </c>
      <c r="E342" s="13" t="n">
        <v>6.4</v>
      </c>
      <c r="F342" s="14" t="n">
        <v>531200</v>
      </c>
      <c r="G342" t="n">
        <v>7</v>
      </c>
      <c r="H342" s="12" t="n">
        <v>45809</v>
      </c>
      <c r="I342" s="12" t="n">
        <v>45839</v>
      </c>
      <c r="J342" t="b">
        <v>0</v>
      </c>
      <c r="K342" s="13" t="n">
        <v>0.7</v>
      </c>
    </row>
    <row r="343">
      <c r="A343" t="inlineStr">
        <is>
          <t>NX-00339</t>
        </is>
      </c>
      <c r="B343" t="inlineStr">
        <is>
          <t>North America</t>
        </is>
      </c>
      <c r="C343" t="inlineStr">
        <is>
          <t>US / Canada</t>
        </is>
      </c>
      <c r="D343" s="12" t="n">
        <v>45597</v>
      </c>
      <c r="E343" s="13" t="n">
        <v>15.4</v>
      </c>
      <c r="F343" s="14" t="n">
        <v>1278200</v>
      </c>
      <c r="G343" t="n">
        <v>7</v>
      </c>
      <c r="H343" s="12" t="n">
        <v>45809</v>
      </c>
      <c r="I343" s="12" t="n">
        <v>45839</v>
      </c>
      <c r="J343" t="b">
        <v>0</v>
      </c>
      <c r="K343" s="13" t="n">
        <v>0.6899999999999999</v>
      </c>
    </row>
    <row r="344">
      <c r="A344" t="inlineStr">
        <is>
          <t>NX-00340</t>
        </is>
      </c>
      <c r="B344" t="inlineStr">
        <is>
          <t>North America</t>
        </is>
      </c>
      <c r="C344" t="inlineStr">
        <is>
          <t>US / Canada</t>
        </is>
      </c>
      <c r="D344" s="12" t="n">
        <v>45597</v>
      </c>
      <c r="E344" s="13" t="n">
        <v>12.7</v>
      </c>
      <c r="F344" s="14" t="n">
        <v>1054100</v>
      </c>
      <c r="G344" t="n">
        <v>7</v>
      </c>
      <c r="H344" s="12" t="n">
        <v>45809</v>
      </c>
      <c r="I344" s="12" t="n">
        <v>45809</v>
      </c>
      <c r="J344" t="b">
        <v>0</v>
      </c>
      <c r="K344" s="13" t="n">
        <v>0.36</v>
      </c>
    </row>
    <row r="345">
      <c r="A345" t="inlineStr">
        <is>
          <t>NX-00341</t>
        </is>
      </c>
      <c r="B345" t="inlineStr">
        <is>
          <t>North America</t>
        </is>
      </c>
      <c r="C345" t="inlineStr">
        <is>
          <t>US / Canada</t>
        </is>
      </c>
      <c r="D345" s="12" t="n">
        <v>45597</v>
      </c>
      <c r="E345" s="13" t="n">
        <v>26.9</v>
      </c>
      <c r="F345" s="14" t="n">
        <v>2232700</v>
      </c>
      <c r="G345" t="n">
        <v>6</v>
      </c>
      <c r="H345" s="12" t="n">
        <v>45778</v>
      </c>
      <c r="I345" s="12" t="n">
        <v>45809</v>
      </c>
      <c r="J345" t="b">
        <v>0</v>
      </c>
      <c r="K345" s="13" t="n">
        <v>0.86</v>
      </c>
    </row>
    <row r="346">
      <c r="A346" t="inlineStr">
        <is>
          <t>NX-00342</t>
        </is>
      </c>
      <c r="B346" t="inlineStr">
        <is>
          <t>North America</t>
        </is>
      </c>
      <c r="C346" t="inlineStr">
        <is>
          <t>US / Canada</t>
        </is>
      </c>
      <c r="D346" s="12" t="n">
        <v>45597</v>
      </c>
      <c r="E346" s="13" t="n">
        <v>9.1</v>
      </c>
      <c r="F346" s="14" t="n">
        <v>755300</v>
      </c>
      <c r="G346" t="n">
        <v>21</v>
      </c>
      <c r="H346" s="12" t="n">
        <v>46235</v>
      </c>
      <c r="I346" s="12" t="n">
        <v>46235</v>
      </c>
      <c r="J346" t="b">
        <v>0</v>
      </c>
      <c r="K346" s="13" t="n">
        <v>0.01</v>
      </c>
    </row>
    <row r="347">
      <c r="A347" t="inlineStr">
        <is>
          <t>NX-00343</t>
        </is>
      </c>
      <c r="B347" t="inlineStr">
        <is>
          <t>North America</t>
        </is>
      </c>
      <c r="C347" t="inlineStr">
        <is>
          <t>US / Canada</t>
        </is>
      </c>
      <c r="D347" s="12" t="n">
        <v>45597</v>
      </c>
      <c r="E347" s="13" t="n">
        <v>8.1</v>
      </c>
      <c r="F347" s="14" t="n">
        <v>672300</v>
      </c>
      <c r="G347" t="n">
        <v>7</v>
      </c>
      <c r="H347" s="12" t="n">
        <v>45809</v>
      </c>
      <c r="I347" s="12" t="n">
        <v>45839</v>
      </c>
      <c r="J347" t="b">
        <v>0</v>
      </c>
      <c r="K347" s="13" t="n">
        <v>1.02</v>
      </c>
    </row>
    <row r="348">
      <c r="A348" t="inlineStr">
        <is>
          <t>NX-00344</t>
        </is>
      </c>
      <c r="B348" t="inlineStr">
        <is>
          <t>North America</t>
        </is>
      </c>
      <c r="C348" t="inlineStr">
        <is>
          <t>US / Canada</t>
        </is>
      </c>
      <c r="D348" s="12" t="n">
        <v>45597</v>
      </c>
      <c r="E348" s="13" t="n">
        <v>6.6</v>
      </c>
      <c r="F348" s="14" t="n">
        <v>547800</v>
      </c>
      <c r="G348" t="n">
        <v>11</v>
      </c>
      <c r="H348" s="12" t="n">
        <v>45931</v>
      </c>
      <c r="I348" s="12" t="n">
        <v>45931</v>
      </c>
      <c r="J348" t="b">
        <v>0</v>
      </c>
      <c r="K348" s="13" t="n">
        <v>0</v>
      </c>
    </row>
    <row r="349">
      <c r="A349" t="inlineStr">
        <is>
          <t>NX-00345</t>
        </is>
      </c>
      <c r="B349" t="inlineStr">
        <is>
          <t>North America</t>
        </is>
      </c>
      <c r="C349" t="inlineStr">
        <is>
          <t>US / Canada</t>
        </is>
      </c>
      <c r="D349" s="12" t="n">
        <v>45597</v>
      </c>
      <c r="E349" s="13" t="n">
        <v>15.9</v>
      </c>
      <c r="F349" s="14" t="n">
        <v>1319700</v>
      </c>
      <c r="G349" t="n">
        <v>7</v>
      </c>
      <c r="H349" s="12" t="n">
        <v>45809</v>
      </c>
      <c r="I349" s="12" t="n">
        <v>45809</v>
      </c>
      <c r="J349" t="b">
        <v>0</v>
      </c>
      <c r="K349" s="13" t="n">
        <v>0</v>
      </c>
    </row>
    <row r="350">
      <c r="A350" t="inlineStr">
        <is>
          <t>NX-00346</t>
        </is>
      </c>
      <c r="B350" t="inlineStr">
        <is>
          <t>North America</t>
        </is>
      </c>
      <c r="C350" t="inlineStr">
        <is>
          <t>US / Canada</t>
        </is>
      </c>
      <c r="D350" s="12" t="n">
        <v>45597</v>
      </c>
      <c r="E350" s="13" t="n">
        <v>21.8</v>
      </c>
      <c r="F350" s="14" t="n">
        <v>1809400</v>
      </c>
      <c r="G350" t="n">
        <v>6</v>
      </c>
      <c r="H350" s="12" t="n">
        <v>45778</v>
      </c>
      <c r="I350" s="12" t="n">
        <v>45778</v>
      </c>
      <c r="J350" t="b">
        <v>0</v>
      </c>
      <c r="K350" s="13" t="n">
        <v>0.25</v>
      </c>
    </row>
    <row r="351">
      <c r="A351" t="inlineStr">
        <is>
          <t>NX-00347</t>
        </is>
      </c>
      <c r="B351" t="inlineStr">
        <is>
          <t>North America</t>
        </is>
      </c>
      <c r="C351" t="inlineStr">
        <is>
          <t>US / Canada</t>
        </is>
      </c>
      <c r="D351" s="12" t="n">
        <v>45597</v>
      </c>
      <c r="E351" s="13" t="n">
        <v>10.8</v>
      </c>
      <c r="F351" s="14" t="n">
        <v>896400.0000000001</v>
      </c>
      <c r="G351" t="n">
        <v>5</v>
      </c>
      <c r="H351" s="12" t="n">
        <v>45748</v>
      </c>
      <c r="I351" s="12" t="n">
        <v>45748</v>
      </c>
      <c r="J351" t="b">
        <v>0</v>
      </c>
      <c r="K351" s="13" t="n">
        <v>0.01</v>
      </c>
    </row>
    <row r="352">
      <c r="A352" t="inlineStr">
        <is>
          <t>NX-00348</t>
        </is>
      </c>
      <c r="B352" t="inlineStr">
        <is>
          <t>EMEA</t>
        </is>
      </c>
      <c r="C352" t="inlineStr">
        <is>
          <t>Europe</t>
        </is>
      </c>
      <c r="D352" s="12" t="n">
        <v>45597</v>
      </c>
      <c r="E352" s="13" t="n">
        <v>35.8</v>
      </c>
      <c r="F352" s="14" t="n">
        <v>3150400</v>
      </c>
      <c r="G352" t="n">
        <v>5</v>
      </c>
      <c r="H352" s="12" t="n">
        <v>45748</v>
      </c>
      <c r="I352" s="12" t="n">
        <v>45748</v>
      </c>
      <c r="J352" t="b">
        <v>0</v>
      </c>
      <c r="K352" s="13" t="n">
        <v>0.33</v>
      </c>
    </row>
    <row r="353">
      <c r="A353" t="inlineStr">
        <is>
          <t>NX-00349</t>
        </is>
      </c>
      <c r="B353" t="inlineStr">
        <is>
          <t>EMEA</t>
        </is>
      </c>
      <c r="C353" t="inlineStr">
        <is>
          <t>MENA</t>
        </is>
      </c>
      <c r="D353" s="12" t="n">
        <v>45597</v>
      </c>
      <c r="E353" s="13" t="n">
        <v>13.9</v>
      </c>
      <c r="F353" s="14" t="n">
        <v>1125900</v>
      </c>
      <c r="G353" t="n">
        <v>9</v>
      </c>
      <c r="H353" s="12" t="n">
        <v>45870</v>
      </c>
      <c r="I353" s="12" t="n">
        <v>45992</v>
      </c>
      <c r="J353" t="b">
        <v>0</v>
      </c>
      <c r="K353" s="13" t="n">
        <v>4.48</v>
      </c>
    </row>
    <row r="354">
      <c r="A354" t="inlineStr">
        <is>
          <t>NX-00350</t>
        </is>
      </c>
      <c r="B354" t="inlineStr">
        <is>
          <t>APAC</t>
        </is>
      </c>
      <c r="C354" t="inlineStr">
        <is>
          <t>India</t>
        </is>
      </c>
      <c r="D354" s="12" t="n">
        <v>45597</v>
      </c>
      <c r="E354" s="13" t="n">
        <v>13.9</v>
      </c>
      <c r="F354" s="14" t="n">
        <v>986900</v>
      </c>
      <c r="G354" t="n">
        <v>6</v>
      </c>
      <c r="H354" s="12" t="n">
        <v>45778</v>
      </c>
      <c r="I354" s="12" t="n">
        <v>46174</v>
      </c>
      <c r="J354" t="b">
        <v>0</v>
      </c>
      <c r="K354" s="13" t="n">
        <v>13.14</v>
      </c>
    </row>
    <row r="355">
      <c r="A355" t="inlineStr">
        <is>
          <t>NX-00351</t>
        </is>
      </c>
      <c r="B355" t="inlineStr">
        <is>
          <t>APAC</t>
        </is>
      </c>
      <c r="C355" t="inlineStr">
        <is>
          <t>India</t>
        </is>
      </c>
      <c r="D355" s="12" t="n">
        <v>45597</v>
      </c>
      <c r="E355" s="13" t="n">
        <v>23</v>
      </c>
      <c r="F355" s="14" t="n">
        <v>1633000</v>
      </c>
      <c r="G355" t="n">
        <v>10</v>
      </c>
      <c r="H355" s="12" t="n">
        <v>45901</v>
      </c>
      <c r="I355" s="12" t="n">
        <v>45992</v>
      </c>
      <c r="J355" t="b">
        <v>0</v>
      </c>
      <c r="K355" s="13" t="n">
        <v>3.03</v>
      </c>
    </row>
    <row r="356">
      <c r="A356" t="inlineStr">
        <is>
          <t>NX-00352</t>
        </is>
      </c>
      <c r="B356" t="inlineStr">
        <is>
          <t>LATAM</t>
        </is>
      </c>
      <c r="C356" t="inlineStr">
        <is>
          <t>LATAM</t>
        </is>
      </c>
      <c r="D356" s="12" t="n">
        <v>45597</v>
      </c>
      <c r="E356" s="13" t="n">
        <v>23</v>
      </c>
      <c r="F356" s="14" t="n">
        <v>1817000</v>
      </c>
      <c r="G356" t="n">
        <v>8</v>
      </c>
      <c r="H356" s="12" t="n">
        <v>45839</v>
      </c>
      <c r="I356" s="12" t="n">
        <v>45839</v>
      </c>
      <c r="J356" t="b">
        <v>0</v>
      </c>
      <c r="K356" s="13" t="n">
        <v>0.08</v>
      </c>
    </row>
    <row r="357">
      <c r="A357" t="inlineStr">
        <is>
          <t>NX-00353</t>
        </is>
      </c>
      <c r="B357" t="inlineStr">
        <is>
          <t>LATAM</t>
        </is>
      </c>
      <c r="C357" t="inlineStr">
        <is>
          <t>LATAM</t>
        </is>
      </c>
      <c r="D357" s="12" t="n">
        <v>45597</v>
      </c>
      <c r="E357" s="13" t="n">
        <v>18.3</v>
      </c>
      <c r="F357" s="14" t="n">
        <v>1445700</v>
      </c>
      <c r="G357" t="n">
        <v>11</v>
      </c>
      <c r="H357" s="12" t="n">
        <v>45931</v>
      </c>
      <c r="I357" s="12" t="n"/>
      <c r="J357" t="b">
        <v>1</v>
      </c>
      <c r="K357" s="13" t="n">
        <v>0.13</v>
      </c>
    </row>
    <row r="358">
      <c r="A358" t="inlineStr">
        <is>
          <t>NX-00354</t>
        </is>
      </c>
      <c r="B358" t="inlineStr">
        <is>
          <t>North America</t>
        </is>
      </c>
      <c r="C358" t="inlineStr">
        <is>
          <t>US / Canada</t>
        </is>
      </c>
      <c r="D358" s="12" t="n">
        <v>45627</v>
      </c>
      <c r="E358" s="13" t="n">
        <v>35.5</v>
      </c>
      <c r="F358" s="14" t="n">
        <v>2946500</v>
      </c>
      <c r="G358" t="n">
        <v>9</v>
      </c>
      <c r="H358" s="12" t="n">
        <v>45901</v>
      </c>
      <c r="I358" s="12" t="n">
        <v>45901</v>
      </c>
      <c r="J358" t="b">
        <v>0</v>
      </c>
      <c r="K358" s="13" t="n">
        <v>0.27</v>
      </c>
    </row>
    <row r="359">
      <c r="A359" t="inlineStr">
        <is>
          <t>NX-00355</t>
        </is>
      </c>
      <c r="B359" t="inlineStr">
        <is>
          <t>North America</t>
        </is>
      </c>
      <c r="C359" t="inlineStr">
        <is>
          <t>US / Canada</t>
        </is>
      </c>
      <c r="D359" s="12" t="n">
        <v>45627</v>
      </c>
      <c r="E359" s="13" t="n">
        <v>6.3</v>
      </c>
      <c r="F359" s="14" t="n">
        <v>522900</v>
      </c>
      <c r="G359" t="n">
        <v>7</v>
      </c>
      <c r="H359" s="12" t="n">
        <v>45839</v>
      </c>
      <c r="I359" s="12" t="n">
        <v>45839</v>
      </c>
      <c r="J359" t="b">
        <v>0</v>
      </c>
      <c r="K359" s="13" t="n">
        <v>0.01</v>
      </c>
    </row>
    <row r="360">
      <c r="A360" t="inlineStr">
        <is>
          <t>NX-00356</t>
        </is>
      </c>
      <c r="B360" t="inlineStr">
        <is>
          <t>North America</t>
        </is>
      </c>
      <c r="C360" t="inlineStr">
        <is>
          <t>US / Canada</t>
        </is>
      </c>
      <c r="D360" s="12" t="n">
        <v>45627</v>
      </c>
      <c r="E360" s="13" t="n">
        <v>20.9</v>
      </c>
      <c r="F360" s="14" t="n">
        <v>1734700</v>
      </c>
      <c r="G360" t="n">
        <v>12</v>
      </c>
      <c r="H360" s="12" t="n">
        <v>45992</v>
      </c>
      <c r="I360" s="12" t="n">
        <v>45992</v>
      </c>
      <c r="J360" t="b">
        <v>0</v>
      </c>
      <c r="K360" s="13" t="n">
        <v>0.14</v>
      </c>
    </row>
    <row r="361">
      <c r="A361" t="inlineStr">
        <is>
          <t>NX-00357</t>
        </is>
      </c>
      <c r="B361" t="inlineStr">
        <is>
          <t>North America</t>
        </is>
      </c>
      <c r="C361" t="inlineStr">
        <is>
          <t>US / Canada</t>
        </is>
      </c>
      <c r="D361" s="12" t="n">
        <v>45627</v>
      </c>
      <c r="E361" s="13" t="n">
        <v>24.8</v>
      </c>
      <c r="F361" s="14" t="n">
        <v>2058400</v>
      </c>
      <c r="G361" t="n">
        <v>7</v>
      </c>
      <c r="H361" s="12" t="n">
        <v>45839</v>
      </c>
      <c r="I361" s="12" t="n">
        <v>45839</v>
      </c>
      <c r="J361" t="b">
        <v>0</v>
      </c>
      <c r="K361" s="13" t="n">
        <v>0</v>
      </c>
    </row>
    <row r="362">
      <c r="A362" t="inlineStr">
        <is>
          <t>NX-00358</t>
        </is>
      </c>
      <c r="B362" t="inlineStr">
        <is>
          <t>North America</t>
        </is>
      </c>
      <c r="C362" t="inlineStr">
        <is>
          <t>US / Canada</t>
        </is>
      </c>
      <c r="D362" s="12" t="n">
        <v>45627</v>
      </c>
      <c r="E362" s="13" t="n">
        <v>10.4</v>
      </c>
      <c r="F362" s="14" t="n">
        <v>863200</v>
      </c>
      <c r="G362" t="n">
        <v>20</v>
      </c>
      <c r="H362" s="12" t="n">
        <v>46235</v>
      </c>
      <c r="I362" s="12" t="n">
        <v>46235</v>
      </c>
      <c r="J362" t="b">
        <v>0</v>
      </c>
      <c r="K362" s="13" t="n">
        <v>0</v>
      </c>
    </row>
    <row r="363">
      <c r="A363" t="inlineStr">
        <is>
          <t>NX-00359</t>
        </is>
      </c>
      <c r="B363" t="inlineStr">
        <is>
          <t>North America</t>
        </is>
      </c>
      <c r="C363" t="inlineStr">
        <is>
          <t>US / Canada</t>
        </is>
      </c>
      <c r="D363" s="12" t="n">
        <v>45627</v>
      </c>
      <c r="E363" s="13" t="n">
        <v>6</v>
      </c>
      <c r="F363" s="14" t="n">
        <v>498000</v>
      </c>
      <c r="G363" t="n">
        <v>5</v>
      </c>
      <c r="H363" s="12" t="n">
        <v>45778</v>
      </c>
      <c r="I363" s="12" t="n">
        <v>45778</v>
      </c>
      <c r="J363" t="b">
        <v>0</v>
      </c>
      <c r="K363" s="13" t="n">
        <v>0.01</v>
      </c>
    </row>
    <row r="364">
      <c r="A364" t="inlineStr">
        <is>
          <t>NX-00360</t>
        </is>
      </c>
      <c r="B364" t="inlineStr">
        <is>
          <t>North America</t>
        </is>
      </c>
      <c r="C364" t="inlineStr">
        <is>
          <t>US / Canada</t>
        </is>
      </c>
      <c r="D364" s="12" t="n">
        <v>45627</v>
      </c>
      <c r="E364" s="13" t="n">
        <v>23.4</v>
      </c>
      <c r="F364" s="14" t="n">
        <v>1942200</v>
      </c>
      <c r="G364" t="n">
        <v>11</v>
      </c>
      <c r="H364" s="12" t="n">
        <v>45962</v>
      </c>
      <c r="I364" s="12" t="n">
        <v>45962</v>
      </c>
      <c r="J364" t="b">
        <v>0</v>
      </c>
      <c r="K364" s="13" t="n">
        <v>0</v>
      </c>
    </row>
    <row r="365">
      <c r="A365" t="inlineStr">
        <is>
          <t>NX-00361</t>
        </is>
      </c>
      <c r="B365" t="inlineStr">
        <is>
          <t>North America</t>
        </is>
      </c>
      <c r="C365" t="inlineStr">
        <is>
          <t>US / Canada</t>
        </is>
      </c>
      <c r="D365" s="12" t="n">
        <v>45627</v>
      </c>
      <c r="E365" s="13" t="n">
        <v>12.4</v>
      </c>
      <c r="F365" s="14" t="n">
        <v>1029200</v>
      </c>
      <c r="G365" t="n">
        <v>10</v>
      </c>
      <c r="H365" s="12" t="n">
        <v>45931</v>
      </c>
      <c r="I365" s="12" t="n">
        <v>45962</v>
      </c>
      <c r="J365" t="b">
        <v>0</v>
      </c>
      <c r="K365" s="13" t="n">
        <v>0.68</v>
      </c>
    </row>
    <row r="366">
      <c r="A366" t="inlineStr">
        <is>
          <t>NX-00362</t>
        </is>
      </c>
      <c r="B366" t="inlineStr">
        <is>
          <t>North America</t>
        </is>
      </c>
      <c r="C366" t="inlineStr">
        <is>
          <t>US / Canada</t>
        </is>
      </c>
      <c r="D366" s="12" t="n">
        <v>45627</v>
      </c>
      <c r="E366" s="13" t="n">
        <v>40.9</v>
      </c>
      <c r="F366" s="14" t="n">
        <v>3394700</v>
      </c>
      <c r="G366" t="n">
        <v>18</v>
      </c>
      <c r="H366" s="12" t="n">
        <v>46174</v>
      </c>
      <c r="I366" s="12" t="n">
        <v>46174</v>
      </c>
      <c r="J366" t="b">
        <v>0</v>
      </c>
      <c r="K366" s="13" t="n">
        <v>0</v>
      </c>
    </row>
    <row r="367">
      <c r="A367" t="inlineStr">
        <is>
          <t>NX-00363</t>
        </is>
      </c>
      <c r="B367" t="inlineStr">
        <is>
          <t>North America</t>
        </is>
      </c>
      <c r="C367" t="inlineStr">
        <is>
          <t>US / Canada</t>
        </is>
      </c>
      <c r="D367" s="12" t="n">
        <v>45627</v>
      </c>
      <c r="E367" s="13" t="n">
        <v>33.4</v>
      </c>
      <c r="F367" s="14" t="n">
        <v>2772200</v>
      </c>
      <c r="G367" t="n">
        <v>5</v>
      </c>
      <c r="H367" s="12" t="n">
        <v>45778</v>
      </c>
      <c r="I367" s="12" t="n">
        <v>45778</v>
      </c>
      <c r="J367" t="b">
        <v>0</v>
      </c>
      <c r="K367" s="13" t="n">
        <v>0</v>
      </c>
    </row>
    <row r="368">
      <c r="A368" t="inlineStr">
        <is>
          <t>NX-00364</t>
        </is>
      </c>
      <c r="B368" t="inlineStr">
        <is>
          <t>North America</t>
        </is>
      </c>
      <c r="C368" t="inlineStr">
        <is>
          <t>US / Canada</t>
        </is>
      </c>
      <c r="D368" s="12" t="n">
        <v>45627</v>
      </c>
      <c r="E368" s="13" t="n">
        <v>6.8</v>
      </c>
      <c r="F368" s="14" t="n">
        <v>564400</v>
      </c>
      <c r="G368" t="n">
        <v>5</v>
      </c>
      <c r="H368" s="12" t="n">
        <v>45778</v>
      </c>
      <c r="I368" s="12" t="n">
        <v>45809</v>
      </c>
      <c r="J368" t="b">
        <v>0</v>
      </c>
      <c r="K368" s="13" t="n">
        <v>0.88</v>
      </c>
    </row>
    <row r="369">
      <c r="A369" t="inlineStr">
        <is>
          <t>NX-00365</t>
        </is>
      </c>
      <c r="B369" t="inlineStr">
        <is>
          <t>North America</t>
        </is>
      </c>
      <c r="C369" t="inlineStr">
        <is>
          <t>US / Canada</t>
        </is>
      </c>
      <c r="D369" s="12" t="n">
        <v>45627</v>
      </c>
      <c r="E369" s="13" t="n">
        <v>4.1</v>
      </c>
      <c r="F369" s="14" t="n">
        <v>340299.9999999999</v>
      </c>
      <c r="G369" t="n">
        <v>13</v>
      </c>
      <c r="H369" s="12" t="n">
        <v>46023</v>
      </c>
      <c r="I369" s="12" t="n">
        <v>46023</v>
      </c>
      <c r="J369" t="b">
        <v>0</v>
      </c>
      <c r="K369" s="13" t="n">
        <v>0.03</v>
      </c>
    </row>
    <row r="370">
      <c r="A370" t="inlineStr">
        <is>
          <t>NX-00366</t>
        </is>
      </c>
      <c r="B370" t="inlineStr">
        <is>
          <t>North America</t>
        </is>
      </c>
      <c r="C370" t="inlineStr">
        <is>
          <t>US / Canada</t>
        </is>
      </c>
      <c r="D370" s="12" t="n">
        <v>45627</v>
      </c>
      <c r="E370" s="13" t="n">
        <v>12.4</v>
      </c>
      <c r="F370" s="14" t="n">
        <v>1029200</v>
      </c>
      <c r="G370" t="n">
        <v>10</v>
      </c>
      <c r="H370" s="12" t="n">
        <v>45931</v>
      </c>
      <c r="I370" s="12" t="n">
        <v>45931</v>
      </c>
      <c r="J370" t="b">
        <v>0</v>
      </c>
      <c r="K370" s="13" t="n">
        <v>0.08</v>
      </c>
    </row>
    <row r="371">
      <c r="A371" t="inlineStr">
        <is>
          <t>NX-00367</t>
        </is>
      </c>
      <c r="B371" t="inlineStr">
        <is>
          <t>North America</t>
        </is>
      </c>
      <c r="C371" t="inlineStr">
        <is>
          <t>US / Canada</t>
        </is>
      </c>
      <c r="D371" s="12" t="n">
        <v>45627</v>
      </c>
      <c r="E371" s="13" t="n">
        <v>20.5</v>
      </c>
      <c r="F371" s="14" t="n">
        <v>1701500</v>
      </c>
      <c r="G371" t="n">
        <v>7</v>
      </c>
      <c r="H371" s="12" t="n">
        <v>45839</v>
      </c>
      <c r="I371" s="12" t="n">
        <v>45870</v>
      </c>
      <c r="J371" t="b">
        <v>0</v>
      </c>
      <c r="K371" s="13" t="n">
        <v>0.97</v>
      </c>
    </row>
    <row r="372">
      <c r="A372" t="inlineStr">
        <is>
          <t>NX-00368</t>
        </is>
      </c>
      <c r="B372" t="inlineStr">
        <is>
          <t>North America</t>
        </is>
      </c>
      <c r="C372" t="inlineStr">
        <is>
          <t>US / Canada</t>
        </is>
      </c>
      <c r="D372" s="12" t="n">
        <v>45627</v>
      </c>
      <c r="E372" s="13" t="n">
        <v>5.1</v>
      </c>
      <c r="F372" s="14" t="n">
        <v>423300</v>
      </c>
      <c r="G372" t="n">
        <v>9</v>
      </c>
      <c r="H372" s="12" t="n">
        <v>45901</v>
      </c>
      <c r="I372" s="12" t="n">
        <v>45901</v>
      </c>
      <c r="J372" t="b">
        <v>0</v>
      </c>
      <c r="K372" s="13" t="n">
        <v>0.03</v>
      </c>
    </row>
    <row r="373">
      <c r="A373" t="inlineStr">
        <is>
          <t>NX-00369</t>
        </is>
      </c>
      <c r="B373" t="inlineStr">
        <is>
          <t>North America</t>
        </is>
      </c>
      <c r="C373" t="inlineStr">
        <is>
          <t>US / Canada</t>
        </is>
      </c>
      <c r="D373" s="12" t="n">
        <v>45627</v>
      </c>
      <c r="E373" s="13" t="n">
        <v>18.1</v>
      </c>
      <c r="F373" s="14" t="n">
        <v>1502300</v>
      </c>
      <c r="G373" t="n">
        <v>10</v>
      </c>
      <c r="H373" s="12" t="n">
        <v>45931</v>
      </c>
      <c r="I373" s="12" t="n">
        <v>45931</v>
      </c>
      <c r="J373" t="b">
        <v>0</v>
      </c>
      <c r="K373" s="13" t="n">
        <v>0.24</v>
      </c>
    </row>
    <row r="374">
      <c r="A374" t="inlineStr">
        <is>
          <t>NX-00370</t>
        </is>
      </c>
      <c r="B374" t="inlineStr">
        <is>
          <t>EMEA</t>
        </is>
      </c>
      <c r="C374" t="inlineStr">
        <is>
          <t>Europe</t>
        </is>
      </c>
      <c r="D374" s="12" t="n">
        <v>45627</v>
      </c>
      <c r="E374" s="13" t="n">
        <v>19.9</v>
      </c>
      <c r="F374" s="14" t="n">
        <v>1751200</v>
      </c>
      <c r="G374" t="n">
        <v>8</v>
      </c>
      <c r="H374" s="12" t="n">
        <v>45870</v>
      </c>
      <c r="I374" s="12" t="n">
        <v>45901</v>
      </c>
      <c r="J374" t="b">
        <v>0</v>
      </c>
      <c r="K374" s="13" t="n">
        <v>1.49</v>
      </c>
    </row>
    <row r="375">
      <c r="A375" t="inlineStr">
        <is>
          <t>NX-00371</t>
        </is>
      </c>
      <c r="B375" t="inlineStr">
        <is>
          <t>EMEA</t>
        </is>
      </c>
      <c r="C375" t="inlineStr">
        <is>
          <t>Europe</t>
        </is>
      </c>
      <c r="D375" s="12" t="n">
        <v>45627</v>
      </c>
      <c r="E375" s="13" t="n">
        <v>18.1</v>
      </c>
      <c r="F375" s="14" t="n">
        <v>1592800</v>
      </c>
      <c r="G375" t="n">
        <v>5</v>
      </c>
      <c r="H375" s="12" t="n">
        <v>45778</v>
      </c>
      <c r="I375" s="12" t="n">
        <v>45809</v>
      </c>
      <c r="J375" t="b">
        <v>0</v>
      </c>
      <c r="K375" s="13" t="n">
        <v>1.2</v>
      </c>
    </row>
    <row r="376">
      <c r="A376" t="inlineStr">
        <is>
          <t>NX-00372</t>
        </is>
      </c>
      <c r="B376" t="inlineStr">
        <is>
          <t>EMEA</t>
        </is>
      </c>
      <c r="C376" t="inlineStr">
        <is>
          <t>MENA</t>
        </is>
      </c>
      <c r="D376" s="12" t="n">
        <v>45627</v>
      </c>
      <c r="E376" s="13" t="n">
        <v>22.1</v>
      </c>
      <c r="F376" s="14" t="n">
        <v>1790100</v>
      </c>
      <c r="G376" t="n">
        <v>6</v>
      </c>
      <c r="H376" s="12" t="n">
        <v>45809</v>
      </c>
      <c r="I376" s="12" t="n">
        <v>45931</v>
      </c>
      <c r="J376" t="b">
        <v>0</v>
      </c>
      <c r="K376" s="13" t="n">
        <v>3.84</v>
      </c>
    </row>
    <row r="377">
      <c r="A377" t="inlineStr">
        <is>
          <t>NX-00373</t>
        </is>
      </c>
      <c r="B377" t="inlineStr">
        <is>
          <t>EMEA</t>
        </is>
      </c>
      <c r="C377" t="inlineStr">
        <is>
          <t>MENA</t>
        </is>
      </c>
      <c r="D377" s="12" t="n">
        <v>45627</v>
      </c>
      <c r="E377" s="13" t="n">
        <v>2.6</v>
      </c>
      <c r="F377" s="14" t="n">
        <v>210600</v>
      </c>
      <c r="G377" t="n">
        <v>6</v>
      </c>
      <c r="H377" s="12" t="n">
        <v>45809</v>
      </c>
      <c r="I377" s="12" t="n">
        <v>45809</v>
      </c>
      <c r="J377" t="b">
        <v>0</v>
      </c>
      <c r="K377" s="13" t="n">
        <v>0.38</v>
      </c>
    </row>
    <row r="378">
      <c r="A378" t="inlineStr">
        <is>
          <t>NX-00374</t>
        </is>
      </c>
      <c r="B378" t="inlineStr">
        <is>
          <t>APAC</t>
        </is>
      </c>
      <c r="C378" t="inlineStr">
        <is>
          <t>India</t>
        </is>
      </c>
      <c r="D378" s="12" t="n">
        <v>45627</v>
      </c>
      <c r="E378" s="13" t="n">
        <v>16</v>
      </c>
      <c r="F378" s="14" t="n">
        <v>1136000</v>
      </c>
      <c r="G378" t="n">
        <v>7</v>
      </c>
      <c r="H378" s="12" t="n">
        <v>45839</v>
      </c>
      <c r="I378" s="12" t="n">
        <v>46419</v>
      </c>
      <c r="J378" t="b">
        <v>0</v>
      </c>
      <c r="K378" s="13" t="n">
        <v>18.61</v>
      </c>
    </row>
    <row r="379">
      <c r="A379" t="inlineStr">
        <is>
          <t>NX-00375</t>
        </is>
      </c>
      <c r="B379" t="inlineStr">
        <is>
          <t>LATAM</t>
        </is>
      </c>
      <c r="C379" t="inlineStr">
        <is>
          <t>LATAM</t>
        </is>
      </c>
      <c r="D379" s="12" t="n">
        <v>45627</v>
      </c>
      <c r="E379" s="13" t="n">
        <v>8.6</v>
      </c>
      <c r="F379" s="14" t="n">
        <v>679400</v>
      </c>
      <c r="G379" t="n">
        <v>9</v>
      </c>
      <c r="H379" s="12" t="n">
        <v>45901</v>
      </c>
      <c r="I379" s="12" t="n">
        <v>46023</v>
      </c>
      <c r="J379" t="b">
        <v>0</v>
      </c>
      <c r="K379" s="13" t="n">
        <v>3.92</v>
      </c>
    </row>
    <row r="380">
      <c r="A380" t="inlineStr">
        <is>
          <t>NX-00376</t>
        </is>
      </c>
      <c r="B380" t="inlineStr">
        <is>
          <t>LATAM</t>
        </is>
      </c>
      <c r="C380" t="inlineStr">
        <is>
          <t>LATAM</t>
        </is>
      </c>
      <c r="D380" s="12" t="n">
        <v>45627</v>
      </c>
      <c r="E380" s="13" t="n">
        <v>28.2</v>
      </c>
      <c r="F380" s="14" t="n">
        <v>2227800</v>
      </c>
      <c r="G380" t="n">
        <v>5</v>
      </c>
      <c r="H380" s="12" t="n">
        <v>45778</v>
      </c>
      <c r="I380" s="12" t="n">
        <v>45778</v>
      </c>
      <c r="J380" t="b">
        <v>0</v>
      </c>
      <c r="K380" s="13" t="n">
        <v>0.1</v>
      </c>
    </row>
    <row r="381">
      <c r="A381" t="inlineStr">
        <is>
          <t>NX-00377</t>
        </is>
      </c>
      <c r="B381" t="inlineStr">
        <is>
          <t>North America</t>
        </is>
      </c>
      <c r="C381" t="inlineStr">
        <is>
          <t>US / Canada</t>
        </is>
      </c>
      <c r="D381" s="12" t="n">
        <v>45658</v>
      </c>
      <c r="E381" s="13" t="n">
        <v>8.300000000000001</v>
      </c>
      <c r="F381" s="14" t="n">
        <v>688900.0000000001</v>
      </c>
      <c r="G381" t="n">
        <v>10</v>
      </c>
      <c r="H381" s="12" t="n">
        <v>45962</v>
      </c>
      <c r="I381" s="12" t="n">
        <v>45962</v>
      </c>
      <c r="J381" t="b">
        <v>0</v>
      </c>
      <c r="K381" s="13" t="n">
        <v>0.02</v>
      </c>
    </row>
    <row r="382">
      <c r="A382" t="inlineStr">
        <is>
          <t>NX-00378</t>
        </is>
      </c>
      <c r="B382" t="inlineStr">
        <is>
          <t>North America</t>
        </is>
      </c>
      <c r="C382" t="inlineStr">
        <is>
          <t>US / Canada</t>
        </is>
      </c>
      <c r="D382" s="12" t="n">
        <v>45658</v>
      </c>
      <c r="E382" s="13" t="n">
        <v>8.800000000000001</v>
      </c>
      <c r="F382" s="14" t="n">
        <v>730400.0000000001</v>
      </c>
      <c r="G382" t="n">
        <v>10</v>
      </c>
      <c r="H382" s="12" t="n">
        <v>45962</v>
      </c>
      <c r="I382" s="12" t="n">
        <v>45962</v>
      </c>
      <c r="J382" t="b">
        <v>0</v>
      </c>
      <c r="K382" s="13" t="n">
        <v>0</v>
      </c>
    </row>
    <row r="383">
      <c r="A383" t="inlineStr">
        <is>
          <t>NX-00379</t>
        </is>
      </c>
      <c r="B383" t="inlineStr">
        <is>
          <t>North America</t>
        </is>
      </c>
      <c r="C383" t="inlineStr">
        <is>
          <t>US / Canada</t>
        </is>
      </c>
      <c r="D383" s="12" t="n">
        <v>45658</v>
      </c>
      <c r="E383" s="13" t="n">
        <v>5.2</v>
      </c>
      <c r="F383" s="14" t="n">
        <v>431600</v>
      </c>
      <c r="G383" t="n">
        <v>7</v>
      </c>
      <c r="H383" s="12" t="n">
        <v>45870</v>
      </c>
      <c r="I383" s="12" t="n">
        <v>45870</v>
      </c>
      <c r="J383" t="b">
        <v>0</v>
      </c>
      <c r="K383" s="13" t="n">
        <v>0</v>
      </c>
    </row>
    <row r="384">
      <c r="A384" t="inlineStr">
        <is>
          <t>NX-00380</t>
        </is>
      </c>
      <c r="B384" t="inlineStr">
        <is>
          <t>North America</t>
        </is>
      </c>
      <c r="C384" t="inlineStr">
        <is>
          <t>US / Canada</t>
        </is>
      </c>
      <c r="D384" s="12" t="n">
        <v>45658</v>
      </c>
      <c r="E384" s="13" t="n">
        <v>32.4</v>
      </c>
      <c r="F384" s="14" t="n">
        <v>2689200</v>
      </c>
      <c r="G384" t="n">
        <v>13</v>
      </c>
      <c r="H384" s="12" t="n">
        <v>46054</v>
      </c>
      <c r="I384" s="12" t="n">
        <v>46054</v>
      </c>
      <c r="J384" t="b">
        <v>0</v>
      </c>
      <c r="K384" s="13" t="n">
        <v>0.01</v>
      </c>
    </row>
    <row r="385">
      <c r="A385" t="inlineStr">
        <is>
          <t>NX-00381</t>
        </is>
      </c>
      <c r="B385" t="inlineStr">
        <is>
          <t>North America</t>
        </is>
      </c>
      <c r="C385" t="inlineStr">
        <is>
          <t>US / Canada</t>
        </is>
      </c>
      <c r="D385" s="12" t="n">
        <v>45658</v>
      </c>
      <c r="E385" s="13" t="n">
        <v>7.4</v>
      </c>
      <c r="F385" s="14" t="n">
        <v>614200</v>
      </c>
      <c r="G385" t="n">
        <v>8</v>
      </c>
      <c r="H385" s="12" t="n">
        <v>45901</v>
      </c>
      <c r="I385" s="12" t="n">
        <v>45901</v>
      </c>
      <c r="J385" t="b">
        <v>0</v>
      </c>
      <c r="K385" s="13" t="n">
        <v>0.45</v>
      </c>
    </row>
    <row r="386">
      <c r="A386" t="inlineStr">
        <is>
          <t>NX-00382</t>
        </is>
      </c>
      <c r="B386" t="inlineStr">
        <is>
          <t>North America</t>
        </is>
      </c>
      <c r="C386" t="inlineStr">
        <is>
          <t>US / Canada</t>
        </is>
      </c>
      <c r="D386" s="12" t="n">
        <v>45658</v>
      </c>
      <c r="E386" s="13" t="n">
        <v>45.6</v>
      </c>
      <c r="F386" s="14" t="n">
        <v>3784800</v>
      </c>
      <c r="G386" t="n">
        <v>5</v>
      </c>
      <c r="H386" s="12" t="n">
        <v>45809</v>
      </c>
      <c r="I386" s="12" t="n">
        <v>45809</v>
      </c>
      <c r="J386" t="b">
        <v>0</v>
      </c>
      <c r="K386" s="13" t="n">
        <v>0.05</v>
      </c>
    </row>
    <row r="387">
      <c r="A387" t="inlineStr">
        <is>
          <t>NX-00383</t>
        </is>
      </c>
      <c r="B387" t="inlineStr">
        <is>
          <t>North America</t>
        </is>
      </c>
      <c r="C387" t="inlineStr">
        <is>
          <t>US / Canada</t>
        </is>
      </c>
      <c r="D387" s="12" t="n">
        <v>45658</v>
      </c>
      <c r="E387" s="13" t="n">
        <v>12.1</v>
      </c>
      <c r="F387" s="14" t="n">
        <v>1004300</v>
      </c>
      <c r="G387" t="n">
        <v>7</v>
      </c>
      <c r="H387" s="12" t="n">
        <v>45870</v>
      </c>
      <c r="I387" s="12" t="n">
        <v>45870</v>
      </c>
      <c r="J387" t="b">
        <v>0</v>
      </c>
      <c r="K387" s="13" t="n">
        <v>0.48</v>
      </c>
    </row>
    <row r="388">
      <c r="A388" t="inlineStr">
        <is>
          <t>NX-00384</t>
        </is>
      </c>
      <c r="B388" t="inlineStr">
        <is>
          <t>North America</t>
        </is>
      </c>
      <c r="C388" t="inlineStr">
        <is>
          <t>US / Canada</t>
        </is>
      </c>
      <c r="D388" s="12" t="n">
        <v>45658</v>
      </c>
      <c r="E388" s="13" t="n">
        <v>7.5</v>
      </c>
      <c r="F388" s="14" t="n">
        <v>622500</v>
      </c>
      <c r="G388" t="n">
        <v>20</v>
      </c>
      <c r="H388" s="12" t="n">
        <v>46266</v>
      </c>
      <c r="I388" s="12" t="n">
        <v>46266</v>
      </c>
      <c r="J388" t="b">
        <v>0</v>
      </c>
      <c r="K388" s="13" t="n">
        <v>0.14</v>
      </c>
    </row>
    <row r="389">
      <c r="A389" t="inlineStr">
        <is>
          <t>NX-00385</t>
        </is>
      </c>
      <c r="B389" t="inlineStr">
        <is>
          <t>North America</t>
        </is>
      </c>
      <c r="C389" t="inlineStr">
        <is>
          <t>US / Canada</t>
        </is>
      </c>
      <c r="D389" s="12" t="n">
        <v>45658</v>
      </c>
      <c r="E389" s="13" t="n">
        <v>50.3</v>
      </c>
      <c r="F389" s="14" t="n">
        <v>4174900</v>
      </c>
      <c r="G389" t="n">
        <v>22</v>
      </c>
      <c r="H389" s="12" t="n">
        <v>46327</v>
      </c>
      <c r="I389" s="12" t="n">
        <v>46327</v>
      </c>
      <c r="J389" t="b">
        <v>0</v>
      </c>
      <c r="K389" s="13" t="n">
        <v>0</v>
      </c>
    </row>
    <row r="390">
      <c r="A390" t="inlineStr">
        <is>
          <t>NX-00386</t>
        </is>
      </c>
      <c r="B390" t="inlineStr">
        <is>
          <t>North America</t>
        </is>
      </c>
      <c r="C390" t="inlineStr">
        <is>
          <t>US / Canada</t>
        </is>
      </c>
      <c r="D390" s="12" t="n">
        <v>45658</v>
      </c>
      <c r="E390" s="13" t="n">
        <v>58.8</v>
      </c>
      <c r="F390" s="14" t="n">
        <v>4880400</v>
      </c>
      <c r="G390" t="n">
        <v>5</v>
      </c>
      <c r="H390" s="12" t="n">
        <v>45809</v>
      </c>
      <c r="I390" s="12" t="n">
        <v>45809</v>
      </c>
      <c r="J390" t="b">
        <v>0</v>
      </c>
      <c r="K390" s="13" t="n">
        <v>0</v>
      </c>
    </row>
    <row r="391">
      <c r="A391" t="inlineStr">
        <is>
          <t>NX-00387</t>
        </is>
      </c>
      <c r="B391" t="inlineStr">
        <is>
          <t>North America</t>
        </is>
      </c>
      <c r="C391" t="inlineStr">
        <is>
          <t>US / Canada</t>
        </is>
      </c>
      <c r="D391" s="12" t="n">
        <v>45658</v>
      </c>
      <c r="E391" s="13" t="n">
        <v>29.2</v>
      </c>
      <c r="F391" s="14" t="n">
        <v>2423600</v>
      </c>
      <c r="G391" t="n">
        <v>5</v>
      </c>
      <c r="H391" s="12" t="n">
        <v>45809</v>
      </c>
      <c r="I391" s="12" t="n">
        <v>45809</v>
      </c>
      <c r="J391" t="b">
        <v>0</v>
      </c>
      <c r="K391" s="13" t="n">
        <v>0.06</v>
      </c>
    </row>
    <row r="392">
      <c r="A392" t="inlineStr">
        <is>
          <t>NX-00388</t>
        </is>
      </c>
      <c r="B392" t="inlineStr">
        <is>
          <t>North America</t>
        </is>
      </c>
      <c r="C392" t="inlineStr">
        <is>
          <t>US / Canada</t>
        </is>
      </c>
      <c r="D392" s="12" t="n">
        <v>45658</v>
      </c>
      <c r="E392" s="13" t="n">
        <v>8.199999999999999</v>
      </c>
      <c r="F392" s="14" t="n">
        <v>680599.9999999999</v>
      </c>
      <c r="G392" t="n">
        <v>6</v>
      </c>
      <c r="H392" s="12" t="n">
        <v>45839</v>
      </c>
      <c r="I392" s="12" t="n">
        <v>45839</v>
      </c>
      <c r="J392" t="b">
        <v>0</v>
      </c>
      <c r="K392" s="13" t="n">
        <v>0.02</v>
      </c>
    </row>
    <row r="393">
      <c r="A393" t="inlineStr">
        <is>
          <t>NX-00389</t>
        </is>
      </c>
      <c r="B393" t="inlineStr">
        <is>
          <t>North America</t>
        </is>
      </c>
      <c r="C393" t="inlineStr">
        <is>
          <t>US / Canada</t>
        </is>
      </c>
      <c r="D393" s="12" t="n">
        <v>45658</v>
      </c>
      <c r="E393" s="13" t="n">
        <v>16.2</v>
      </c>
      <c r="F393" s="14" t="n">
        <v>1344600</v>
      </c>
      <c r="G393" t="n">
        <v>5</v>
      </c>
      <c r="H393" s="12" t="n">
        <v>45809</v>
      </c>
      <c r="I393" s="12" t="n">
        <v>45901</v>
      </c>
      <c r="J393" t="b">
        <v>0</v>
      </c>
      <c r="K393" s="13" t="n">
        <v>3.08</v>
      </c>
    </row>
    <row r="394">
      <c r="A394" t="inlineStr">
        <is>
          <t>NX-00390</t>
        </is>
      </c>
      <c r="B394" t="inlineStr">
        <is>
          <t>North America</t>
        </is>
      </c>
      <c r="C394" t="inlineStr">
        <is>
          <t>US / Canada</t>
        </is>
      </c>
      <c r="D394" s="12" t="n">
        <v>45658</v>
      </c>
      <c r="E394" s="13" t="n">
        <v>9.800000000000001</v>
      </c>
      <c r="F394" s="14" t="n">
        <v>813400.0000000001</v>
      </c>
      <c r="G394" t="n">
        <v>7</v>
      </c>
      <c r="H394" s="12" t="n">
        <v>45870</v>
      </c>
      <c r="I394" s="12" t="n">
        <v>45870</v>
      </c>
      <c r="J394" t="b">
        <v>0</v>
      </c>
      <c r="K394" s="13" t="n">
        <v>0.01</v>
      </c>
    </row>
    <row r="395">
      <c r="A395" t="inlineStr">
        <is>
          <t>NX-00391</t>
        </is>
      </c>
      <c r="B395" t="inlineStr">
        <is>
          <t>North America</t>
        </is>
      </c>
      <c r="C395" t="inlineStr">
        <is>
          <t>US / Canada</t>
        </is>
      </c>
      <c r="D395" s="12" t="n">
        <v>45658</v>
      </c>
      <c r="E395" s="13" t="n">
        <v>5</v>
      </c>
      <c r="F395" s="14" t="n">
        <v>415000</v>
      </c>
      <c r="G395" t="n">
        <v>12</v>
      </c>
      <c r="H395" s="12" t="n">
        <v>46023</v>
      </c>
      <c r="I395" s="12" t="n">
        <v>46023</v>
      </c>
      <c r="J395" t="b">
        <v>0</v>
      </c>
      <c r="K395" s="13" t="n">
        <v>0</v>
      </c>
    </row>
    <row r="396">
      <c r="A396" t="inlineStr">
        <is>
          <t>NX-00392</t>
        </is>
      </c>
      <c r="B396" t="inlineStr">
        <is>
          <t>North America</t>
        </is>
      </c>
      <c r="C396" t="inlineStr">
        <is>
          <t>US / Canada</t>
        </is>
      </c>
      <c r="D396" s="12" t="n">
        <v>45658</v>
      </c>
      <c r="E396" s="13" t="n">
        <v>52.6</v>
      </c>
      <c r="F396" s="14" t="n">
        <v>4365800</v>
      </c>
      <c r="G396" t="n">
        <v>7</v>
      </c>
      <c r="H396" s="12" t="n">
        <v>45870</v>
      </c>
      <c r="I396" s="12" t="n">
        <v>45870</v>
      </c>
      <c r="J396" t="b">
        <v>0</v>
      </c>
      <c r="K396" s="13" t="n">
        <v>0.01</v>
      </c>
    </row>
    <row r="397">
      <c r="A397" t="inlineStr">
        <is>
          <t>NX-00393</t>
        </is>
      </c>
      <c r="B397" t="inlineStr">
        <is>
          <t>North America</t>
        </is>
      </c>
      <c r="C397" t="inlineStr">
        <is>
          <t>US / Canada</t>
        </is>
      </c>
      <c r="D397" s="12" t="n">
        <v>45658</v>
      </c>
      <c r="E397" s="13" t="n">
        <v>16.8</v>
      </c>
      <c r="F397" s="14" t="n">
        <v>1394400</v>
      </c>
      <c r="G397" t="n">
        <v>5</v>
      </c>
      <c r="H397" s="12" t="n">
        <v>45809</v>
      </c>
      <c r="I397" s="12" t="n">
        <v>45809</v>
      </c>
      <c r="J397" t="b">
        <v>0</v>
      </c>
      <c r="K397" s="13" t="n">
        <v>0.37</v>
      </c>
    </row>
    <row r="398">
      <c r="A398" t="inlineStr">
        <is>
          <t>NX-00394</t>
        </is>
      </c>
      <c r="B398" t="inlineStr">
        <is>
          <t>North America</t>
        </is>
      </c>
      <c r="C398" t="inlineStr">
        <is>
          <t>US / Canada</t>
        </is>
      </c>
      <c r="D398" s="12" t="n">
        <v>45658</v>
      </c>
      <c r="E398" s="13" t="n">
        <v>47.3</v>
      </c>
      <c r="F398" s="14" t="n">
        <v>3925900</v>
      </c>
      <c r="G398" t="n">
        <v>8</v>
      </c>
      <c r="H398" s="12" t="n">
        <v>45901</v>
      </c>
      <c r="I398" s="12" t="n">
        <v>45901</v>
      </c>
      <c r="J398" t="b">
        <v>0</v>
      </c>
      <c r="K398" s="13" t="n">
        <v>0.12</v>
      </c>
    </row>
    <row r="399">
      <c r="A399" t="inlineStr">
        <is>
          <t>NX-00395</t>
        </is>
      </c>
      <c r="B399" t="inlineStr">
        <is>
          <t>North America</t>
        </is>
      </c>
      <c r="C399" t="inlineStr">
        <is>
          <t>US / Canada</t>
        </is>
      </c>
      <c r="D399" s="12" t="n">
        <v>45658</v>
      </c>
      <c r="E399" s="13" t="n">
        <v>15.2</v>
      </c>
      <c r="F399" s="14" t="n">
        <v>1261600</v>
      </c>
      <c r="G399" t="n">
        <v>9</v>
      </c>
      <c r="H399" s="12" t="n">
        <v>45931</v>
      </c>
      <c r="I399" s="12" t="n">
        <v>45962</v>
      </c>
      <c r="J399" t="b">
        <v>0</v>
      </c>
      <c r="K399" s="13" t="n">
        <v>0.8100000000000001</v>
      </c>
    </row>
    <row r="400">
      <c r="A400" t="inlineStr">
        <is>
          <t>NX-00396</t>
        </is>
      </c>
      <c r="B400" t="inlineStr">
        <is>
          <t>North America</t>
        </is>
      </c>
      <c r="C400" t="inlineStr">
        <is>
          <t>US / Canada</t>
        </is>
      </c>
      <c r="D400" s="12" t="n">
        <v>45658</v>
      </c>
      <c r="E400" s="13" t="n">
        <v>7.3</v>
      </c>
      <c r="F400" s="14" t="n">
        <v>605900</v>
      </c>
      <c r="G400" t="n">
        <v>5</v>
      </c>
      <c r="H400" s="12" t="n">
        <v>45809</v>
      </c>
      <c r="I400" s="12" t="n">
        <v>45839</v>
      </c>
      <c r="J400" t="b">
        <v>0</v>
      </c>
      <c r="K400" s="13" t="n">
        <v>1.37</v>
      </c>
    </row>
    <row r="401">
      <c r="A401" t="inlineStr">
        <is>
          <t>NX-00397</t>
        </is>
      </c>
      <c r="B401" t="inlineStr">
        <is>
          <t>EMEA</t>
        </is>
      </c>
      <c r="C401" t="inlineStr">
        <is>
          <t>Europe</t>
        </is>
      </c>
      <c r="D401" s="12" t="n">
        <v>45658</v>
      </c>
      <c r="E401" s="13" t="n">
        <v>6.5</v>
      </c>
      <c r="F401" s="14" t="n">
        <v>572000</v>
      </c>
      <c r="G401" t="n">
        <v>7</v>
      </c>
      <c r="H401" s="12" t="n">
        <v>45870</v>
      </c>
      <c r="I401" s="12" t="n">
        <v>45870</v>
      </c>
      <c r="J401" t="b">
        <v>0</v>
      </c>
      <c r="K401" s="13" t="n">
        <v>0</v>
      </c>
    </row>
    <row r="402">
      <c r="A402" t="inlineStr">
        <is>
          <t>NX-00398</t>
        </is>
      </c>
      <c r="B402" t="inlineStr">
        <is>
          <t>EMEA</t>
        </is>
      </c>
      <c r="C402" t="inlineStr">
        <is>
          <t>Europe</t>
        </is>
      </c>
      <c r="D402" s="12" t="n">
        <v>45658</v>
      </c>
      <c r="E402" s="13" t="n">
        <v>6</v>
      </c>
      <c r="F402" s="14" t="n">
        <v>528000</v>
      </c>
      <c r="G402" t="n">
        <v>10</v>
      </c>
      <c r="H402" s="12" t="n">
        <v>45962</v>
      </c>
      <c r="I402" s="12" t="n">
        <v>46082</v>
      </c>
      <c r="J402" t="b">
        <v>0</v>
      </c>
      <c r="K402" s="13" t="n">
        <v>3.97</v>
      </c>
    </row>
    <row r="403">
      <c r="A403" t="inlineStr">
        <is>
          <t>NX-00399</t>
        </is>
      </c>
      <c r="B403" t="inlineStr">
        <is>
          <t>EMEA</t>
        </is>
      </c>
      <c r="C403" t="inlineStr">
        <is>
          <t>Europe</t>
        </is>
      </c>
      <c r="D403" s="12" t="n">
        <v>45658</v>
      </c>
      <c r="E403" s="13" t="n">
        <v>3.1</v>
      </c>
      <c r="F403" s="14" t="n">
        <v>272800</v>
      </c>
      <c r="G403" t="n">
        <v>5</v>
      </c>
      <c r="H403" s="12" t="n">
        <v>45809</v>
      </c>
      <c r="I403" s="12" t="n">
        <v>45870</v>
      </c>
      <c r="J403" t="b">
        <v>0</v>
      </c>
      <c r="K403" s="13" t="n">
        <v>1.8</v>
      </c>
    </row>
    <row r="404">
      <c r="A404" t="inlineStr">
        <is>
          <t>NX-00400</t>
        </is>
      </c>
      <c r="B404" t="inlineStr">
        <is>
          <t>EMEA</t>
        </is>
      </c>
      <c r="C404" t="inlineStr">
        <is>
          <t>Europe</t>
        </is>
      </c>
      <c r="D404" s="12" t="n">
        <v>45658</v>
      </c>
      <c r="E404" s="13" t="n">
        <v>23.1</v>
      </c>
      <c r="F404" s="14" t="n">
        <v>2032800</v>
      </c>
      <c r="G404" t="n">
        <v>6</v>
      </c>
      <c r="H404" s="12" t="n">
        <v>45839</v>
      </c>
      <c r="I404" s="12" t="n">
        <v>45839</v>
      </c>
      <c r="J404" t="b">
        <v>0</v>
      </c>
      <c r="K404" s="13" t="n">
        <v>0.06</v>
      </c>
    </row>
    <row r="405">
      <c r="A405" t="inlineStr">
        <is>
          <t>NX-00401</t>
        </is>
      </c>
      <c r="B405" t="inlineStr">
        <is>
          <t>EMEA</t>
        </is>
      </c>
      <c r="C405" t="inlineStr">
        <is>
          <t>MENA</t>
        </is>
      </c>
      <c r="D405" s="12" t="n">
        <v>45658</v>
      </c>
      <c r="E405" s="13" t="n">
        <v>29.2</v>
      </c>
      <c r="F405" s="14" t="n">
        <v>2365200</v>
      </c>
      <c r="G405" t="n">
        <v>6</v>
      </c>
      <c r="H405" s="12" t="n">
        <v>45839</v>
      </c>
      <c r="I405" s="12" t="n">
        <v>45870</v>
      </c>
      <c r="J405" t="b">
        <v>0</v>
      </c>
      <c r="K405" s="13" t="n">
        <v>0.73</v>
      </c>
    </row>
    <row r="406">
      <c r="A406" t="inlineStr">
        <is>
          <t>NX-00402</t>
        </is>
      </c>
      <c r="B406" t="inlineStr">
        <is>
          <t>EMEA</t>
        </is>
      </c>
      <c r="C406" t="inlineStr">
        <is>
          <t>MENA</t>
        </is>
      </c>
      <c r="D406" s="12" t="n">
        <v>45658</v>
      </c>
      <c r="E406" s="13" t="n">
        <v>8.199999999999999</v>
      </c>
      <c r="F406" s="14" t="n">
        <v>664200</v>
      </c>
      <c r="G406" t="n">
        <v>13</v>
      </c>
      <c r="H406" s="12" t="n">
        <v>46054</v>
      </c>
      <c r="I406" s="12" t="n">
        <v>46082</v>
      </c>
      <c r="J406" t="b">
        <v>0</v>
      </c>
      <c r="K406" s="13" t="n">
        <v>0.67</v>
      </c>
    </row>
    <row r="407">
      <c r="A407" t="inlineStr">
        <is>
          <t>NX-00403</t>
        </is>
      </c>
      <c r="B407" t="inlineStr">
        <is>
          <t>EMEA</t>
        </is>
      </c>
      <c r="C407" t="inlineStr">
        <is>
          <t>MENA</t>
        </is>
      </c>
      <c r="D407" s="12" t="n">
        <v>45658</v>
      </c>
      <c r="E407" s="13" t="n">
        <v>5.5</v>
      </c>
      <c r="F407" s="14" t="n">
        <v>445500</v>
      </c>
      <c r="G407" t="n">
        <v>5</v>
      </c>
      <c r="H407" s="12" t="n">
        <v>45809</v>
      </c>
      <c r="I407" s="12" t="n">
        <v>45839</v>
      </c>
      <c r="J407" t="b">
        <v>0</v>
      </c>
      <c r="K407" s="13" t="n">
        <v>1.28</v>
      </c>
    </row>
    <row r="408">
      <c r="A408" t="inlineStr">
        <is>
          <t>NX-00404</t>
        </is>
      </c>
      <c r="B408" t="inlineStr">
        <is>
          <t>EMEA</t>
        </is>
      </c>
      <c r="C408" t="inlineStr">
        <is>
          <t>MENA</t>
        </is>
      </c>
      <c r="D408" s="12" t="n">
        <v>45658</v>
      </c>
      <c r="E408" s="13" t="n">
        <v>6.8</v>
      </c>
      <c r="F408" s="14" t="n">
        <v>550800</v>
      </c>
      <c r="G408" t="n">
        <v>9</v>
      </c>
      <c r="H408" s="12" t="n">
        <v>45931</v>
      </c>
      <c r="I408" s="12" t="n">
        <v>45962</v>
      </c>
      <c r="J408" t="b">
        <v>0</v>
      </c>
      <c r="K408" s="13" t="n">
        <v>0.53</v>
      </c>
    </row>
    <row r="409">
      <c r="A409" t="inlineStr">
        <is>
          <t>NX-00405</t>
        </is>
      </c>
      <c r="B409" t="inlineStr">
        <is>
          <t>APAC</t>
        </is>
      </c>
      <c r="C409" t="inlineStr">
        <is>
          <t>India</t>
        </is>
      </c>
      <c r="D409" s="12" t="n">
        <v>45658</v>
      </c>
      <c r="E409" s="13" t="n">
        <v>10.7</v>
      </c>
      <c r="F409" s="14" t="n">
        <v>759700</v>
      </c>
      <c r="G409" t="n">
        <v>11</v>
      </c>
      <c r="H409" s="12" t="n">
        <v>45992</v>
      </c>
      <c r="I409" s="12" t="n">
        <v>46296</v>
      </c>
      <c r="J409" t="b">
        <v>0</v>
      </c>
      <c r="K409" s="13" t="n">
        <v>10.08</v>
      </c>
    </row>
    <row r="410">
      <c r="A410" t="inlineStr">
        <is>
          <t>NX-00406</t>
        </is>
      </c>
      <c r="B410" t="inlineStr">
        <is>
          <t>LATAM</t>
        </is>
      </c>
      <c r="C410" t="inlineStr">
        <is>
          <t>LATAM</t>
        </is>
      </c>
      <c r="D410" s="12" t="n">
        <v>45658</v>
      </c>
      <c r="E410" s="13" t="n">
        <v>20.9</v>
      </c>
      <c r="F410" s="14" t="n">
        <v>1651100</v>
      </c>
      <c r="G410" t="n">
        <v>9</v>
      </c>
      <c r="H410" s="12" t="n">
        <v>45931</v>
      </c>
      <c r="I410" s="12" t="n">
        <v>46023</v>
      </c>
      <c r="J410" t="b">
        <v>0</v>
      </c>
      <c r="K410" s="13" t="n">
        <v>2.91</v>
      </c>
    </row>
    <row r="411">
      <c r="A411" t="inlineStr">
        <is>
          <t>NX-00407</t>
        </is>
      </c>
      <c r="B411" t="inlineStr">
        <is>
          <t>LATAM</t>
        </is>
      </c>
      <c r="C411" t="inlineStr">
        <is>
          <t>LATAM</t>
        </is>
      </c>
      <c r="D411" s="12" t="n">
        <v>45658</v>
      </c>
      <c r="E411" s="13" t="n">
        <v>22.2</v>
      </c>
      <c r="F411" s="14" t="n">
        <v>1753800</v>
      </c>
      <c r="G411" t="n">
        <v>17</v>
      </c>
      <c r="H411" s="12" t="n">
        <v>46174</v>
      </c>
      <c r="I411" s="12" t="n">
        <v>46174</v>
      </c>
      <c r="J411" t="b">
        <v>0</v>
      </c>
      <c r="K411" s="13" t="n">
        <v>0.09</v>
      </c>
    </row>
    <row r="412">
      <c r="A412" t="inlineStr">
        <is>
          <t>NX-00408</t>
        </is>
      </c>
      <c r="B412" t="inlineStr">
        <is>
          <t>LATAM</t>
        </is>
      </c>
      <c r="C412" t="inlineStr">
        <is>
          <t>LATAM</t>
        </is>
      </c>
      <c r="D412" s="12" t="n">
        <v>45658</v>
      </c>
      <c r="E412" s="13" t="n">
        <v>16.4</v>
      </c>
      <c r="F412" s="14" t="n">
        <v>1295600</v>
      </c>
      <c r="G412" t="n">
        <v>5</v>
      </c>
      <c r="H412" s="12" t="n">
        <v>45809</v>
      </c>
      <c r="I412" s="12" t="n">
        <v>45931</v>
      </c>
      <c r="J412" t="b">
        <v>0</v>
      </c>
      <c r="K412" s="13" t="n">
        <v>4.08</v>
      </c>
    </row>
    <row r="413">
      <c r="A413" t="inlineStr">
        <is>
          <t>NX-00409</t>
        </is>
      </c>
      <c r="B413" t="inlineStr">
        <is>
          <t>LATAM</t>
        </is>
      </c>
      <c r="C413" t="inlineStr">
        <is>
          <t>LATAM</t>
        </is>
      </c>
      <c r="D413" s="12" t="n">
        <v>45658</v>
      </c>
      <c r="E413" s="13" t="n">
        <v>7.5</v>
      </c>
      <c r="F413" s="14" t="n">
        <v>592500</v>
      </c>
      <c r="G413" t="n">
        <v>8</v>
      </c>
      <c r="H413" s="12" t="n">
        <v>45901</v>
      </c>
      <c r="I413" s="12" t="n">
        <v>45992</v>
      </c>
      <c r="J413" t="b">
        <v>0</v>
      </c>
      <c r="K413" s="13" t="n">
        <v>2.6</v>
      </c>
    </row>
    <row r="414">
      <c r="A414" t="inlineStr">
        <is>
          <t>NX-00410</t>
        </is>
      </c>
      <c r="B414" t="inlineStr">
        <is>
          <t>North America</t>
        </is>
      </c>
      <c r="C414" t="inlineStr">
        <is>
          <t>US / Canada</t>
        </is>
      </c>
      <c r="D414" s="12" t="n">
        <v>45689</v>
      </c>
      <c r="E414" s="13" t="n">
        <v>9.199999999999999</v>
      </c>
      <c r="F414" s="14" t="n">
        <v>763599.9999999999</v>
      </c>
      <c r="G414" t="n">
        <v>5</v>
      </c>
      <c r="H414" s="12" t="n">
        <v>45839</v>
      </c>
      <c r="I414" s="12" t="n">
        <v>45839</v>
      </c>
      <c r="J414" t="b">
        <v>0</v>
      </c>
      <c r="K414" s="13" t="n">
        <v>0.03</v>
      </c>
    </row>
    <row r="415">
      <c r="A415" t="inlineStr">
        <is>
          <t>NX-00411</t>
        </is>
      </c>
      <c r="B415" t="inlineStr">
        <is>
          <t>North America</t>
        </is>
      </c>
      <c r="C415" t="inlineStr">
        <is>
          <t>US / Canada</t>
        </is>
      </c>
      <c r="D415" s="12" t="n">
        <v>45689</v>
      </c>
      <c r="E415" s="13" t="n">
        <v>2.7</v>
      </c>
      <c r="F415" s="14" t="n">
        <v>224100</v>
      </c>
      <c r="G415" t="n">
        <v>5</v>
      </c>
      <c r="H415" s="12" t="n">
        <v>45839</v>
      </c>
      <c r="I415" s="12" t="n">
        <v>45839</v>
      </c>
      <c r="J415" t="b">
        <v>0</v>
      </c>
      <c r="K415" s="13" t="n">
        <v>0.03</v>
      </c>
    </row>
    <row r="416">
      <c r="A416" t="inlineStr">
        <is>
          <t>NX-00412</t>
        </is>
      </c>
      <c r="B416" t="inlineStr">
        <is>
          <t>North America</t>
        </is>
      </c>
      <c r="C416" t="inlineStr">
        <is>
          <t>US / Canada</t>
        </is>
      </c>
      <c r="D416" s="12" t="n">
        <v>45689</v>
      </c>
      <c r="E416" s="13" t="n">
        <v>3.9</v>
      </c>
      <c r="F416" s="14" t="n">
        <v>323700</v>
      </c>
      <c r="G416" t="n">
        <v>7</v>
      </c>
      <c r="H416" s="12" t="n">
        <v>45901</v>
      </c>
      <c r="I416" s="12" t="n">
        <v>45901</v>
      </c>
      <c r="J416" t="b">
        <v>0</v>
      </c>
      <c r="K416" s="13" t="n">
        <v>0</v>
      </c>
    </row>
    <row r="417">
      <c r="A417" t="inlineStr">
        <is>
          <t>NX-00413</t>
        </is>
      </c>
      <c r="B417" t="inlineStr">
        <is>
          <t>North America</t>
        </is>
      </c>
      <c r="C417" t="inlineStr">
        <is>
          <t>US / Canada</t>
        </is>
      </c>
      <c r="D417" s="12" t="n">
        <v>45689</v>
      </c>
      <c r="E417" s="13" t="n">
        <v>4.9</v>
      </c>
      <c r="F417" s="14" t="n">
        <v>406700.0000000001</v>
      </c>
      <c r="G417" t="n">
        <v>5</v>
      </c>
      <c r="H417" s="12" t="n">
        <v>45839</v>
      </c>
      <c r="I417" s="12" t="n">
        <v>45839</v>
      </c>
      <c r="J417" t="b">
        <v>0</v>
      </c>
      <c r="K417" s="13" t="n">
        <v>0.12</v>
      </c>
    </row>
    <row r="418">
      <c r="A418" t="inlineStr">
        <is>
          <t>NX-00414</t>
        </is>
      </c>
      <c r="B418" t="inlineStr">
        <is>
          <t>North America</t>
        </is>
      </c>
      <c r="C418" t="inlineStr">
        <is>
          <t>US / Canada</t>
        </is>
      </c>
      <c r="D418" s="12" t="n">
        <v>45689</v>
      </c>
      <c r="E418" s="13" t="n">
        <v>80.8</v>
      </c>
      <c r="F418" s="14" t="n">
        <v>6706400</v>
      </c>
      <c r="G418" t="n">
        <v>7</v>
      </c>
      <c r="H418" s="12" t="n">
        <v>45901</v>
      </c>
      <c r="I418" s="12" t="n">
        <v>45901</v>
      </c>
      <c r="J418" t="b">
        <v>0</v>
      </c>
      <c r="K418" s="13" t="n">
        <v>0.01</v>
      </c>
    </row>
    <row r="419">
      <c r="A419" t="inlineStr">
        <is>
          <t>NX-00415</t>
        </is>
      </c>
      <c r="B419" t="inlineStr">
        <is>
          <t>North America</t>
        </is>
      </c>
      <c r="C419" t="inlineStr">
        <is>
          <t>US / Canada</t>
        </is>
      </c>
      <c r="D419" s="12" t="n">
        <v>45689</v>
      </c>
      <c r="E419" s="13" t="n">
        <v>8.4</v>
      </c>
      <c r="F419" s="14" t="n">
        <v>697200</v>
      </c>
      <c r="G419" t="n">
        <v>6</v>
      </c>
      <c r="H419" s="12" t="n">
        <v>45870</v>
      </c>
      <c r="I419" s="12" t="n">
        <v>45931</v>
      </c>
      <c r="J419" t="b">
        <v>0</v>
      </c>
      <c r="K419" s="13" t="n">
        <v>1.56</v>
      </c>
    </row>
    <row r="420">
      <c r="A420" t="inlineStr">
        <is>
          <t>NX-00416</t>
        </is>
      </c>
      <c r="B420" t="inlineStr">
        <is>
          <t>North America</t>
        </is>
      </c>
      <c r="C420" t="inlineStr">
        <is>
          <t>US / Canada</t>
        </is>
      </c>
      <c r="D420" s="12" t="n">
        <v>45689</v>
      </c>
      <c r="E420" s="13" t="n">
        <v>5.3</v>
      </c>
      <c r="F420" s="14" t="n">
        <v>439900</v>
      </c>
      <c r="G420" t="n">
        <v>13</v>
      </c>
      <c r="H420" s="12" t="n">
        <v>46082</v>
      </c>
      <c r="I420" s="12" t="n">
        <v>46143</v>
      </c>
      <c r="J420" t="b">
        <v>0</v>
      </c>
      <c r="K420" s="13" t="n">
        <v>1.53</v>
      </c>
    </row>
    <row r="421">
      <c r="A421" t="inlineStr">
        <is>
          <t>NX-00417</t>
        </is>
      </c>
      <c r="B421" t="inlineStr">
        <is>
          <t>North America</t>
        </is>
      </c>
      <c r="C421" t="inlineStr">
        <is>
          <t>US / Canada</t>
        </is>
      </c>
      <c r="D421" s="12" t="n">
        <v>45689</v>
      </c>
      <c r="E421" s="13" t="n">
        <v>14.5</v>
      </c>
      <c r="F421" s="14" t="n">
        <v>1203500</v>
      </c>
      <c r="G421" t="n">
        <v>12</v>
      </c>
      <c r="H421" s="12" t="n">
        <v>46054</v>
      </c>
      <c r="I421" s="12" t="n">
        <v>46054</v>
      </c>
      <c r="J421" t="b">
        <v>0</v>
      </c>
      <c r="K421" s="13" t="n">
        <v>0</v>
      </c>
    </row>
    <row r="422">
      <c r="A422" t="inlineStr">
        <is>
          <t>NX-00418</t>
        </is>
      </c>
      <c r="B422" t="inlineStr">
        <is>
          <t>North America</t>
        </is>
      </c>
      <c r="C422" t="inlineStr">
        <is>
          <t>US / Canada</t>
        </is>
      </c>
      <c r="D422" s="12" t="n">
        <v>45689</v>
      </c>
      <c r="E422" s="13" t="n">
        <v>14.2</v>
      </c>
      <c r="F422" s="14" t="n">
        <v>1178600</v>
      </c>
      <c r="G422" t="n">
        <v>7</v>
      </c>
      <c r="H422" s="12" t="n">
        <v>45901</v>
      </c>
      <c r="I422" s="12" t="n">
        <v>45901</v>
      </c>
      <c r="J422" t="b">
        <v>0</v>
      </c>
      <c r="K422" s="13" t="n">
        <v>0</v>
      </c>
    </row>
    <row r="423">
      <c r="A423" t="inlineStr">
        <is>
          <t>NX-00419</t>
        </is>
      </c>
      <c r="B423" t="inlineStr">
        <is>
          <t>North America</t>
        </is>
      </c>
      <c r="C423" t="inlineStr">
        <is>
          <t>US / Canada</t>
        </is>
      </c>
      <c r="D423" s="12" t="n">
        <v>45689</v>
      </c>
      <c r="E423" s="13" t="n">
        <v>15.4</v>
      </c>
      <c r="F423" s="14" t="n">
        <v>1278200</v>
      </c>
      <c r="G423" t="n">
        <v>10</v>
      </c>
      <c r="H423" s="12" t="n">
        <v>45992</v>
      </c>
      <c r="I423" s="12" t="n">
        <v>46023</v>
      </c>
      <c r="J423" t="b">
        <v>0</v>
      </c>
      <c r="K423" s="13" t="n">
        <v>0.99</v>
      </c>
    </row>
    <row r="424">
      <c r="A424" t="inlineStr">
        <is>
          <t>NX-00420</t>
        </is>
      </c>
      <c r="B424" t="inlineStr">
        <is>
          <t>North America</t>
        </is>
      </c>
      <c r="C424" t="inlineStr">
        <is>
          <t>US / Canada</t>
        </is>
      </c>
      <c r="D424" s="12" t="n">
        <v>45689</v>
      </c>
      <c r="E424" s="13" t="n">
        <v>14</v>
      </c>
      <c r="F424" s="14" t="n">
        <v>1162000</v>
      </c>
      <c r="G424" t="n">
        <v>5</v>
      </c>
      <c r="H424" s="12" t="n">
        <v>45839</v>
      </c>
      <c r="I424" s="12" t="n">
        <v>45839</v>
      </c>
      <c r="J424" t="b">
        <v>0</v>
      </c>
      <c r="K424" s="13" t="n">
        <v>0</v>
      </c>
    </row>
    <row r="425">
      <c r="A425" t="inlineStr">
        <is>
          <t>NX-00421</t>
        </is>
      </c>
      <c r="B425" t="inlineStr">
        <is>
          <t>North America</t>
        </is>
      </c>
      <c r="C425" t="inlineStr">
        <is>
          <t>US / Canada</t>
        </is>
      </c>
      <c r="D425" s="12" t="n">
        <v>45689</v>
      </c>
      <c r="E425" s="13" t="n">
        <v>8.5</v>
      </c>
      <c r="F425" s="14" t="n">
        <v>705500</v>
      </c>
      <c r="G425" t="n">
        <v>5</v>
      </c>
      <c r="H425" s="12" t="n">
        <v>45839</v>
      </c>
      <c r="I425" s="12" t="n"/>
      <c r="J425" t="b">
        <v>1</v>
      </c>
      <c r="K425" s="13" t="n">
        <v>2.39</v>
      </c>
    </row>
    <row r="426">
      <c r="A426" t="inlineStr">
        <is>
          <t>NX-00422</t>
        </is>
      </c>
      <c r="B426" t="inlineStr">
        <is>
          <t>North America</t>
        </is>
      </c>
      <c r="C426" t="inlineStr">
        <is>
          <t>US / Canada</t>
        </is>
      </c>
      <c r="D426" s="12" t="n">
        <v>45689</v>
      </c>
      <c r="E426" s="13" t="n">
        <v>14.2</v>
      </c>
      <c r="F426" s="14" t="n">
        <v>1178600</v>
      </c>
      <c r="G426" t="n">
        <v>6</v>
      </c>
      <c r="H426" s="12" t="n">
        <v>45870</v>
      </c>
      <c r="I426" s="12" t="n">
        <v>45870</v>
      </c>
      <c r="J426" t="b">
        <v>0</v>
      </c>
      <c r="K426" s="13" t="n">
        <v>0.07000000000000001</v>
      </c>
    </row>
    <row r="427">
      <c r="A427" t="inlineStr">
        <is>
          <t>NX-00423</t>
        </is>
      </c>
      <c r="B427" t="inlineStr">
        <is>
          <t>North America</t>
        </is>
      </c>
      <c r="C427" t="inlineStr">
        <is>
          <t>US / Canada</t>
        </is>
      </c>
      <c r="D427" s="12" t="n">
        <v>45689</v>
      </c>
      <c r="E427" s="13" t="n">
        <v>15.3</v>
      </c>
      <c r="F427" s="14" t="n">
        <v>1269900</v>
      </c>
      <c r="G427" t="n">
        <v>8</v>
      </c>
      <c r="H427" s="12" t="n">
        <v>45931</v>
      </c>
      <c r="I427" s="12" t="n">
        <v>45931</v>
      </c>
      <c r="J427" t="b">
        <v>0</v>
      </c>
      <c r="K427" s="13" t="n">
        <v>0.02</v>
      </c>
    </row>
    <row r="428">
      <c r="A428" t="inlineStr">
        <is>
          <t>NX-00424</t>
        </is>
      </c>
      <c r="B428" t="inlineStr">
        <is>
          <t>North America</t>
        </is>
      </c>
      <c r="C428" t="inlineStr">
        <is>
          <t>US / Canada</t>
        </is>
      </c>
      <c r="D428" s="12" t="n">
        <v>45689</v>
      </c>
      <c r="E428" s="13" t="n">
        <v>17.5</v>
      </c>
      <c r="F428" s="14" t="n">
        <v>1452500</v>
      </c>
      <c r="G428" t="n">
        <v>5</v>
      </c>
      <c r="H428" s="12" t="n">
        <v>45839</v>
      </c>
      <c r="I428" s="12" t="n">
        <v>45839</v>
      </c>
      <c r="J428" t="b">
        <v>0</v>
      </c>
      <c r="K428" s="13" t="n">
        <v>0</v>
      </c>
    </row>
    <row r="429">
      <c r="A429" t="inlineStr">
        <is>
          <t>NX-00425</t>
        </is>
      </c>
      <c r="B429" t="inlineStr">
        <is>
          <t>North America</t>
        </is>
      </c>
      <c r="C429" t="inlineStr">
        <is>
          <t>US / Canada</t>
        </is>
      </c>
      <c r="D429" s="12" t="n">
        <v>45689</v>
      </c>
      <c r="E429" s="13" t="n">
        <v>13</v>
      </c>
      <c r="F429" s="14" t="n">
        <v>1079000</v>
      </c>
      <c r="G429" t="n">
        <v>5</v>
      </c>
      <c r="H429" s="12" t="n">
        <v>45839</v>
      </c>
      <c r="I429" s="12" t="n">
        <v>45839</v>
      </c>
      <c r="J429" t="b">
        <v>0</v>
      </c>
      <c r="K429" s="13" t="n">
        <v>0.01</v>
      </c>
    </row>
    <row r="430">
      <c r="A430" t="inlineStr">
        <is>
          <t>NX-00426</t>
        </is>
      </c>
      <c r="B430" t="inlineStr">
        <is>
          <t>North America</t>
        </is>
      </c>
      <c r="C430" t="inlineStr">
        <is>
          <t>US / Canada</t>
        </is>
      </c>
      <c r="D430" s="12" t="n">
        <v>45689</v>
      </c>
      <c r="E430" s="13" t="n">
        <v>23.3</v>
      </c>
      <c r="F430" s="14" t="n">
        <v>1933900</v>
      </c>
      <c r="G430" t="n">
        <v>7</v>
      </c>
      <c r="H430" s="12" t="n">
        <v>45901</v>
      </c>
      <c r="I430" s="12" t="n">
        <v>45901</v>
      </c>
      <c r="J430" t="b">
        <v>0</v>
      </c>
      <c r="K430" s="13" t="n">
        <v>0.03</v>
      </c>
    </row>
    <row r="431">
      <c r="A431" t="inlineStr">
        <is>
          <t>NX-00427</t>
        </is>
      </c>
      <c r="B431" t="inlineStr">
        <is>
          <t>North America</t>
        </is>
      </c>
      <c r="C431" t="inlineStr">
        <is>
          <t>US / Canada</t>
        </is>
      </c>
      <c r="D431" s="12" t="n">
        <v>45689</v>
      </c>
      <c r="E431" s="13" t="n">
        <v>16.5</v>
      </c>
      <c r="F431" s="14" t="n">
        <v>1369500</v>
      </c>
      <c r="G431" t="n">
        <v>7</v>
      </c>
      <c r="H431" s="12" t="n">
        <v>45901</v>
      </c>
      <c r="I431" s="12" t="n">
        <v>45901</v>
      </c>
      <c r="J431" t="b">
        <v>0</v>
      </c>
      <c r="K431" s="13" t="n">
        <v>0.24</v>
      </c>
    </row>
    <row r="432">
      <c r="A432" t="inlineStr">
        <is>
          <t>NX-00428</t>
        </is>
      </c>
      <c r="B432" t="inlineStr">
        <is>
          <t>North America</t>
        </is>
      </c>
      <c r="C432" t="inlineStr">
        <is>
          <t>US / Canada</t>
        </is>
      </c>
      <c r="D432" s="12" t="n">
        <v>45689</v>
      </c>
      <c r="E432" s="13" t="n">
        <v>29.5</v>
      </c>
      <c r="F432" s="14" t="n">
        <v>2448500</v>
      </c>
      <c r="G432" t="n">
        <v>23</v>
      </c>
      <c r="H432" s="12" t="n">
        <v>46388</v>
      </c>
      <c r="I432" s="12" t="n">
        <v>46388</v>
      </c>
      <c r="J432" t="b">
        <v>0</v>
      </c>
      <c r="K432" s="13" t="n">
        <v>0.03</v>
      </c>
    </row>
    <row r="433">
      <c r="A433" t="inlineStr">
        <is>
          <t>NX-00429</t>
        </is>
      </c>
      <c r="B433" t="inlineStr">
        <is>
          <t>North America</t>
        </is>
      </c>
      <c r="C433" t="inlineStr">
        <is>
          <t>US / Canada</t>
        </is>
      </c>
      <c r="D433" s="12" t="n">
        <v>45689</v>
      </c>
      <c r="E433" s="13" t="n">
        <v>10.5</v>
      </c>
      <c r="F433" s="14" t="n">
        <v>871500</v>
      </c>
      <c r="G433" t="n">
        <v>5</v>
      </c>
      <c r="H433" s="12" t="n">
        <v>45839</v>
      </c>
      <c r="I433" s="12" t="n">
        <v>45839</v>
      </c>
      <c r="J433" t="b">
        <v>0</v>
      </c>
      <c r="K433" s="13" t="n">
        <v>0</v>
      </c>
    </row>
    <row r="434">
      <c r="A434" t="inlineStr">
        <is>
          <t>NX-00430</t>
        </is>
      </c>
      <c r="B434" t="inlineStr">
        <is>
          <t>North America</t>
        </is>
      </c>
      <c r="C434" t="inlineStr">
        <is>
          <t>US / Canada</t>
        </is>
      </c>
      <c r="D434" s="12" t="n">
        <v>45689</v>
      </c>
      <c r="E434" s="13" t="n">
        <v>50.1</v>
      </c>
      <c r="F434" s="14" t="n">
        <v>4158300</v>
      </c>
      <c r="G434" t="n">
        <v>5</v>
      </c>
      <c r="H434" s="12" t="n">
        <v>45839</v>
      </c>
      <c r="I434" s="12" t="n">
        <v>45839</v>
      </c>
      <c r="J434" t="b">
        <v>0</v>
      </c>
      <c r="K434" s="13" t="n">
        <v>0</v>
      </c>
    </row>
    <row r="435">
      <c r="A435" t="inlineStr">
        <is>
          <t>NX-00431</t>
        </is>
      </c>
      <c r="B435" t="inlineStr">
        <is>
          <t>North America</t>
        </is>
      </c>
      <c r="C435" t="inlineStr">
        <is>
          <t>US / Canada</t>
        </is>
      </c>
      <c r="D435" s="12" t="n">
        <v>45689</v>
      </c>
      <c r="E435" s="13" t="n">
        <v>3.9</v>
      </c>
      <c r="F435" s="14" t="n">
        <v>323700</v>
      </c>
      <c r="G435" t="n">
        <v>9</v>
      </c>
      <c r="H435" s="12" t="n">
        <v>45962</v>
      </c>
      <c r="I435" s="12" t="n">
        <v>45962</v>
      </c>
      <c r="J435" t="b">
        <v>0</v>
      </c>
      <c r="K435" s="13" t="n">
        <v>0</v>
      </c>
    </row>
    <row r="436">
      <c r="A436" t="inlineStr">
        <is>
          <t>NX-00432</t>
        </is>
      </c>
      <c r="B436" t="inlineStr">
        <is>
          <t>North America</t>
        </is>
      </c>
      <c r="C436" t="inlineStr">
        <is>
          <t>US / Canada</t>
        </is>
      </c>
      <c r="D436" s="12" t="n">
        <v>45689</v>
      </c>
      <c r="E436" s="13" t="n">
        <v>7.8</v>
      </c>
      <c r="F436" s="14" t="n">
        <v>647400</v>
      </c>
      <c r="G436" t="n">
        <v>5</v>
      </c>
      <c r="H436" s="12" t="n">
        <v>45839</v>
      </c>
      <c r="I436" s="12" t="n">
        <v>45901</v>
      </c>
      <c r="J436" t="b">
        <v>0</v>
      </c>
      <c r="K436" s="13" t="n">
        <v>2.2</v>
      </c>
    </row>
    <row r="437">
      <c r="A437" t="inlineStr">
        <is>
          <t>NX-00433</t>
        </is>
      </c>
      <c r="B437" t="inlineStr">
        <is>
          <t>North America</t>
        </is>
      </c>
      <c r="C437" t="inlineStr">
        <is>
          <t>US / Canada</t>
        </is>
      </c>
      <c r="D437" s="12" t="n">
        <v>45689</v>
      </c>
      <c r="E437" s="13" t="n">
        <v>52.7</v>
      </c>
      <c r="F437" s="14" t="n">
        <v>4374100</v>
      </c>
      <c r="G437" t="n">
        <v>11</v>
      </c>
      <c r="H437" s="12" t="n">
        <v>46023</v>
      </c>
      <c r="I437" s="12" t="n">
        <v>46023</v>
      </c>
      <c r="J437" t="b">
        <v>0</v>
      </c>
      <c r="K437" s="13" t="n">
        <v>0.1</v>
      </c>
    </row>
    <row r="438">
      <c r="A438" t="inlineStr">
        <is>
          <t>NX-00434</t>
        </is>
      </c>
      <c r="B438" t="inlineStr">
        <is>
          <t>North America</t>
        </is>
      </c>
      <c r="C438" t="inlineStr">
        <is>
          <t>US / Canada</t>
        </is>
      </c>
      <c r="D438" s="12" t="n">
        <v>45689</v>
      </c>
      <c r="E438" s="13" t="n">
        <v>37.8</v>
      </c>
      <c r="F438" s="14" t="n">
        <v>3137400</v>
      </c>
      <c r="G438" t="n">
        <v>7</v>
      </c>
      <c r="H438" s="12" t="n">
        <v>45901</v>
      </c>
      <c r="I438" s="12" t="n">
        <v>45931</v>
      </c>
      <c r="J438" t="b">
        <v>0</v>
      </c>
      <c r="K438" s="13" t="n">
        <v>1.34</v>
      </c>
    </row>
    <row r="439">
      <c r="A439" t="inlineStr">
        <is>
          <t>NX-00435</t>
        </is>
      </c>
      <c r="B439" t="inlineStr">
        <is>
          <t>North America</t>
        </is>
      </c>
      <c r="C439" t="inlineStr">
        <is>
          <t>US / Canada</t>
        </is>
      </c>
      <c r="D439" s="12" t="n">
        <v>45689</v>
      </c>
      <c r="E439" s="13" t="n">
        <v>13.2</v>
      </c>
      <c r="F439" s="14" t="n">
        <v>1095600</v>
      </c>
      <c r="G439" t="n">
        <v>8</v>
      </c>
      <c r="H439" s="12" t="n">
        <v>45931</v>
      </c>
      <c r="I439" s="12" t="n">
        <v>46113</v>
      </c>
      <c r="J439" t="b">
        <v>0</v>
      </c>
      <c r="K439" s="13" t="n">
        <v>6.22</v>
      </c>
    </row>
    <row r="440">
      <c r="A440" t="inlineStr">
        <is>
          <t>NX-00436</t>
        </is>
      </c>
      <c r="B440" t="inlineStr">
        <is>
          <t>North America</t>
        </is>
      </c>
      <c r="C440" t="inlineStr">
        <is>
          <t>US / Canada</t>
        </is>
      </c>
      <c r="D440" s="12" t="n">
        <v>45689</v>
      </c>
      <c r="E440" s="13" t="n">
        <v>40</v>
      </c>
      <c r="F440" s="14" t="n">
        <v>3320000</v>
      </c>
      <c r="G440" t="n">
        <v>8</v>
      </c>
      <c r="H440" s="12" t="n">
        <v>45931</v>
      </c>
      <c r="I440" s="12" t="n">
        <v>46054</v>
      </c>
      <c r="J440" t="b">
        <v>0</v>
      </c>
      <c r="K440" s="13" t="n">
        <v>4.11</v>
      </c>
    </row>
    <row r="441">
      <c r="A441" t="inlineStr">
        <is>
          <t>NX-00437</t>
        </is>
      </c>
      <c r="B441" t="inlineStr">
        <is>
          <t>North America</t>
        </is>
      </c>
      <c r="C441" t="inlineStr">
        <is>
          <t>US / Canada</t>
        </is>
      </c>
      <c r="D441" s="12" t="n">
        <v>45689</v>
      </c>
      <c r="E441" s="13" t="n">
        <v>9.4</v>
      </c>
      <c r="F441" s="14" t="n">
        <v>780200</v>
      </c>
      <c r="G441" t="n">
        <v>7</v>
      </c>
      <c r="H441" s="12" t="n">
        <v>45901</v>
      </c>
      <c r="I441" s="12" t="n">
        <v>45901</v>
      </c>
      <c r="J441" t="b">
        <v>0</v>
      </c>
      <c r="K441" s="13" t="n">
        <v>0.04</v>
      </c>
    </row>
    <row r="442">
      <c r="A442" t="inlineStr">
        <is>
          <t>NX-00438</t>
        </is>
      </c>
      <c r="B442" t="inlineStr">
        <is>
          <t>North America</t>
        </is>
      </c>
      <c r="C442" t="inlineStr">
        <is>
          <t>US / Canada</t>
        </is>
      </c>
      <c r="D442" s="12" t="n">
        <v>45689</v>
      </c>
      <c r="E442" s="13" t="n">
        <v>3.1</v>
      </c>
      <c r="F442" s="14" t="n">
        <v>257300</v>
      </c>
      <c r="G442" t="n">
        <v>5</v>
      </c>
      <c r="H442" s="12" t="n">
        <v>45839</v>
      </c>
      <c r="I442" s="12" t="n">
        <v>45839</v>
      </c>
      <c r="J442" t="b">
        <v>0</v>
      </c>
      <c r="K442" s="13" t="n">
        <v>0.32</v>
      </c>
    </row>
    <row r="443">
      <c r="A443" t="inlineStr">
        <is>
          <t>NX-00439</t>
        </is>
      </c>
      <c r="B443" t="inlineStr">
        <is>
          <t>North America</t>
        </is>
      </c>
      <c r="C443" t="inlineStr">
        <is>
          <t>US / Canada</t>
        </is>
      </c>
      <c r="D443" s="12" t="n">
        <v>45689</v>
      </c>
      <c r="E443" s="13" t="n">
        <v>27.2</v>
      </c>
      <c r="F443" s="14" t="n">
        <v>2257600</v>
      </c>
      <c r="G443" t="n">
        <v>6</v>
      </c>
      <c r="H443" s="12" t="n">
        <v>45870</v>
      </c>
      <c r="I443" s="12" t="n">
        <v>45870</v>
      </c>
      <c r="J443" t="b">
        <v>0</v>
      </c>
      <c r="K443" s="13" t="n">
        <v>0</v>
      </c>
    </row>
    <row r="444">
      <c r="A444" t="inlineStr">
        <is>
          <t>NX-00440</t>
        </is>
      </c>
      <c r="B444" t="inlineStr">
        <is>
          <t>EMEA</t>
        </is>
      </c>
      <c r="C444" t="inlineStr">
        <is>
          <t>Europe</t>
        </is>
      </c>
      <c r="D444" s="12" t="n">
        <v>45689</v>
      </c>
      <c r="E444" s="13" t="n">
        <v>35.5</v>
      </c>
      <c r="F444" s="14" t="n">
        <v>3124000</v>
      </c>
      <c r="G444" t="n">
        <v>8</v>
      </c>
      <c r="H444" s="12" t="n">
        <v>45931</v>
      </c>
      <c r="I444" s="12" t="n">
        <v>46023</v>
      </c>
      <c r="J444" t="b">
        <v>0</v>
      </c>
      <c r="K444" s="13" t="n">
        <v>2.83</v>
      </c>
    </row>
    <row r="445">
      <c r="A445" t="inlineStr">
        <is>
          <t>NX-00441</t>
        </is>
      </c>
      <c r="B445" t="inlineStr">
        <is>
          <t>EMEA</t>
        </is>
      </c>
      <c r="C445" t="inlineStr">
        <is>
          <t>Europe</t>
        </is>
      </c>
      <c r="D445" s="12" t="n">
        <v>45689</v>
      </c>
      <c r="E445" s="13" t="n">
        <v>40.3</v>
      </c>
      <c r="F445" s="14" t="n">
        <v>3546400</v>
      </c>
      <c r="G445" t="n">
        <v>11</v>
      </c>
      <c r="H445" s="12" t="n">
        <v>46023</v>
      </c>
      <c r="I445" s="12" t="n">
        <v>46266</v>
      </c>
      <c r="J445" t="b">
        <v>0</v>
      </c>
      <c r="K445" s="13" t="n">
        <v>8.029999999999999</v>
      </c>
    </row>
    <row r="446">
      <c r="A446" t="inlineStr">
        <is>
          <t>NX-00442</t>
        </is>
      </c>
      <c r="B446" t="inlineStr">
        <is>
          <t>EMEA</t>
        </is>
      </c>
      <c r="C446" t="inlineStr">
        <is>
          <t>Europe</t>
        </is>
      </c>
      <c r="D446" s="12" t="n">
        <v>45689</v>
      </c>
      <c r="E446" s="13" t="n">
        <v>6.1</v>
      </c>
      <c r="F446" s="14" t="n">
        <v>536800</v>
      </c>
      <c r="G446" t="n">
        <v>5</v>
      </c>
      <c r="H446" s="12" t="n">
        <v>45839</v>
      </c>
      <c r="I446" s="12" t="n">
        <v>45839</v>
      </c>
      <c r="J446" t="b">
        <v>0</v>
      </c>
      <c r="K446" s="13" t="n">
        <v>0</v>
      </c>
    </row>
    <row r="447">
      <c r="A447" t="inlineStr">
        <is>
          <t>NX-00443</t>
        </is>
      </c>
      <c r="B447" t="inlineStr">
        <is>
          <t>APAC</t>
        </is>
      </c>
      <c r="C447" t="inlineStr">
        <is>
          <t>India</t>
        </is>
      </c>
      <c r="D447" s="12" t="n">
        <v>45689</v>
      </c>
      <c r="E447" s="13" t="n">
        <v>33.3</v>
      </c>
      <c r="F447" s="14" t="n">
        <v>2364300</v>
      </c>
      <c r="G447" t="n">
        <v>5</v>
      </c>
      <c r="H447" s="12" t="n">
        <v>45839</v>
      </c>
      <c r="I447" s="12" t="n">
        <v>45870</v>
      </c>
      <c r="J447" t="b">
        <v>0</v>
      </c>
      <c r="K447" s="13" t="n">
        <v>0.85</v>
      </c>
    </row>
    <row r="448">
      <c r="A448" t="inlineStr">
        <is>
          <t>NX-00444</t>
        </is>
      </c>
      <c r="B448" t="inlineStr">
        <is>
          <t>APAC</t>
        </is>
      </c>
      <c r="C448" t="inlineStr">
        <is>
          <t>India</t>
        </is>
      </c>
      <c r="D448" s="12" t="n">
        <v>45689</v>
      </c>
      <c r="E448" s="13" t="n">
        <v>14.2</v>
      </c>
      <c r="F448" s="14" t="n">
        <v>1008200</v>
      </c>
      <c r="G448" t="n">
        <v>8</v>
      </c>
      <c r="H448" s="12" t="n">
        <v>45931</v>
      </c>
      <c r="I448" s="12" t="n">
        <v>45931</v>
      </c>
      <c r="J448" t="b">
        <v>0</v>
      </c>
      <c r="K448" s="13" t="n">
        <v>0.31</v>
      </c>
    </row>
    <row r="449">
      <c r="A449" t="inlineStr">
        <is>
          <t>NX-00445</t>
        </is>
      </c>
      <c r="B449" t="inlineStr">
        <is>
          <t>APAC</t>
        </is>
      </c>
      <c r="C449" t="inlineStr">
        <is>
          <t>India</t>
        </is>
      </c>
      <c r="D449" s="12" t="n">
        <v>45689</v>
      </c>
      <c r="E449" s="13" t="n">
        <v>3.9</v>
      </c>
      <c r="F449" s="14" t="n">
        <v>276900</v>
      </c>
      <c r="G449" t="n">
        <v>7</v>
      </c>
      <c r="H449" s="12" t="n">
        <v>45901</v>
      </c>
      <c r="I449" s="12" t="n">
        <v>45901</v>
      </c>
      <c r="J449" t="b">
        <v>0</v>
      </c>
      <c r="K449" s="13" t="n">
        <v>0</v>
      </c>
    </row>
    <row r="450">
      <c r="A450" t="inlineStr">
        <is>
          <t>NX-00446</t>
        </is>
      </c>
      <c r="B450" t="inlineStr">
        <is>
          <t>APAC</t>
        </is>
      </c>
      <c r="C450" t="inlineStr">
        <is>
          <t>Australia/SEA</t>
        </is>
      </c>
      <c r="D450" s="12" t="n">
        <v>45689</v>
      </c>
      <c r="E450" s="13" t="n">
        <v>43.6</v>
      </c>
      <c r="F450" s="14" t="n">
        <v>3662400</v>
      </c>
      <c r="G450" t="n">
        <v>12</v>
      </c>
      <c r="H450" s="12" t="n">
        <v>46054</v>
      </c>
      <c r="I450" s="12" t="n">
        <v>46174</v>
      </c>
      <c r="J450" t="b">
        <v>0</v>
      </c>
      <c r="K450" s="13" t="n">
        <v>4.39</v>
      </c>
    </row>
    <row r="451">
      <c r="A451" t="inlineStr">
        <is>
          <t>NX-00447</t>
        </is>
      </c>
      <c r="B451" t="inlineStr">
        <is>
          <t>LATAM</t>
        </is>
      </c>
      <c r="C451" t="inlineStr">
        <is>
          <t>LATAM</t>
        </is>
      </c>
      <c r="D451" s="12" t="n">
        <v>45689</v>
      </c>
      <c r="E451" s="13" t="n">
        <v>17.1</v>
      </c>
      <c r="F451" s="14" t="n">
        <v>1350900</v>
      </c>
      <c r="G451" t="n">
        <v>5</v>
      </c>
      <c r="H451" s="12" t="n">
        <v>45839</v>
      </c>
      <c r="I451" s="12" t="n">
        <v>45931</v>
      </c>
      <c r="J451" t="b">
        <v>0</v>
      </c>
      <c r="K451" s="13" t="n">
        <v>2.78</v>
      </c>
    </row>
    <row r="452">
      <c r="A452" t="inlineStr">
        <is>
          <t>NX-00448</t>
        </is>
      </c>
      <c r="B452" t="inlineStr">
        <is>
          <t>LATAM</t>
        </is>
      </c>
      <c r="C452" t="inlineStr">
        <is>
          <t>LATAM</t>
        </is>
      </c>
      <c r="D452" s="12" t="n">
        <v>45689</v>
      </c>
      <c r="E452" s="13" t="n">
        <v>5.8</v>
      </c>
      <c r="F452" s="14" t="n">
        <v>458200</v>
      </c>
      <c r="G452" t="n">
        <v>13</v>
      </c>
      <c r="H452" s="12" t="n">
        <v>46082</v>
      </c>
      <c r="I452" s="12" t="n">
        <v>46113</v>
      </c>
      <c r="J452" t="b">
        <v>0</v>
      </c>
      <c r="K452" s="13" t="n">
        <v>1.31</v>
      </c>
    </row>
    <row r="453">
      <c r="A453" t="inlineStr">
        <is>
          <t>NX-00449</t>
        </is>
      </c>
      <c r="B453" t="inlineStr">
        <is>
          <t>LATAM</t>
        </is>
      </c>
      <c r="C453" t="inlineStr">
        <is>
          <t>LATAM</t>
        </is>
      </c>
      <c r="D453" s="12" t="n">
        <v>45689</v>
      </c>
      <c r="E453" s="13" t="n">
        <v>7.1</v>
      </c>
      <c r="F453" s="14" t="n">
        <v>560900</v>
      </c>
      <c r="G453" t="n">
        <v>9</v>
      </c>
      <c r="H453" s="12" t="n">
        <v>45962</v>
      </c>
      <c r="I453" s="12" t="n">
        <v>46143</v>
      </c>
      <c r="J453" t="b">
        <v>0</v>
      </c>
      <c r="K453" s="13" t="n">
        <v>5.61</v>
      </c>
    </row>
    <row r="454">
      <c r="A454" t="inlineStr">
        <is>
          <t>NX-00450</t>
        </is>
      </c>
      <c r="B454" t="inlineStr">
        <is>
          <t>North America</t>
        </is>
      </c>
      <c r="C454" t="inlineStr">
        <is>
          <t>US / Canada</t>
        </is>
      </c>
      <c r="D454" s="12" t="n">
        <v>45717</v>
      </c>
      <c r="E454" s="13" t="n">
        <v>14.4</v>
      </c>
      <c r="F454" s="14" t="n">
        <v>1195200</v>
      </c>
      <c r="G454" t="n">
        <v>5</v>
      </c>
      <c r="H454" s="12" t="n">
        <v>45870</v>
      </c>
      <c r="I454" s="12" t="n">
        <v>45962</v>
      </c>
      <c r="J454" t="b">
        <v>0</v>
      </c>
      <c r="K454" s="13" t="n">
        <v>2.72</v>
      </c>
    </row>
    <row r="455">
      <c r="A455" t="inlineStr">
        <is>
          <t>NX-00451</t>
        </is>
      </c>
      <c r="B455" t="inlineStr">
        <is>
          <t>North America</t>
        </is>
      </c>
      <c r="C455" t="inlineStr">
        <is>
          <t>US / Canada</t>
        </is>
      </c>
      <c r="D455" s="12" t="n">
        <v>45717</v>
      </c>
      <c r="E455" s="13" t="n">
        <v>8.5</v>
      </c>
      <c r="F455" s="14" t="n">
        <v>705500</v>
      </c>
      <c r="G455" t="n">
        <v>5</v>
      </c>
      <c r="H455" s="12" t="n">
        <v>45870</v>
      </c>
      <c r="I455" s="12" t="n">
        <v>45870</v>
      </c>
      <c r="J455" t="b">
        <v>0</v>
      </c>
      <c r="K455" s="13" t="n">
        <v>0</v>
      </c>
    </row>
    <row r="456">
      <c r="A456" t="inlineStr">
        <is>
          <t>NX-00452</t>
        </is>
      </c>
      <c r="B456" t="inlineStr">
        <is>
          <t>North America</t>
        </is>
      </c>
      <c r="C456" t="inlineStr">
        <is>
          <t>US / Canada</t>
        </is>
      </c>
      <c r="D456" s="12" t="n">
        <v>45717</v>
      </c>
      <c r="E456" s="13" t="n">
        <v>6.7</v>
      </c>
      <c r="F456" s="14" t="n">
        <v>556100</v>
      </c>
      <c r="G456" t="n">
        <v>13</v>
      </c>
      <c r="H456" s="12" t="n">
        <v>46113</v>
      </c>
      <c r="I456" s="12" t="n">
        <v>46113</v>
      </c>
      <c r="J456" t="b">
        <v>0</v>
      </c>
      <c r="K456" s="13" t="n">
        <v>0.01</v>
      </c>
    </row>
    <row r="457">
      <c r="A457" t="inlineStr">
        <is>
          <t>NX-00453</t>
        </is>
      </c>
      <c r="B457" t="inlineStr">
        <is>
          <t>North America</t>
        </is>
      </c>
      <c r="C457" t="inlineStr">
        <is>
          <t>US / Canada</t>
        </is>
      </c>
      <c r="D457" s="12" t="n">
        <v>45717</v>
      </c>
      <c r="E457" s="13" t="n">
        <v>9.9</v>
      </c>
      <c r="F457" s="14" t="n">
        <v>821700</v>
      </c>
      <c r="G457" t="n">
        <v>18</v>
      </c>
      <c r="H457" s="12" t="n">
        <v>46266</v>
      </c>
      <c r="I457" s="12" t="n">
        <v>46266</v>
      </c>
      <c r="J457" t="b">
        <v>0</v>
      </c>
      <c r="K457" s="13" t="n">
        <v>0.03</v>
      </c>
    </row>
    <row r="458">
      <c r="A458" t="inlineStr">
        <is>
          <t>NX-00454</t>
        </is>
      </c>
      <c r="B458" t="inlineStr">
        <is>
          <t>North America</t>
        </is>
      </c>
      <c r="C458" t="inlineStr">
        <is>
          <t>US / Canada</t>
        </is>
      </c>
      <c r="D458" s="12" t="n">
        <v>45717</v>
      </c>
      <c r="E458" s="13" t="n">
        <v>24.7</v>
      </c>
      <c r="F458" s="14" t="n">
        <v>2050100</v>
      </c>
      <c r="G458" t="n">
        <v>10</v>
      </c>
      <c r="H458" s="12" t="n">
        <v>46023</v>
      </c>
      <c r="I458" s="12" t="n">
        <v>46023</v>
      </c>
      <c r="J458" t="b">
        <v>0</v>
      </c>
      <c r="K458" s="13" t="n">
        <v>0.26</v>
      </c>
    </row>
    <row r="459">
      <c r="A459" t="inlineStr">
        <is>
          <t>NX-00455</t>
        </is>
      </c>
      <c r="B459" t="inlineStr">
        <is>
          <t>North America</t>
        </is>
      </c>
      <c r="C459" t="inlineStr">
        <is>
          <t>US / Canada</t>
        </is>
      </c>
      <c r="D459" s="12" t="n">
        <v>45717</v>
      </c>
      <c r="E459" s="13" t="n">
        <v>31.3</v>
      </c>
      <c r="F459" s="14" t="n">
        <v>2597900</v>
      </c>
      <c r="G459" t="n">
        <v>6</v>
      </c>
      <c r="H459" s="12" t="n">
        <v>45901</v>
      </c>
      <c r="I459" s="12" t="n">
        <v>45901</v>
      </c>
      <c r="J459" t="b">
        <v>0</v>
      </c>
      <c r="K459" s="13" t="n">
        <v>0.01</v>
      </c>
    </row>
    <row r="460">
      <c r="A460" t="inlineStr">
        <is>
          <t>NX-00456</t>
        </is>
      </c>
      <c r="B460" t="inlineStr">
        <is>
          <t>North America</t>
        </is>
      </c>
      <c r="C460" t="inlineStr">
        <is>
          <t>US / Canada</t>
        </is>
      </c>
      <c r="D460" s="12" t="n">
        <v>45717</v>
      </c>
      <c r="E460" s="13" t="n">
        <v>15.2</v>
      </c>
      <c r="F460" s="14" t="n">
        <v>1261600</v>
      </c>
      <c r="G460" t="n">
        <v>10</v>
      </c>
      <c r="H460" s="12" t="n">
        <v>46023</v>
      </c>
      <c r="I460" s="12" t="n">
        <v>46023</v>
      </c>
      <c r="J460" t="b">
        <v>0</v>
      </c>
      <c r="K460" s="13" t="n">
        <v>0.45</v>
      </c>
    </row>
    <row r="461">
      <c r="A461" t="inlineStr">
        <is>
          <t>NX-00457</t>
        </is>
      </c>
      <c r="B461" t="inlineStr">
        <is>
          <t>North America</t>
        </is>
      </c>
      <c r="C461" t="inlineStr">
        <is>
          <t>US / Canada</t>
        </is>
      </c>
      <c r="D461" s="12" t="n">
        <v>45717</v>
      </c>
      <c r="E461" s="13" t="n">
        <v>31.8</v>
      </c>
      <c r="F461" s="14" t="n">
        <v>2639400</v>
      </c>
      <c r="G461" t="n">
        <v>5</v>
      </c>
      <c r="H461" s="12" t="n">
        <v>45870</v>
      </c>
      <c r="I461" s="12" t="n">
        <v>45870</v>
      </c>
      <c r="J461" t="b">
        <v>0</v>
      </c>
      <c r="K461" s="13" t="n">
        <v>0</v>
      </c>
    </row>
    <row r="462">
      <c r="A462" t="inlineStr">
        <is>
          <t>NX-00458</t>
        </is>
      </c>
      <c r="B462" t="inlineStr">
        <is>
          <t>North America</t>
        </is>
      </c>
      <c r="C462" t="inlineStr">
        <is>
          <t>US / Canada</t>
        </is>
      </c>
      <c r="D462" s="12" t="n">
        <v>45717</v>
      </c>
      <c r="E462" s="13" t="n">
        <v>13.2</v>
      </c>
      <c r="F462" s="14" t="n">
        <v>1095600</v>
      </c>
      <c r="G462" t="n">
        <v>5</v>
      </c>
      <c r="H462" s="12" t="n">
        <v>45870</v>
      </c>
      <c r="I462" s="12" t="n">
        <v>45870</v>
      </c>
      <c r="J462" t="b">
        <v>0</v>
      </c>
      <c r="K462" s="13" t="n">
        <v>0</v>
      </c>
    </row>
    <row r="463">
      <c r="A463" t="inlineStr">
        <is>
          <t>NX-00459</t>
        </is>
      </c>
      <c r="B463" t="inlineStr">
        <is>
          <t>North America</t>
        </is>
      </c>
      <c r="C463" t="inlineStr">
        <is>
          <t>US / Canada</t>
        </is>
      </c>
      <c r="D463" s="12" t="n">
        <v>45717</v>
      </c>
      <c r="E463" s="13" t="n">
        <v>12.8</v>
      </c>
      <c r="F463" s="14" t="n">
        <v>1062400</v>
      </c>
      <c r="G463" t="n">
        <v>5</v>
      </c>
      <c r="H463" s="12" t="n">
        <v>45870</v>
      </c>
      <c r="I463" s="12" t="n">
        <v>45870</v>
      </c>
      <c r="J463" t="b">
        <v>0</v>
      </c>
      <c r="K463" s="13" t="n">
        <v>0</v>
      </c>
    </row>
    <row r="464">
      <c r="A464" t="inlineStr">
        <is>
          <t>NX-00460</t>
        </is>
      </c>
      <c r="B464" t="inlineStr">
        <is>
          <t>North America</t>
        </is>
      </c>
      <c r="C464" t="inlineStr">
        <is>
          <t>US / Canada</t>
        </is>
      </c>
      <c r="D464" s="12" t="n">
        <v>45717</v>
      </c>
      <c r="E464" s="13" t="n">
        <v>14.9</v>
      </c>
      <c r="F464" s="14" t="n">
        <v>1236700</v>
      </c>
      <c r="G464" t="n">
        <v>9</v>
      </c>
      <c r="H464" s="12" t="n">
        <v>45992</v>
      </c>
      <c r="I464" s="12" t="n">
        <v>45992</v>
      </c>
      <c r="J464" t="b">
        <v>0</v>
      </c>
      <c r="K464" s="13" t="n">
        <v>0</v>
      </c>
    </row>
    <row r="465">
      <c r="A465" t="inlineStr">
        <is>
          <t>NX-00461</t>
        </is>
      </c>
      <c r="B465" t="inlineStr">
        <is>
          <t>North America</t>
        </is>
      </c>
      <c r="C465" t="inlineStr">
        <is>
          <t>US / Canada</t>
        </is>
      </c>
      <c r="D465" s="12" t="n">
        <v>45717</v>
      </c>
      <c r="E465" s="13" t="n">
        <v>7.4</v>
      </c>
      <c r="F465" s="14" t="n">
        <v>614200</v>
      </c>
      <c r="G465" t="n">
        <v>5</v>
      </c>
      <c r="H465" s="12" t="n">
        <v>45870</v>
      </c>
      <c r="I465" s="12" t="n">
        <v>45870</v>
      </c>
      <c r="J465" t="b">
        <v>0</v>
      </c>
      <c r="K465" s="13" t="n">
        <v>0.36</v>
      </c>
    </row>
    <row r="466">
      <c r="A466" t="inlineStr">
        <is>
          <t>NX-00462</t>
        </is>
      </c>
      <c r="B466" t="inlineStr">
        <is>
          <t>North America</t>
        </is>
      </c>
      <c r="C466" t="inlineStr">
        <is>
          <t>US / Canada</t>
        </is>
      </c>
      <c r="D466" s="12" t="n">
        <v>45717</v>
      </c>
      <c r="E466" s="13" t="n">
        <v>38.7</v>
      </c>
      <c r="F466" s="14" t="n">
        <v>3212100</v>
      </c>
      <c r="G466" t="n">
        <v>10</v>
      </c>
      <c r="H466" s="12" t="n">
        <v>46023</v>
      </c>
      <c r="I466" s="12" t="n">
        <v>46054</v>
      </c>
      <c r="J466" t="b">
        <v>0</v>
      </c>
      <c r="K466" s="13" t="n">
        <v>1.11</v>
      </c>
    </row>
    <row r="467">
      <c r="A467" t="inlineStr">
        <is>
          <t>NX-00463</t>
        </is>
      </c>
      <c r="B467" t="inlineStr">
        <is>
          <t>North America</t>
        </is>
      </c>
      <c r="C467" t="inlineStr">
        <is>
          <t>US / Canada</t>
        </is>
      </c>
      <c r="D467" s="12" t="n">
        <v>45717</v>
      </c>
      <c r="E467" s="13" t="n">
        <v>4.3</v>
      </c>
      <c r="F467" s="14" t="n">
        <v>356900</v>
      </c>
      <c r="G467" t="n">
        <v>9</v>
      </c>
      <c r="H467" s="12" t="n">
        <v>45992</v>
      </c>
      <c r="I467" s="12" t="n">
        <v>45992</v>
      </c>
      <c r="J467" t="b">
        <v>0</v>
      </c>
      <c r="K467" s="13" t="n">
        <v>0.1</v>
      </c>
    </row>
    <row r="468">
      <c r="A468" t="inlineStr">
        <is>
          <t>NX-00464</t>
        </is>
      </c>
      <c r="B468" t="inlineStr">
        <is>
          <t>North America</t>
        </is>
      </c>
      <c r="C468" t="inlineStr">
        <is>
          <t>US / Canada</t>
        </is>
      </c>
      <c r="D468" s="12" t="n">
        <v>45717</v>
      </c>
      <c r="E468" s="13" t="n">
        <v>19.9</v>
      </c>
      <c r="F468" s="14" t="n">
        <v>1651700</v>
      </c>
      <c r="G468" t="n">
        <v>8</v>
      </c>
      <c r="H468" s="12" t="n">
        <v>45962</v>
      </c>
      <c r="I468" s="12" t="n">
        <v>46054</v>
      </c>
      <c r="J468" t="b">
        <v>0</v>
      </c>
      <c r="K468" s="13" t="n">
        <v>2.93</v>
      </c>
    </row>
    <row r="469">
      <c r="A469" t="inlineStr">
        <is>
          <t>NX-00465</t>
        </is>
      </c>
      <c r="B469" t="inlineStr">
        <is>
          <t>North America</t>
        </is>
      </c>
      <c r="C469" t="inlineStr">
        <is>
          <t>US / Canada</t>
        </is>
      </c>
      <c r="D469" s="12" t="n">
        <v>45717</v>
      </c>
      <c r="E469" s="13" t="n">
        <v>11.5</v>
      </c>
      <c r="F469" s="14" t="n">
        <v>954500</v>
      </c>
      <c r="G469" t="n">
        <v>5</v>
      </c>
      <c r="H469" s="12" t="n">
        <v>45870</v>
      </c>
      <c r="I469" s="12" t="n">
        <v>45870</v>
      </c>
      <c r="J469" t="b">
        <v>0</v>
      </c>
      <c r="K469" s="13" t="n">
        <v>0.11</v>
      </c>
    </row>
    <row r="470">
      <c r="A470" t="inlineStr">
        <is>
          <t>NX-00466</t>
        </is>
      </c>
      <c r="B470" t="inlineStr">
        <is>
          <t>North America</t>
        </is>
      </c>
      <c r="C470" t="inlineStr">
        <is>
          <t>US / Canada</t>
        </is>
      </c>
      <c r="D470" s="12" t="n">
        <v>45717</v>
      </c>
      <c r="E470" s="13" t="n">
        <v>5.4</v>
      </c>
      <c r="F470" s="14" t="n">
        <v>448200.0000000001</v>
      </c>
      <c r="G470" t="n">
        <v>13</v>
      </c>
      <c r="H470" s="12" t="n">
        <v>46113</v>
      </c>
      <c r="I470" s="12" t="n">
        <v>46113</v>
      </c>
      <c r="J470" t="b">
        <v>0</v>
      </c>
      <c r="K470" s="13" t="n">
        <v>0</v>
      </c>
    </row>
    <row r="471">
      <c r="A471" t="inlineStr">
        <is>
          <t>NX-00467</t>
        </is>
      </c>
      <c r="B471" t="inlineStr">
        <is>
          <t>North America</t>
        </is>
      </c>
      <c r="C471" t="inlineStr">
        <is>
          <t>US / Canada</t>
        </is>
      </c>
      <c r="D471" s="12" t="n">
        <v>45717</v>
      </c>
      <c r="E471" s="13" t="n">
        <v>22.8</v>
      </c>
      <c r="F471" s="14" t="n">
        <v>1892400</v>
      </c>
      <c r="G471" t="n">
        <v>6</v>
      </c>
      <c r="H471" s="12" t="n">
        <v>45901</v>
      </c>
      <c r="I471" s="12" t="n">
        <v>45901</v>
      </c>
      <c r="J471" t="b">
        <v>0</v>
      </c>
      <c r="K471" s="13" t="n">
        <v>0</v>
      </c>
    </row>
    <row r="472">
      <c r="A472" t="inlineStr">
        <is>
          <t>NX-00468</t>
        </is>
      </c>
      <c r="B472" t="inlineStr">
        <is>
          <t>North America</t>
        </is>
      </c>
      <c r="C472" t="inlineStr">
        <is>
          <t>US / Canada</t>
        </is>
      </c>
      <c r="D472" s="12" t="n">
        <v>45717</v>
      </c>
      <c r="E472" s="13" t="n">
        <v>25.2</v>
      </c>
      <c r="F472" s="14" t="n">
        <v>2091600</v>
      </c>
      <c r="G472" t="n">
        <v>6</v>
      </c>
      <c r="H472" s="12" t="n">
        <v>45901</v>
      </c>
      <c r="I472" s="12" t="n">
        <v>45901</v>
      </c>
      <c r="J472" t="b">
        <v>0</v>
      </c>
      <c r="K472" s="13" t="n">
        <v>0.03</v>
      </c>
    </row>
    <row r="473">
      <c r="A473" t="inlineStr">
        <is>
          <t>NX-00469</t>
        </is>
      </c>
      <c r="B473" t="inlineStr">
        <is>
          <t>North America</t>
        </is>
      </c>
      <c r="C473" t="inlineStr">
        <is>
          <t>US / Canada</t>
        </is>
      </c>
      <c r="D473" s="12" t="n">
        <v>45717</v>
      </c>
      <c r="E473" s="13" t="n">
        <v>13.3</v>
      </c>
      <c r="F473" s="14" t="n">
        <v>1103900</v>
      </c>
      <c r="G473" t="n">
        <v>11</v>
      </c>
      <c r="H473" s="12" t="n">
        <v>46054</v>
      </c>
      <c r="I473" s="12" t="n">
        <v>46054</v>
      </c>
      <c r="J473" t="b">
        <v>0</v>
      </c>
      <c r="K473" s="13" t="n">
        <v>0</v>
      </c>
    </row>
    <row r="474">
      <c r="A474" t="inlineStr">
        <is>
          <t>NX-00470</t>
        </is>
      </c>
      <c r="B474" t="inlineStr">
        <is>
          <t>North America</t>
        </is>
      </c>
      <c r="C474" t="inlineStr">
        <is>
          <t>US / Canada</t>
        </is>
      </c>
      <c r="D474" s="12" t="n">
        <v>45717</v>
      </c>
      <c r="E474" s="13" t="n">
        <v>3</v>
      </c>
      <c r="F474" s="14" t="n">
        <v>249000</v>
      </c>
      <c r="G474" t="n">
        <v>7</v>
      </c>
      <c r="H474" s="12" t="n">
        <v>45931</v>
      </c>
      <c r="I474" s="12" t="n">
        <v>45931</v>
      </c>
      <c r="J474" t="b">
        <v>0</v>
      </c>
      <c r="K474" s="13" t="n">
        <v>0</v>
      </c>
    </row>
    <row r="475">
      <c r="A475" t="inlineStr">
        <is>
          <t>NX-00471</t>
        </is>
      </c>
      <c r="B475" t="inlineStr">
        <is>
          <t>North America</t>
        </is>
      </c>
      <c r="C475" t="inlineStr">
        <is>
          <t>US / Canada</t>
        </is>
      </c>
      <c r="D475" s="12" t="n">
        <v>45717</v>
      </c>
      <c r="E475" s="13" t="n">
        <v>6.7</v>
      </c>
      <c r="F475" s="14" t="n">
        <v>556100</v>
      </c>
      <c r="G475" t="n">
        <v>8</v>
      </c>
      <c r="H475" s="12" t="n">
        <v>45962</v>
      </c>
      <c r="I475" s="12" t="n">
        <v>45962</v>
      </c>
      <c r="J475" t="b">
        <v>0</v>
      </c>
      <c r="K475" s="13" t="n">
        <v>0.02</v>
      </c>
    </row>
    <row r="476">
      <c r="A476" t="inlineStr">
        <is>
          <t>NX-00472</t>
        </is>
      </c>
      <c r="B476" t="inlineStr">
        <is>
          <t>North America</t>
        </is>
      </c>
      <c r="C476" t="inlineStr">
        <is>
          <t>US / Canada</t>
        </is>
      </c>
      <c r="D476" s="12" t="n">
        <v>45717</v>
      </c>
      <c r="E476" s="13" t="n">
        <v>14.8</v>
      </c>
      <c r="F476" s="14" t="n">
        <v>1228400</v>
      </c>
      <c r="G476" t="n">
        <v>5</v>
      </c>
      <c r="H476" s="12" t="n">
        <v>45870</v>
      </c>
      <c r="I476" s="12" t="n">
        <v>45901</v>
      </c>
      <c r="J476" t="b">
        <v>0</v>
      </c>
      <c r="K476" s="13" t="n">
        <v>1.21</v>
      </c>
    </row>
    <row r="477">
      <c r="A477" t="inlineStr">
        <is>
          <t>NX-00473</t>
        </is>
      </c>
      <c r="B477" t="inlineStr">
        <is>
          <t>North America</t>
        </is>
      </c>
      <c r="C477" t="inlineStr">
        <is>
          <t>US / Canada</t>
        </is>
      </c>
      <c r="D477" s="12" t="n">
        <v>45717</v>
      </c>
      <c r="E477" s="13" t="n">
        <v>31</v>
      </c>
      <c r="F477" s="14" t="n">
        <v>2573000</v>
      </c>
      <c r="G477" t="n">
        <v>7</v>
      </c>
      <c r="H477" s="12" t="n">
        <v>45931</v>
      </c>
      <c r="I477" s="12" t="n">
        <v>45931</v>
      </c>
      <c r="J477" t="b">
        <v>0</v>
      </c>
      <c r="K477" s="13" t="n">
        <v>0.08</v>
      </c>
    </row>
    <row r="478">
      <c r="A478" t="inlineStr">
        <is>
          <t>NX-00474</t>
        </is>
      </c>
      <c r="B478" t="inlineStr">
        <is>
          <t>North America</t>
        </is>
      </c>
      <c r="C478" t="inlineStr">
        <is>
          <t>US / Canada</t>
        </is>
      </c>
      <c r="D478" s="12" t="n">
        <v>45717</v>
      </c>
      <c r="E478" s="13" t="n">
        <v>7.1</v>
      </c>
      <c r="F478" s="14" t="n">
        <v>589300</v>
      </c>
      <c r="G478" t="n">
        <v>7</v>
      </c>
      <c r="H478" s="12" t="n">
        <v>45931</v>
      </c>
      <c r="I478" s="12" t="n">
        <v>45931</v>
      </c>
      <c r="J478" t="b">
        <v>0</v>
      </c>
      <c r="K478" s="13" t="n">
        <v>0.15</v>
      </c>
    </row>
    <row r="479">
      <c r="A479" t="inlineStr">
        <is>
          <t>NX-00475</t>
        </is>
      </c>
      <c r="B479" t="inlineStr">
        <is>
          <t>North America</t>
        </is>
      </c>
      <c r="C479" t="inlineStr">
        <is>
          <t>US / Canada</t>
        </is>
      </c>
      <c r="D479" s="12" t="n">
        <v>45717</v>
      </c>
      <c r="E479" s="13" t="n">
        <v>5.4</v>
      </c>
      <c r="F479" s="14" t="n">
        <v>448200.0000000001</v>
      </c>
      <c r="G479" t="n">
        <v>5</v>
      </c>
      <c r="H479" s="12" t="n">
        <v>45870</v>
      </c>
      <c r="I479" s="12" t="n">
        <v>45870</v>
      </c>
      <c r="J479" t="b">
        <v>0</v>
      </c>
      <c r="K479" s="13" t="n">
        <v>0.01</v>
      </c>
    </row>
    <row r="480">
      <c r="A480" t="inlineStr">
        <is>
          <t>NX-00476</t>
        </is>
      </c>
      <c r="B480" t="inlineStr">
        <is>
          <t>North America</t>
        </is>
      </c>
      <c r="C480" t="inlineStr">
        <is>
          <t>US / Canada</t>
        </is>
      </c>
      <c r="D480" s="12" t="n">
        <v>45717</v>
      </c>
      <c r="E480" s="13" t="n">
        <v>4.8</v>
      </c>
      <c r="F480" s="14" t="n">
        <v>398400</v>
      </c>
      <c r="G480" t="n">
        <v>6</v>
      </c>
      <c r="H480" s="12" t="n">
        <v>45901</v>
      </c>
      <c r="I480" s="12" t="n">
        <v>45901</v>
      </c>
      <c r="J480" t="b">
        <v>0</v>
      </c>
      <c r="K480" s="13" t="n">
        <v>0.01</v>
      </c>
    </row>
    <row r="481">
      <c r="A481" t="inlineStr">
        <is>
          <t>NX-00477</t>
        </is>
      </c>
      <c r="B481" t="inlineStr">
        <is>
          <t>North America</t>
        </is>
      </c>
      <c r="C481" t="inlineStr">
        <is>
          <t>US / Canada</t>
        </is>
      </c>
      <c r="D481" s="12" t="n">
        <v>45717</v>
      </c>
      <c r="E481" s="13" t="n">
        <v>9</v>
      </c>
      <c r="F481" s="14" t="n">
        <v>747000</v>
      </c>
      <c r="G481" t="n">
        <v>18</v>
      </c>
      <c r="H481" s="12" t="n">
        <v>46266</v>
      </c>
      <c r="I481" s="12" t="n">
        <v>46266</v>
      </c>
      <c r="J481" t="b">
        <v>0</v>
      </c>
      <c r="K481" s="13" t="n">
        <v>0.12</v>
      </c>
    </row>
    <row r="482">
      <c r="A482" t="inlineStr">
        <is>
          <t>NX-00478</t>
        </is>
      </c>
      <c r="B482" t="inlineStr">
        <is>
          <t>North America</t>
        </is>
      </c>
      <c r="C482" t="inlineStr">
        <is>
          <t>US / Canada</t>
        </is>
      </c>
      <c r="D482" s="12" t="n">
        <v>45717</v>
      </c>
      <c r="E482" s="13" t="n">
        <v>11.3</v>
      </c>
      <c r="F482" s="14" t="n">
        <v>937900</v>
      </c>
      <c r="G482" t="n">
        <v>7</v>
      </c>
      <c r="H482" s="12" t="n">
        <v>45931</v>
      </c>
      <c r="I482" s="12" t="n">
        <v>45931</v>
      </c>
      <c r="J482" t="b">
        <v>0</v>
      </c>
      <c r="K482" s="13" t="n">
        <v>0.08</v>
      </c>
    </row>
    <row r="483">
      <c r="A483" t="inlineStr">
        <is>
          <t>NX-00479</t>
        </is>
      </c>
      <c r="B483" t="inlineStr">
        <is>
          <t>North America</t>
        </is>
      </c>
      <c r="C483" t="inlineStr">
        <is>
          <t>US / Canada</t>
        </is>
      </c>
      <c r="D483" s="12" t="n">
        <v>45717</v>
      </c>
      <c r="E483" s="13" t="n">
        <v>31.7</v>
      </c>
      <c r="F483" s="14" t="n">
        <v>2631100</v>
      </c>
      <c r="G483" t="n">
        <v>10</v>
      </c>
      <c r="H483" s="12" t="n">
        <v>46023</v>
      </c>
      <c r="I483" s="12" t="n">
        <v>46023</v>
      </c>
      <c r="J483" t="b">
        <v>0</v>
      </c>
      <c r="K483" s="13" t="n">
        <v>0</v>
      </c>
    </row>
    <row r="484">
      <c r="A484" t="inlineStr">
        <is>
          <t>NX-00480</t>
        </is>
      </c>
      <c r="B484" t="inlineStr">
        <is>
          <t>EMEA</t>
        </is>
      </c>
      <c r="C484" t="inlineStr">
        <is>
          <t>Europe</t>
        </is>
      </c>
      <c r="D484" s="12" t="n">
        <v>45717</v>
      </c>
      <c r="E484" s="13" t="n">
        <v>6.6</v>
      </c>
      <c r="F484" s="14" t="n">
        <v>580800</v>
      </c>
      <c r="G484" t="n">
        <v>5</v>
      </c>
      <c r="H484" s="12" t="n">
        <v>45870</v>
      </c>
      <c r="I484" s="12" t="n">
        <v>45962</v>
      </c>
      <c r="J484" t="b">
        <v>0</v>
      </c>
      <c r="K484" s="13" t="n">
        <v>2.89</v>
      </c>
    </row>
    <row r="485">
      <c r="A485" t="inlineStr">
        <is>
          <t>NX-00481</t>
        </is>
      </c>
      <c r="B485" t="inlineStr">
        <is>
          <t>EMEA</t>
        </is>
      </c>
      <c r="C485" t="inlineStr">
        <is>
          <t>Europe</t>
        </is>
      </c>
      <c r="D485" s="12" t="n">
        <v>45717</v>
      </c>
      <c r="E485" s="13" t="n">
        <v>4.6</v>
      </c>
      <c r="F485" s="14" t="n">
        <v>404800</v>
      </c>
      <c r="G485" t="n">
        <v>5</v>
      </c>
      <c r="H485" s="12" t="n">
        <v>45870</v>
      </c>
      <c r="I485" s="12" t="n">
        <v>45870</v>
      </c>
      <c r="J485" t="b">
        <v>0</v>
      </c>
      <c r="K485" s="13" t="n">
        <v>0.31</v>
      </c>
    </row>
    <row r="486">
      <c r="A486" t="inlineStr">
        <is>
          <t>NX-00482</t>
        </is>
      </c>
      <c r="B486" t="inlineStr">
        <is>
          <t>EMEA</t>
        </is>
      </c>
      <c r="C486" t="inlineStr">
        <is>
          <t>Europe</t>
        </is>
      </c>
      <c r="D486" s="12" t="n">
        <v>45717</v>
      </c>
      <c r="E486" s="13" t="n">
        <v>23.7</v>
      </c>
      <c r="F486" s="14" t="n">
        <v>2085600</v>
      </c>
      <c r="G486" t="n">
        <v>9</v>
      </c>
      <c r="H486" s="12" t="n">
        <v>45992</v>
      </c>
      <c r="I486" s="12" t="n">
        <v>45992</v>
      </c>
      <c r="J486" t="b">
        <v>0</v>
      </c>
      <c r="K486" s="13" t="n">
        <v>0.07000000000000001</v>
      </c>
    </row>
    <row r="487">
      <c r="A487" t="inlineStr">
        <is>
          <t>NX-00483</t>
        </is>
      </c>
      <c r="B487" t="inlineStr">
        <is>
          <t>EMEA</t>
        </is>
      </c>
      <c r="C487" t="inlineStr">
        <is>
          <t>Europe</t>
        </is>
      </c>
      <c r="D487" s="12" t="n">
        <v>45717</v>
      </c>
      <c r="E487" s="13" t="n">
        <v>20</v>
      </c>
      <c r="F487" s="14" t="n">
        <v>1760000</v>
      </c>
      <c r="G487" t="n">
        <v>5</v>
      </c>
      <c r="H487" s="12" t="n">
        <v>45870</v>
      </c>
      <c r="I487" s="12" t="n">
        <v>45870</v>
      </c>
      <c r="J487" t="b">
        <v>0</v>
      </c>
      <c r="K487" s="13" t="n">
        <v>0.11</v>
      </c>
    </row>
    <row r="488">
      <c r="A488" t="inlineStr">
        <is>
          <t>NX-00484</t>
        </is>
      </c>
      <c r="B488" t="inlineStr">
        <is>
          <t>EMEA</t>
        </is>
      </c>
      <c r="C488" t="inlineStr">
        <is>
          <t>MENA</t>
        </is>
      </c>
      <c r="D488" s="12" t="n">
        <v>45717</v>
      </c>
      <c r="E488" s="13" t="n">
        <v>6.4</v>
      </c>
      <c r="F488" s="14" t="n">
        <v>518400</v>
      </c>
      <c r="G488" t="n">
        <v>12</v>
      </c>
      <c r="H488" s="12" t="n">
        <v>46082</v>
      </c>
      <c r="I488" s="12" t="n">
        <v>46113</v>
      </c>
      <c r="J488" t="b">
        <v>0</v>
      </c>
      <c r="K488" s="13" t="n">
        <v>0.89</v>
      </c>
    </row>
    <row r="489">
      <c r="A489" t="inlineStr">
        <is>
          <t>NX-00485</t>
        </is>
      </c>
      <c r="B489" t="inlineStr">
        <is>
          <t>EMEA</t>
        </is>
      </c>
      <c r="C489" t="inlineStr">
        <is>
          <t>MENA</t>
        </is>
      </c>
      <c r="D489" s="12" t="n">
        <v>45717</v>
      </c>
      <c r="E489" s="13" t="n">
        <v>26.4</v>
      </c>
      <c r="F489" s="14" t="n">
        <v>2138400</v>
      </c>
      <c r="G489" t="n">
        <v>5</v>
      </c>
      <c r="H489" s="12" t="n">
        <v>45870</v>
      </c>
      <c r="I489" s="12" t="n">
        <v>45901</v>
      </c>
      <c r="J489" t="b">
        <v>0</v>
      </c>
      <c r="K489" s="13" t="n">
        <v>0.98</v>
      </c>
    </row>
    <row r="490">
      <c r="A490" t="inlineStr">
        <is>
          <t>NX-00486</t>
        </is>
      </c>
      <c r="B490" t="inlineStr">
        <is>
          <t>EMEA</t>
        </is>
      </c>
      <c r="C490" t="inlineStr">
        <is>
          <t>MENA</t>
        </is>
      </c>
      <c r="D490" s="12" t="n">
        <v>45717</v>
      </c>
      <c r="E490" s="13" t="n">
        <v>18.1</v>
      </c>
      <c r="F490" s="14" t="n">
        <v>1466100</v>
      </c>
      <c r="G490" t="n">
        <v>17</v>
      </c>
      <c r="H490" s="12" t="n">
        <v>46235</v>
      </c>
      <c r="I490" s="12" t="n">
        <v>46600</v>
      </c>
      <c r="J490" t="b">
        <v>0</v>
      </c>
      <c r="K490" s="13" t="n">
        <v>11.55</v>
      </c>
    </row>
    <row r="491">
      <c r="A491" t="inlineStr">
        <is>
          <t>NX-00487</t>
        </is>
      </c>
      <c r="B491" t="inlineStr">
        <is>
          <t>EMEA</t>
        </is>
      </c>
      <c r="C491" t="inlineStr">
        <is>
          <t>MENA</t>
        </is>
      </c>
      <c r="D491" s="12" t="n">
        <v>45717</v>
      </c>
      <c r="E491" s="13" t="n">
        <v>12.5</v>
      </c>
      <c r="F491" s="14" t="n">
        <v>1012500</v>
      </c>
      <c r="G491" t="n">
        <v>10</v>
      </c>
      <c r="H491" s="12" t="n">
        <v>46023</v>
      </c>
      <c r="I491" s="12" t="n">
        <v>46113</v>
      </c>
      <c r="J491" t="b">
        <v>0</v>
      </c>
      <c r="K491" s="13" t="n">
        <v>2.8</v>
      </c>
    </row>
    <row r="492">
      <c r="A492" t="inlineStr">
        <is>
          <t>NX-00488</t>
        </is>
      </c>
      <c r="B492" t="inlineStr">
        <is>
          <t>APAC</t>
        </is>
      </c>
      <c r="C492" t="inlineStr">
        <is>
          <t>India</t>
        </is>
      </c>
      <c r="D492" s="12" t="n">
        <v>45717</v>
      </c>
      <c r="E492" s="13" t="n">
        <v>16.8</v>
      </c>
      <c r="F492" s="14" t="n">
        <v>1192800</v>
      </c>
      <c r="G492" t="n">
        <v>10</v>
      </c>
      <c r="H492" s="12" t="n">
        <v>46023</v>
      </c>
      <c r="I492" s="12" t="n">
        <v>46204</v>
      </c>
      <c r="J492" t="b">
        <v>0</v>
      </c>
      <c r="K492" s="13" t="n">
        <v>5.85</v>
      </c>
    </row>
    <row r="493">
      <c r="A493" t="inlineStr">
        <is>
          <t>NX-00489</t>
        </is>
      </c>
      <c r="B493" t="inlineStr">
        <is>
          <t>APAC</t>
        </is>
      </c>
      <c r="C493" t="inlineStr">
        <is>
          <t>Australia/SEA</t>
        </is>
      </c>
      <c r="D493" s="12" t="n">
        <v>45717</v>
      </c>
      <c r="E493" s="13" t="n">
        <v>25.7</v>
      </c>
      <c r="F493" s="14" t="n">
        <v>2158800</v>
      </c>
      <c r="G493" t="n">
        <v>5</v>
      </c>
      <c r="H493" s="12" t="n">
        <v>45870</v>
      </c>
      <c r="I493" s="12" t="n">
        <v>45931</v>
      </c>
      <c r="J493" t="b">
        <v>0</v>
      </c>
      <c r="K493" s="13" t="n">
        <v>1.68</v>
      </c>
    </row>
    <row r="494">
      <c r="A494" t="inlineStr">
        <is>
          <t>NX-00490</t>
        </is>
      </c>
      <c r="B494" t="inlineStr">
        <is>
          <t>APAC</t>
        </is>
      </c>
      <c r="C494" t="inlineStr">
        <is>
          <t>Australia/SEA</t>
        </is>
      </c>
      <c r="D494" s="12" t="n">
        <v>45717</v>
      </c>
      <c r="E494" s="13" t="n">
        <v>2.2</v>
      </c>
      <c r="F494" s="14" t="n">
        <v>184800</v>
      </c>
      <c r="G494" t="n">
        <v>11</v>
      </c>
      <c r="H494" s="12" t="n">
        <v>46054</v>
      </c>
      <c r="I494" s="12" t="n">
        <v>46082</v>
      </c>
      <c r="J494" t="b">
        <v>0</v>
      </c>
      <c r="K494" s="13" t="n">
        <v>0.93</v>
      </c>
    </row>
    <row r="495">
      <c r="A495" t="inlineStr">
        <is>
          <t>NX-00491</t>
        </is>
      </c>
      <c r="B495" t="inlineStr">
        <is>
          <t>LATAM</t>
        </is>
      </c>
      <c r="C495" t="inlineStr">
        <is>
          <t>LATAM</t>
        </is>
      </c>
      <c r="D495" s="12" t="n">
        <v>45717</v>
      </c>
      <c r="E495" s="13" t="n">
        <v>40.9</v>
      </c>
      <c r="F495" s="14" t="n">
        <v>3231100</v>
      </c>
      <c r="G495" t="n">
        <v>12</v>
      </c>
      <c r="H495" s="12" t="n">
        <v>46082</v>
      </c>
      <c r="I495" s="12" t="n">
        <v>46539</v>
      </c>
      <c r="J495" t="b">
        <v>0</v>
      </c>
      <c r="K495" s="13" t="n">
        <v>14.94</v>
      </c>
    </row>
    <row r="496">
      <c r="A496" t="inlineStr">
        <is>
          <t>NX-00492</t>
        </is>
      </c>
      <c r="B496" t="inlineStr">
        <is>
          <t>LATAM</t>
        </is>
      </c>
      <c r="C496" t="inlineStr">
        <is>
          <t>LATAM</t>
        </is>
      </c>
      <c r="D496" s="12" t="n">
        <v>45717</v>
      </c>
      <c r="E496" s="13" t="n">
        <v>9.9</v>
      </c>
      <c r="F496" s="14" t="n">
        <v>782100</v>
      </c>
      <c r="G496" t="n">
        <v>9</v>
      </c>
      <c r="H496" s="12" t="n">
        <v>45992</v>
      </c>
      <c r="I496" s="12" t="n">
        <v>45992</v>
      </c>
      <c r="J496" t="b">
        <v>0</v>
      </c>
      <c r="K496" s="13" t="n">
        <v>0.07000000000000001</v>
      </c>
    </row>
    <row r="497">
      <c r="A497" t="inlineStr">
        <is>
          <t>NX-00493</t>
        </is>
      </c>
      <c r="B497" t="inlineStr">
        <is>
          <t>LATAM</t>
        </is>
      </c>
      <c r="C497" t="inlineStr">
        <is>
          <t>LATAM</t>
        </is>
      </c>
      <c r="D497" s="12" t="n">
        <v>45717</v>
      </c>
      <c r="E497" s="13" t="n">
        <v>10.6</v>
      </c>
      <c r="F497" s="14" t="n">
        <v>837400</v>
      </c>
      <c r="G497" t="n">
        <v>5</v>
      </c>
      <c r="H497" s="12" t="n">
        <v>45870</v>
      </c>
      <c r="I497" s="12" t="n"/>
      <c r="J497" t="b">
        <v>1</v>
      </c>
      <c r="K497" s="13" t="n">
        <v>0.23</v>
      </c>
    </row>
    <row r="498">
      <c r="A498" t="inlineStr">
        <is>
          <t>NX-00494</t>
        </is>
      </c>
      <c r="B498" t="inlineStr">
        <is>
          <t>LATAM</t>
        </is>
      </c>
      <c r="C498" t="inlineStr">
        <is>
          <t>LATAM</t>
        </is>
      </c>
      <c r="D498" s="12" t="n">
        <v>45717</v>
      </c>
      <c r="E498" s="13" t="n">
        <v>13.3</v>
      </c>
      <c r="F498" s="14" t="n">
        <v>1050700</v>
      </c>
      <c r="G498" t="n">
        <v>7</v>
      </c>
      <c r="H498" s="12" t="n">
        <v>45931</v>
      </c>
      <c r="I498" s="12" t="n">
        <v>45962</v>
      </c>
      <c r="J498" t="b">
        <v>0</v>
      </c>
      <c r="K498" s="13" t="n">
        <v>1.19</v>
      </c>
    </row>
    <row r="499">
      <c r="A499" t="inlineStr">
        <is>
          <t>NX-00495</t>
        </is>
      </c>
      <c r="B499" t="inlineStr">
        <is>
          <t>North America</t>
        </is>
      </c>
      <c r="C499" t="inlineStr">
        <is>
          <t>US / Canada</t>
        </is>
      </c>
      <c r="D499" s="12" t="n">
        <v>45748</v>
      </c>
      <c r="E499" s="13" t="n">
        <v>4.9</v>
      </c>
      <c r="F499" s="14" t="n">
        <v>406700.0000000001</v>
      </c>
      <c r="G499" t="n">
        <v>7</v>
      </c>
      <c r="H499" s="12" t="n">
        <v>45962</v>
      </c>
      <c r="I499" s="12" t="n">
        <v>45962</v>
      </c>
      <c r="J499" t="b">
        <v>0</v>
      </c>
      <c r="K499" s="13" t="n">
        <v>0</v>
      </c>
    </row>
    <row r="500">
      <c r="A500" t="inlineStr">
        <is>
          <t>NX-00496</t>
        </is>
      </c>
      <c r="B500" t="inlineStr">
        <is>
          <t>North America</t>
        </is>
      </c>
      <c r="C500" t="inlineStr">
        <is>
          <t>US / Canada</t>
        </is>
      </c>
      <c r="D500" s="12" t="n">
        <v>45748</v>
      </c>
      <c r="E500" s="13" t="n">
        <v>5.8</v>
      </c>
      <c r="F500" s="14" t="n">
        <v>481400</v>
      </c>
      <c r="G500" t="n">
        <v>5</v>
      </c>
      <c r="H500" s="12" t="n">
        <v>45901</v>
      </c>
      <c r="I500" s="12" t="n">
        <v>45901</v>
      </c>
      <c r="J500" t="b">
        <v>0</v>
      </c>
      <c r="K500" s="13" t="n">
        <v>0</v>
      </c>
    </row>
    <row r="501">
      <c r="A501" t="inlineStr">
        <is>
          <t>NX-00497</t>
        </is>
      </c>
      <c r="B501" t="inlineStr">
        <is>
          <t>North America</t>
        </is>
      </c>
      <c r="C501" t="inlineStr">
        <is>
          <t>US / Canada</t>
        </is>
      </c>
      <c r="D501" s="12" t="n">
        <v>45748</v>
      </c>
      <c r="E501" s="13" t="n">
        <v>15</v>
      </c>
      <c r="F501" s="14" t="n">
        <v>1245000</v>
      </c>
      <c r="G501" t="n">
        <v>7</v>
      </c>
      <c r="H501" s="12" t="n">
        <v>45962</v>
      </c>
      <c r="I501" s="12" t="n">
        <v>45962</v>
      </c>
      <c r="J501" t="b">
        <v>0</v>
      </c>
      <c r="K501" s="13" t="n">
        <v>0.16</v>
      </c>
    </row>
    <row r="502">
      <c r="A502" t="inlineStr">
        <is>
          <t>NX-00498</t>
        </is>
      </c>
      <c r="B502" t="inlineStr">
        <is>
          <t>North America</t>
        </is>
      </c>
      <c r="C502" t="inlineStr">
        <is>
          <t>US / Canada</t>
        </is>
      </c>
      <c r="D502" s="12" t="n">
        <v>45748</v>
      </c>
      <c r="E502" s="13" t="n">
        <v>14.7</v>
      </c>
      <c r="F502" s="14" t="n">
        <v>1220100</v>
      </c>
      <c r="G502" t="n">
        <v>6</v>
      </c>
      <c r="H502" s="12" t="n">
        <v>45931</v>
      </c>
      <c r="I502" s="12" t="n">
        <v>46023</v>
      </c>
      <c r="J502" t="b">
        <v>0</v>
      </c>
      <c r="K502" s="13" t="n">
        <v>2.99</v>
      </c>
    </row>
    <row r="503">
      <c r="A503" t="inlineStr">
        <is>
          <t>NX-00499</t>
        </is>
      </c>
      <c r="B503" t="inlineStr">
        <is>
          <t>North America</t>
        </is>
      </c>
      <c r="C503" t="inlineStr">
        <is>
          <t>US / Canada</t>
        </is>
      </c>
      <c r="D503" s="12" t="n">
        <v>45748</v>
      </c>
      <c r="E503" s="13" t="n">
        <v>8.6</v>
      </c>
      <c r="F503" s="14" t="n">
        <v>713800</v>
      </c>
      <c r="G503" t="n">
        <v>5</v>
      </c>
      <c r="H503" s="12" t="n">
        <v>45901</v>
      </c>
      <c r="I503" s="12" t="n">
        <v>45931</v>
      </c>
      <c r="J503" t="b">
        <v>0</v>
      </c>
      <c r="K503" s="13" t="n">
        <v>0.89</v>
      </c>
    </row>
    <row r="504">
      <c r="A504" t="inlineStr">
        <is>
          <t>NX-00500</t>
        </is>
      </c>
      <c r="B504" t="inlineStr">
        <is>
          <t>North America</t>
        </is>
      </c>
      <c r="C504" t="inlineStr">
        <is>
          <t>US / Canada</t>
        </is>
      </c>
      <c r="D504" s="12" t="n">
        <v>45748</v>
      </c>
      <c r="E504" s="13" t="n">
        <v>6</v>
      </c>
      <c r="F504" s="14" t="n">
        <v>498000</v>
      </c>
      <c r="G504" t="n">
        <v>8</v>
      </c>
      <c r="H504" s="12" t="n">
        <v>45992</v>
      </c>
      <c r="I504" s="12" t="n">
        <v>45992</v>
      </c>
      <c r="J504" t="b">
        <v>0</v>
      </c>
      <c r="K504" s="13" t="n">
        <v>0</v>
      </c>
    </row>
    <row r="505">
      <c r="A505" t="inlineStr">
        <is>
          <t>NX-00501</t>
        </is>
      </c>
      <c r="B505" t="inlineStr">
        <is>
          <t>North America</t>
        </is>
      </c>
      <c r="C505" t="inlineStr">
        <is>
          <t>US / Canada</t>
        </is>
      </c>
      <c r="D505" s="12" t="n">
        <v>45748</v>
      </c>
      <c r="E505" s="13" t="n">
        <v>6.4</v>
      </c>
      <c r="F505" s="14" t="n">
        <v>531200</v>
      </c>
      <c r="G505" t="n">
        <v>12</v>
      </c>
      <c r="H505" s="12" t="n">
        <v>46113</v>
      </c>
      <c r="I505" s="12" t="n">
        <v>46143</v>
      </c>
      <c r="J505" t="b">
        <v>0</v>
      </c>
      <c r="K505" s="13" t="n">
        <v>0.53</v>
      </c>
    </row>
    <row r="506">
      <c r="A506" t="inlineStr">
        <is>
          <t>NX-00502</t>
        </is>
      </c>
      <c r="B506" t="inlineStr">
        <is>
          <t>North America</t>
        </is>
      </c>
      <c r="C506" t="inlineStr">
        <is>
          <t>US / Canada</t>
        </is>
      </c>
      <c r="D506" s="12" t="n">
        <v>45748</v>
      </c>
      <c r="E506" s="13" t="n">
        <v>34.3</v>
      </c>
      <c r="F506" s="14" t="n">
        <v>2846900</v>
      </c>
      <c r="G506" t="n">
        <v>7</v>
      </c>
      <c r="H506" s="12" t="n">
        <v>45962</v>
      </c>
      <c r="I506" s="12" t="n">
        <v>45962</v>
      </c>
      <c r="J506" t="b">
        <v>0</v>
      </c>
      <c r="K506" s="13" t="n">
        <v>0</v>
      </c>
    </row>
    <row r="507">
      <c r="A507" t="inlineStr">
        <is>
          <t>NX-00503</t>
        </is>
      </c>
      <c r="B507" t="inlineStr">
        <is>
          <t>North America</t>
        </is>
      </c>
      <c r="C507" t="inlineStr">
        <is>
          <t>US / Canada</t>
        </is>
      </c>
      <c r="D507" s="12" t="n">
        <v>45748</v>
      </c>
      <c r="E507" s="13" t="n">
        <v>18.3</v>
      </c>
      <c r="F507" s="14" t="n">
        <v>1518900</v>
      </c>
      <c r="G507" t="n">
        <v>5</v>
      </c>
      <c r="H507" s="12" t="n">
        <v>45901</v>
      </c>
      <c r="I507" s="12" t="n">
        <v>45992</v>
      </c>
      <c r="J507" t="b">
        <v>0</v>
      </c>
      <c r="K507" s="13" t="n">
        <v>3.07</v>
      </c>
    </row>
    <row r="508">
      <c r="A508" t="inlineStr">
        <is>
          <t>NX-00504</t>
        </is>
      </c>
      <c r="B508" t="inlineStr">
        <is>
          <t>North America</t>
        </is>
      </c>
      <c r="C508" t="inlineStr">
        <is>
          <t>US / Canada</t>
        </is>
      </c>
      <c r="D508" s="12" t="n">
        <v>45748</v>
      </c>
      <c r="E508" s="13" t="n">
        <v>11.9</v>
      </c>
      <c r="F508" s="14" t="n">
        <v>987700</v>
      </c>
      <c r="G508" t="n">
        <v>5</v>
      </c>
      <c r="H508" s="12" t="n">
        <v>45901</v>
      </c>
      <c r="I508" s="12" t="n">
        <v>45901</v>
      </c>
      <c r="J508" t="b">
        <v>0</v>
      </c>
      <c r="K508" s="13" t="n">
        <v>0</v>
      </c>
    </row>
    <row r="509">
      <c r="A509" t="inlineStr">
        <is>
          <t>NX-00505</t>
        </is>
      </c>
      <c r="B509" t="inlineStr">
        <is>
          <t>North America</t>
        </is>
      </c>
      <c r="C509" t="inlineStr">
        <is>
          <t>US / Canada</t>
        </is>
      </c>
      <c r="D509" s="12" t="n">
        <v>45748</v>
      </c>
      <c r="E509" s="13" t="n">
        <v>34.8</v>
      </c>
      <c r="F509" s="14" t="n">
        <v>2888400</v>
      </c>
      <c r="G509" t="n">
        <v>10</v>
      </c>
      <c r="H509" s="12" t="n">
        <v>46054</v>
      </c>
      <c r="I509" s="12" t="n">
        <v>46054</v>
      </c>
      <c r="J509" t="b">
        <v>0</v>
      </c>
      <c r="K509" s="13" t="n">
        <v>0.02</v>
      </c>
    </row>
    <row r="510">
      <c r="A510" t="inlineStr">
        <is>
          <t>NX-00506</t>
        </is>
      </c>
      <c r="B510" t="inlineStr">
        <is>
          <t>North America</t>
        </is>
      </c>
      <c r="C510" t="inlineStr">
        <is>
          <t>US / Canada</t>
        </is>
      </c>
      <c r="D510" s="12" t="n">
        <v>45748</v>
      </c>
      <c r="E510" s="13" t="n">
        <v>3.6</v>
      </c>
      <c r="F510" s="14" t="n">
        <v>298800</v>
      </c>
      <c r="G510" t="n">
        <v>9</v>
      </c>
      <c r="H510" s="12" t="n">
        <v>46023</v>
      </c>
      <c r="I510" s="12" t="n">
        <v>46023</v>
      </c>
      <c r="J510" t="b">
        <v>0</v>
      </c>
      <c r="K510" s="13" t="n">
        <v>0.44</v>
      </c>
    </row>
    <row r="511">
      <c r="A511" t="inlineStr">
        <is>
          <t>NX-00507</t>
        </is>
      </c>
      <c r="B511" t="inlineStr">
        <is>
          <t>North America</t>
        </is>
      </c>
      <c r="C511" t="inlineStr">
        <is>
          <t>US / Canada</t>
        </is>
      </c>
      <c r="D511" s="12" t="n">
        <v>45748</v>
      </c>
      <c r="E511" s="13" t="n">
        <v>7.2</v>
      </c>
      <c r="F511" s="14" t="n">
        <v>597600</v>
      </c>
      <c r="G511" t="n">
        <v>10</v>
      </c>
      <c r="H511" s="12" t="n">
        <v>46054</v>
      </c>
      <c r="I511" s="12" t="n">
        <v>46054</v>
      </c>
      <c r="J511" t="b">
        <v>0</v>
      </c>
      <c r="K511" s="13" t="n">
        <v>0</v>
      </c>
    </row>
    <row r="512">
      <c r="A512" t="inlineStr">
        <is>
          <t>NX-00508</t>
        </is>
      </c>
      <c r="B512" t="inlineStr">
        <is>
          <t>North America</t>
        </is>
      </c>
      <c r="C512" t="inlineStr">
        <is>
          <t>US / Canada</t>
        </is>
      </c>
      <c r="D512" s="12" t="n">
        <v>45748</v>
      </c>
      <c r="E512" s="13" t="n">
        <v>4.5</v>
      </c>
      <c r="F512" s="14" t="n">
        <v>373500</v>
      </c>
      <c r="G512" t="n">
        <v>5</v>
      </c>
      <c r="H512" s="12" t="n">
        <v>45901</v>
      </c>
      <c r="I512" s="12" t="n">
        <v>45901</v>
      </c>
      <c r="J512" t="b">
        <v>0</v>
      </c>
      <c r="K512" s="13" t="n">
        <v>0.12</v>
      </c>
    </row>
    <row r="513">
      <c r="A513" t="inlineStr">
        <is>
          <t>NX-00509</t>
        </is>
      </c>
      <c r="B513" t="inlineStr">
        <is>
          <t>North America</t>
        </is>
      </c>
      <c r="C513" t="inlineStr">
        <is>
          <t>US / Canada</t>
        </is>
      </c>
      <c r="D513" s="12" t="n">
        <v>45748</v>
      </c>
      <c r="E513" s="13" t="n">
        <v>38.6</v>
      </c>
      <c r="F513" s="14" t="n">
        <v>3203800</v>
      </c>
      <c r="G513" t="n">
        <v>6</v>
      </c>
      <c r="H513" s="12" t="n">
        <v>45931</v>
      </c>
      <c r="I513" s="12" t="n">
        <v>45931</v>
      </c>
      <c r="J513" t="b">
        <v>0</v>
      </c>
      <c r="K513" s="13" t="n">
        <v>0.01</v>
      </c>
    </row>
    <row r="514">
      <c r="A514" t="inlineStr">
        <is>
          <t>NX-00510</t>
        </is>
      </c>
      <c r="B514" t="inlineStr">
        <is>
          <t>North America</t>
        </is>
      </c>
      <c r="C514" t="inlineStr">
        <is>
          <t>US / Canada</t>
        </is>
      </c>
      <c r="D514" s="12" t="n">
        <v>45748</v>
      </c>
      <c r="E514" s="13" t="n">
        <v>10.6</v>
      </c>
      <c r="F514" s="14" t="n">
        <v>879800</v>
      </c>
      <c r="G514" t="n">
        <v>13</v>
      </c>
      <c r="H514" s="12" t="n">
        <v>46143</v>
      </c>
      <c r="I514" s="12" t="n">
        <v>46143</v>
      </c>
      <c r="J514" t="b">
        <v>0</v>
      </c>
      <c r="K514" s="13" t="n">
        <v>0.01</v>
      </c>
    </row>
    <row r="515">
      <c r="A515" t="inlineStr">
        <is>
          <t>NX-00511</t>
        </is>
      </c>
      <c r="B515" t="inlineStr">
        <is>
          <t>North America</t>
        </is>
      </c>
      <c r="C515" t="inlineStr">
        <is>
          <t>US / Canada</t>
        </is>
      </c>
      <c r="D515" s="12" t="n">
        <v>45748</v>
      </c>
      <c r="E515" s="13" t="n">
        <v>8.5</v>
      </c>
      <c r="F515" s="14" t="n">
        <v>705500</v>
      </c>
      <c r="G515" t="n">
        <v>8</v>
      </c>
      <c r="H515" s="12" t="n">
        <v>45992</v>
      </c>
      <c r="I515" s="12" t="n">
        <v>45992</v>
      </c>
      <c r="J515" t="b">
        <v>0</v>
      </c>
      <c r="K515" s="13" t="n">
        <v>0.48</v>
      </c>
    </row>
    <row r="516">
      <c r="A516" t="inlineStr">
        <is>
          <t>NX-00512</t>
        </is>
      </c>
      <c r="B516" t="inlineStr">
        <is>
          <t>North America</t>
        </is>
      </c>
      <c r="C516" t="inlineStr">
        <is>
          <t>US / Canada</t>
        </is>
      </c>
      <c r="D516" s="12" t="n">
        <v>45748</v>
      </c>
      <c r="E516" s="13" t="n">
        <v>18.9</v>
      </c>
      <c r="F516" s="14" t="n">
        <v>1568700</v>
      </c>
      <c r="G516" t="n">
        <v>5</v>
      </c>
      <c r="H516" s="12" t="n">
        <v>45901</v>
      </c>
      <c r="I516" s="12" t="n">
        <v>45901</v>
      </c>
      <c r="J516" t="b">
        <v>0</v>
      </c>
      <c r="K516" s="13" t="n">
        <v>0.28</v>
      </c>
    </row>
    <row r="517">
      <c r="A517" t="inlineStr">
        <is>
          <t>NX-00513</t>
        </is>
      </c>
      <c r="B517" t="inlineStr">
        <is>
          <t>North America</t>
        </is>
      </c>
      <c r="C517" t="inlineStr">
        <is>
          <t>US / Canada</t>
        </is>
      </c>
      <c r="D517" s="12" t="n">
        <v>45748</v>
      </c>
      <c r="E517" s="13" t="n">
        <v>20.5</v>
      </c>
      <c r="F517" s="14" t="n">
        <v>1701500</v>
      </c>
      <c r="G517" t="n">
        <v>6</v>
      </c>
      <c r="H517" s="12" t="n">
        <v>45931</v>
      </c>
      <c r="I517" s="12" t="n">
        <v>45962</v>
      </c>
      <c r="J517" t="b">
        <v>0</v>
      </c>
      <c r="K517" s="13" t="n">
        <v>1.41</v>
      </c>
    </row>
    <row r="518">
      <c r="A518" t="inlineStr">
        <is>
          <t>NX-00514</t>
        </is>
      </c>
      <c r="B518" t="inlineStr">
        <is>
          <t>North America</t>
        </is>
      </c>
      <c r="C518" t="inlineStr">
        <is>
          <t>US / Canada</t>
        </is>
      </c>
      <c r="D518" s="12" t="n">
        <v>45748</v>
      </c>
      <c r="E518" s="13" t="n">
        <v>14</v>
      </c>
      <c r="F518" s="14" t="n">
        <v>1162000</v>
      </c>
      <c r="G518" t="n">
        <v>12</v>
      </c>
      <c r="H518" s="12" t="n">
        <v>46113</v>
      </c>
      <c r="I518" s="12" t="n">
        <v>46113</v>
      </c>
      <c r="J518" t="b">
        <v>0</v>
      </c>
      <c r="K518" s="13" t="n">
        <v>0.03</v>
      </c>
    </row>
    <row r="519">
      <c r="A519" t="inlineStr">
        <is>
          <t>NX-00515</t>
        </is>
      </c>
      <c r="B519" t="inlineStr">
        <is>
          <t>North America</t>
        </is>
      </c>
      <c r="C519" t="inlineStr">
        <is>
          <t>US / Canada</t>
        </is>
      </c>
      <c r="D519" s="12" t="n">
        <v>45748</v>
      </c>
      <c r="E519" s="13" t="n">
        <v>11.6</v>
      </c>
      <c r="F519" s="14" t="n">
        <v>962800</v>
      </c>
      <c r="G519" t="n">
        <v>7</v>
      </c>
      <c r="H519" s="12" t="n">
        <v>45962</v>
      </c>
      <c r="I519" s="12" t="n">
        <v>45962</v>
      </c>
      <c r="J519" t="b">
        <v>0</v>
      </c>
      <c r="K519" s="13" t="n">
        <v>0.01</v>
      </c>
    </row>
    <row r="520">
      <c r="A520" t="inlineStr">
        <is>
          <t>NX-00516</t>
        </is>
      </c>
      <c r="B520" t="inlineStr">
        <is>
          <t>North America</t>
        </is>
      </c>
      <c r="C520" t="inlineStr">
        <is>
          <t>US / Canada</t>
        </is>
      </c>
      <c r="D520" s="12" t="n">
        <v>45748</v>
      </c>
      <c r="E520" s="13" t="n">
        <v>10</v>
      </c>
      <c r="F520" s="14" t="n">
        <v>830000</v>
      </c>
      <c r="G520" t="n">
        <v>5</v>
      </c>
      <c r="H520" s="12" t="n">
        <v>45901</v>
      </c>
      <c r="I520" s="12" t="n">
        <v>45931</v>
      </c>
      <c r="J520" t="b">
        <v>0</v>
      </c>
      <c r="K520" s="13" t="n">
        <v>1.39</v>
      </c>
    </row>
    <row r="521">
      <c r="A521" t="inlineStr">
        <is>
          <t>NX-00517</t>
        </is>
      </c>
      <c r="B521" t="inlineStr">
        <is>
          <t>North America</t>
        </is>
      </c>
      <c r="C521" t="inlineStr">
        <is>
          <t>US / Canada</t>
        </is>
      </c>
      <c r="D521" s="12" t="n">
        <v>45748</v>
      </c>
      <c r="E521" s="13" t="n">
        <v>10.5</v>
      </c>
      <c r="F521" s="14" t="n">
        <v>871500</v>
      </c>
      <c r="G521" t="n">
        <v>6</v>
      </c>
      <c r="H521" s="12" t="n">
        <v>45931</v>
      </c>
      <c r="I521" s="12" t="n">
        <v>45931</v>
      </c>
      <c r="J521" t="b">
        <v>0</v>
      </c>
      <c r="K521" s="13" t="n">
        <v>0</v>
      </c>
    </row>
    <row r="522">
      <c r="A522" t="inlineStr">
        <is>
          <t>NX-00518</t>
        </is>
      </c>
      <c r="B522" t="inlineStr">
        <is>
          <t>North America</t>
        </is>
      </c>
      <c r="C522" t="inlineStr">
        <is>
          <t>US / Canada</t>
        </is>
      </c>
      <c r="D522" s="12" t="n">
        <v>45748</v>
      </c>
      <c r="E522" s="13" t="n">
        <v>16.4</v>
      </c>
      <c r="F522" s="14" t="n">
        <v>1361200</v>
      </c>
      <c r="G522" t="n">
        <v>11</v>
      </c>
      <c r="H522" s="12" t="n">
        <v>46082</v>
      </c>
      <c r="I522" s="12" t="n">
        <v>46174</v>
      </c>
      <c r="J522" t="b">
        <v>0</v>
      </c>
      <c r="K522" s="13" t="n">
        <v>3.31</v>
      </c>
    </row>
    <row r="523">
      <c r="A523" t="inlineStr">
        <is>
          <t>NX-00519</t>
        </is>
      </c>
      <c r="B523" t="inlineStr">
        <is>
          <t>North America</t>
        </is>
      </c>
      <c r="C523" t="inlineStr">
        <is>
          <t>US / Canada</t>
        </is>
      </c>
      <c r="D523" s="12" t="n">
        <v>45748</v>
      </c>
      <c r="E523" s="13" t="n">
        <v>9.800000000000001</v>
      </c>
      <c r="F523" s="14" t="n">
        <v>813400.0000000001</v>
      </c>
      <c r="G523" t="n">
        <v>12</v>
      </c>
      <c r="H523" s="12" t="n">
        <v>46113</v>
      </c>
      <c r="I523" s="12" t="n">
        <v>46113</v>
      </c>
      <c r="J523" t="b">
        <v>0</v>
      </c>
      <c r="K523" s="13" t="n">
        <v>0.28</v>
      </c>
    </row>
    <row r="524">
      <c r="A524" t="inlineStr">
        <is>
          <t>NX-00520</t>
        </is>
      </c>
      <c r="B524" t="inlineStr">
        <is>
          <t>North America</t>
        </is>
      </c>
      <c r="C524" t="inlineStr">
        <is>
          <t>US / Canada</t>
        </is>
      </c>
      <c r="D524" s="12" t="n">
        <v>45748</v>
      </c>
      <c r="E524" s="13" t="n">
        <v>31.6</v>
      </c>
      <c r="F524" s="14" t="n">
        <v>2622800</v>
      </c>
      <c r="G524" t="n">
        <v>6</v>
      </c>
      <c r="H524" s="12" t="n">
        <v>45931</v>
      </c>
      <c r="I524" s="12" t="n">
        <v>45962</v>
      </c>
      <c r="J524" t="b">
        <v>0</v>
      </c>
      <c r="K524" s="13" t="n">
        <v>0.62</v>
      </c>
    </row>
    <row r="525">
      <c r="A525" t="inlineStr">
        <is>
          <t>NX-00521</t>
        </is>
      </c>
      <c r="B525" t="inlineStr">
        <is>
          <t>North America</t>
        </is>
      </c>
      <c r="C525" t="inlineStr">
        <is>
          <t>US / Canada</t>
        </is>
      </c>
      <c r="D525" s="12" t="n">
        <v>45748</v>
      </c>
      <c r="E525" s="13" t="n">
        <v>13.7</v>
      </c>
      <c r="F525" s="14" t="n">
        <v>1137100</v>
      </c>
      <c r="G525" t="n">
        <v>5</v>
      </c>
      <c r="H525" s="12" t="n">
        <v>45901</v>
      </c>
      <c r="I525" s="12" t="n">
        <v>45901</v>
      </c>
      <c r="J525" t="b">
        <v>0</v>
      </c>
      <c r="K525" s="13" t="n">
        <v>0.35</v>
      </c>
    </row>
    <row r="526">
      <c r="A526" t="inlineStr">
        <is>
          <t>NX-00522</t>
        </is>
      </c>
      <c r="B526" t="inlineStr">
        <is>
          <t>North America</t>
        </is>
      </c>
      <c r="C526" t="inlineStr">
        <is>
          <t>US / Canada</t>
        </is>
      </c>
      <c r="D526" s="12" t="n">
        <v>45748</v>
      </c>
      <c r="E526" s="13" t="n">
        <v>5</v>
      </c>
      <c r="F526" s="14" t="n">
        <v>415000</v>
      </c>
      <c r="G526" t="n">
        <v>7</v>
      </c>
      <c r="H526" s="12" t="n">
        <v>45962</v>
      </c>
      <c r="I526" s="12" t="n">
        <v>45962</v>
      </c>
      <c r="J526" t="b">
        <v>0</v>
      </c>
      <c r="K526" s="13" t="n">
        <v>0</v>
      </c>
    </row>
    <row r="527">
      <c r="A527" t="inlineStr">
        <is>
          <t>NX-00523</t>
        </is>
      </c>
      <c r="B527" t="inlineStr">
        <is>
          <t>North America</t>
        </is>
      </c>
      <c r="C527" t="inlineStr">
        <is>
          <t>US / Canada</t>
        </is>
      </c>
      <c r="D527" s="12" t="n">
        <v>45748</v>
      </c>
      <c r="E527" s="13" t="n">
        <v>24.2</v>
      </c>
      <c r="F527" s="14" t="n">
        <v>2008600</v>
      </c>
      <c r="G527" t="n">
        <v>10</v>
      </c>
      <c r="H527" s="12" t="n">
        <v>46054</v>
      </c>
      <c r="I527" s="12" t="n">
        <v>46054</v>
      </c>
      <c r="J527" t="b">
        <v>0</v>
      </c>
      <c r="K527" s="13" t="n">
        <v>0.44</v>
      </c>
    </row>
    <row r="528">
      <c r="A528" t="inlineStr">
        <is>
          <t>NX-00524</t>
        </is>
      </c>
      <c r="B528" t="inlineStr">
        <is>
          <t>North America</t>
        </is>
      </c>
      <c r="C528" t="inlineStr">
        <is>
          <t>US / Canada</t>
        </is>
      </c>
      <c r="D528" s="12" t="n">
        <v>45748</v>
      </c>
      <c r="E528" s="13" t="n">
        <v>4.3</v>
      </c>
      <c r="F528" s="14" t="n">
        <v>356900</v>
      </c>
      <c r="G528" t="n">
        <v>9</v>
      </c>
      <c r="H528" s="12" t="n">
        <v>46023</v>
      </c>
      <c r="I528" s="12" t="n">
        <v>46082</v>
      </c>
      <c r="J528" t="b">
        <v>0</v>
      </c>
      <c r="K528" s="13" t="n">
        <v>1.97</v>
      </c>
    </row>
    <row r="529">
      <c r="A529" t="inlineStr">
        <is>
          <t>NX-00525</t>
        </is>
      </c>
      <c r="B529" t="inlineStr">
        <is>
          <t>EMEA</t>
        </is>
      </c>
      <c r="C529" t="inlineStr">
        <is>
          <t>Europe</t>
        </is>
      </c>
      <c r="D529" s="12" t="n">
        <v>45748</v>
      </c>
      <c r="E529" s="13" t="n">
        <v>3.4</v>
      </c>
      <c r="F529" s="14" t="n">
        <v>299200</v>
      </c>
      <c r="G529" t="n">
        <v>8</v>
      </c>
      <c r="H529" s="12" t="n">
        <v>45992</v>
      </c>
      <c r="I529" s="12" t="n">
        <v>45992</v>
      </c>
      <c r="J529" t="b">
        <v>0</v>
      </c>
      <c r="K529" s="13" t="n">
        <v>0.31</v>
      </c>
    </row>
    <row r="530">
      <c r="A530" t="inlineStr">
        <is>
          <t>NX-00526</t>
        </is>
      </c>
      <c r="B530" t="inlineStr">
        <is>
          <t>EMEA</t>
        </is>
      </c>
      <c r="C530" t="inlineStr">
        <is>
          <t>Europe</t>
        </is>
      </c>
      <c r="D530" s="12" t="n">
        <v>45748</v>
      </c>
      <c r="E530" s="13" t="n">
        <v>40.6</v>
      </c>
      <c r="F530" s="14" t="n">
        <v>3572800</v>
      </c>
      <c r="G530" t="n">
        <v>8</v>
      </c>
      <c r="H530" s="12" t="n">
        <v>45992</v>
      </c>
      <c r="I530" s="12" t="n">
        <v>45992</v>
      </c>
      <c r="J530" t="b">
        <v>0</v>
      </c>
      <c r="K530" s="13" t="n">
        <v>0.03</v>
      </c>
    </row>
    <row r="531">
      <c r="A531" t="inlineStr">
        <is>
          <t>NX-00527</t>
        </is>
      </c>
      <c r="B531" t="inlineStr">
        <is>
          <t>EMEA</t>
        </is>
      </c>
      <c r="C531" t="inlineStr">
        <is>
          <t>Europe</t>
        </is>
      </c>
      <c r="D531" s="12" t="n">
        <v>45748</v>
      </c>
      <c r="E531" s="13" t="n">
        <v>22.3</v>
      </c>
      <c r="F531" s="14" t="n">
        <v>1962400</v>
      </c>
      <c r="G531" t="n">
        <v>10</v>
      </c>
      <c r="H531" s="12" t="n">
        <v>46054</v>
      </c>
      <c r="I531" s="12" t="n">
        <v>46054</v>
      </c>
      <c r="J531" t="b">
        <v>0</v>
      </c>
      <c r="K531" s="13" t="n">
        <v>0</v>
      </c>
    </row>
    <row r="532">
      <c r="A532" t="inlineStr">
        <is>
          <t>NX-00528</t>
        </is>
      </c>
      <c r="B532" t="inlineStr">
        <is>
          <t>EMEA</t>
        </is>
      </c>
      <c r="C532" t="inlineStr">
        <is>
          <t>Europe</t>
        </is>
      </c>
      <c r="D532" s="12" t="n">
        <v>45748</v>
      </c>
      <c r="E532" s="13" t="n">
        <v>15.7</v>
      </c>
      <c r="F532" s="14" t="n">
        <v>1381600</v>
      </c>
      <c r="G532" t="n">
        <v>5</v>
      </c>
      <c r="H532" s="12" t="n">
        <v>45901</v>
      </c>
      <c r="I532" s="12" t="n">
        <v>46054</v>
      </c>
      <c r="J532" t="b">
        <v>0</v>
      </c>
      <c r="K532" s="13" t="n">
        <v>4.92</v>
      </c>
    </row>
    <row r="533">
      <c r="A533" t="inlineStr">
        <is>
          <t>NX-00529</t>
        </is>
      </c>
      <c r="B533" t="inlineStr">
        <is>
          <t>EMEA</t>
        </is>
      </c>
      <c r="C533" t="inlineStr">
        <is>
          <t>Europe</t>
        </is>
      </c>
      <c r="D533" s="12" t="n">
        <v>45748</v>
      </c>
      <c r="E533" s="13" t="n">
        <v>17.7</v>
      </c>
      <c r="F533" s="14" t="n">
        <v>1557600</v>
      </c>
      <c r="G533" t="n">
        <v>5</v>
      </c>
      <c r="H533" s="12" t="n">
        <v>45901</v>
      </c>
      <c r="I533" s="12" t="n">
        <v>45901</v>
      </c>
      <c r="J533" t="b">
        <v>0</v>
      </c>
      <c r="K533" s="13" t="n">
        <v>0.41</v>
      </c>
    </row>
    <row r="534">
      <c r="A534" t="inlineStr">
        <is>
          <t>NX-00530</t>
        </is>
      </c>
      <c r="B534" t="inlineStr">
        <is>
          <t>EMEA</t>
        </is>
      </c>
      <c r="C534" t="inlineStr">
        <is>
          <t>Europe</t>
        </is>
      </c>
      <c r="D534" s="12" t="n">
        <v>45748</v>
      </c>
      <c r="E534" s="13" t="n">
        <v>18</v>
      </c>
      <c r="F534" s="14" t="n">
        <v>1584000</v>
      </c>
      <c r="G534" t="n">
        <v>7</v>
      </c>
      <c r="H534" s="12" t="n">
        <v>45962</v>
      </c>
      <c r="I534" s="12" t="n">
        <v>45962</v>
      </c>
      <c r="J534" t="b">
        <v>0</v>
      </c>
      <c r="K534" s="13" t="n">
        <v>0</v>
      </c>
    </row>
    <row r="535">
      <c r="A535" t="inlineStr">
        <is>
          <t>NX-00531</t>
        </is>
      </c>
      <c r="B535" t="inlineStr">
        <is>
          <t>North America</t>
        </is>
      </c>
      <c r="C535" t="inlineStr">
        <is>
          <t>US / Canada</t>
        </is>
      </c>
      <c r="D535" s="12" t="n">
        <v>45778</v>
      </c>
      <c r="E535" s="13" t="n">
        <v>21.2</v>
      </c>
      <c r="F535" s="14" t="n">
        <v>1759600</v>
      </c>
      <c r="G535" t="n">
        <v>10</v>
      </c>
      <c r="H535" s="12" t="n">
        <v>46082</v>
      </c>
      <c r="I535" s="12" t="n">
        <v>46082</v>
      </c>
      <c r="J535" t="b">
        <v>0</v>
      </c>
      <c r="K535" s="13" t="n">
        <v>0.07000000000000001</v>
      </c>
    </row>
    <row r="536">
      <c r="A536" t="inlineStr">
        <is>
          <t>NX-00532</t>
        </is>
      </c>
      <c r="B536" t="inlineStr">
        <is>
          <t>North America</t>
        </is>
      </c>
      <c r="C536" t="inlineStr">
        <is>
          <t>US / Canada</t>
        </is>
      </c>
      <c r="D536" s="12" t="n">
        <v>45778</v>
      </c>
      <c r="E536" s="13" t="n">
        <v>3.9</v>
      </c>
      <c r="F536" s="14" t="n">
        <v>323700</v>
      </c>
      <c r="G536" t="n">
        <v>8</v>
      </c>
      <c r="H536" s="12" t="n">
        <v>46023</v>
      </c>
      <c r="I536" s="12" t="n">
        <v>46023</v>
      </c>
      <c r="J536" t="b">
        <v>0</v>
      </c>
      <c r="K536" s="13" t="n">
        <v>0.08</v>
      </c>
    </row>
    <row r="537">
      <c r="A537" t="inlineStr">
        <is>
          <t>NX-00533</t>
        </is>
      </c>
      <c r="B537" t="inlineStr">
        <is>
          <t>North America</t>
        </is>
      </c>
      <c r="C537" t="inlineStr">
        <is>
          <t>US / Canada</t>
        </is>
      </c>
      <c r="D537" s="12" t="n">
        <v>45778</v>
      </c>
      <c r="E537" s="13" t="n">
        <v>16.4</v>
      </c>
      <c r="F537" s="14" t="n">
        <v>1361200</v>
      </c>
      <c r="G537" t="n">
        <v>10</v>
      </c>
      <c r="H537" s="12" t="n">
        <v>46082</v>
      </c>
      <c r="I537" s="12" t="n">
        <v>46082</v>
      </c>
      <c r="J537" t="b">
        <v>0</v>
      </c>
      <c r="K537" s="13" t="n">
        <v>0</v>
      </c>
    </row>
    <row r="538">
      <c r="A538" t="inlineStr">
        <is>
          <t>NX-00534</t>
        </is>
      </c>
      <c r="B538" t="inlineStr">
        <is>
          <t>North America</t>
        </is>
      </c>
      <c r="C538" t="inlineStr">
        <is>
          <t>US / Canada</t>
        </is>
      </c>
      <c r="D538" s="12" t="n">
        <v>45778</v>
      </c>
      <c r="E538" s="13" t="n">
        <v>21.7</v>
      </c>
      <c r="F538" s="14" t="n">
        <v>1801100</v>
      </c>
      <c r="G538" t="n">
        <v>13</v>
      </c>
      <c r="H538" s="12" t="n">
        <v>46174</v>
      </c>
      <c r="I538" s="12" t="n">
        <v>46235</v>
      </c>
      <c r="J538" t="b">
        <v>0</v>
      </c>
      <c r="K538" s="13" t="n">
        <v>1.51</v>
      </c>
    </row>
    <row r="539">
      <c r="A539" t="inlineStr">
        <is>
          <t>NX-00535</t>
        </is>
      </c>
      <c r="B539" t="inlineStr">
        <is>
          <t>North America</t>
        </is>
      </c>
      <c r="C539" t="inlineStr">
        <is>
          <t>US / Canada</t>
        </is>
      </c>
      <c r="D539" s="12" t="n">
        <v>45778</v>
      </c>
      <c r="E539" s="13" t="n">
        <v>11.1</v>
      </c>
      <c r="F539" s="14" t="n">
        <v>921300</v>
      </c>
      <c r="G539" t="n">
        <v>5</v>
      </c>
      <c r="H539" s="12" t="n">
        <v>45931</v>
      </c>
      <c r="I539" s="12" t="n">
        <v>45931</v>
      </c>
      <c r="J539" t="b">
        <v>0</v>
      </c>
      <c r="K539" s="13" t="n">
        <v>0.01</v>
      </c>
    </row>
    <row r="540">
      <c r="A540" t="inlineStr">
        <is>
          <t>NX-00536</t>
        </is>
      </c>
      <c r="B540" t="inlineStr">
        <is>
          <t>North America</t>
        </is>
      </c>
      <c r="C540" t="inlineStr">
        <is>
          <t>US / Canada</t>
        </is>
      </c>
      <c r="D540" s="12" t="n">
        <v>45778</v>
      </c>
      <c r="E540" s="13" t="n">
        <v>7.7</v>
      </c>
      <c r="F540" s="14" t="n">
        <v>639100</v>
      </c>
      <c r="G540" t="n">
        <v>8</v>
      </c>
      <c r="H540" s="12" t="n">
        <v>46023</v>
      </c>
      <c r="I540" s="12" t="n">
        <v>46023</v>
      </c>
      <c r="J540" t="b">
        <v>0</v>
      </c>
      <c r="K540" s="13" t="n">
        <v>0</v>
      </c>
    </row>
    <row r="541">
      <c r="A541" t="inlineStr">
        <is>
          <t>NX-00537</t>
        </is>
      </c>
      <c r="B541" t="inlineStr">
        <is>
          <t>North America</t>
        </is>
      </c>
      <c r="C541" t="inlineStr">
        <is>
          <t>US / Canada</t>
        </is>
      </c>
      <c r="D541" s="12" t="n">
        <v>45778</v>
      </c>
      <c r="E541" s="13" t="n">
        <v>20.8</v>
      </c>
      <c r="F541" s="14" t="n">
        <v>1726400</v>
      </c>
      <c r="G541" t="n">
        <v>14</v>
      </c>
      <c r="H541" s="12" t="n">
        <v>46204</v>
      </c>
      <c r="I541" s="12" t="n">
        <v>46204</v>
      </c>
      <c r="J541" t="b">
        <v>0</v>
      </c>
      <c r="K541" s="13" t="n">
        <v>0.29</v>
      </c>
    </row>
    <row r="542">
      <c r="A542" t="inlineStr">
        <is>
          <t>NX-00538</t>
        </is>
      </c>
      <c r="B542" t="inlineStr">
        <is>
          <t>North America</t>
        </is>
      </c>
      <c r="C542" t="inlineStr">
        <is>
          <t>US / Canada</t>
        </is>
      </c>
      <c r="D542" s="12" t="n">
        <v>45778</v>
      </c>
      <c r="E542" s="13" t="n">
        <v>41.4</v>
      </c>
      <c r="F542" s="14" t="n">
        <v>3436200</v>
      </c>
      <c r="G542" t="n">
        <v>10</v>
      </c>
      <c r="H542" s="12" t="n">
        <v>46082</v>
      </c>
      <c r="I542" s="12" t="n">
        <v>46082</v>
      </c>
      <c r="J542" t="b">
        <v>0</v>
      </c>
      <c r="K542" s="13" t="n">
        <v>0</v>
      </c>
    </row>
    <row r="543">
      <c r="A543" t="inlineStr">
        <is>
          <t>NX-00539</t>
        </is>
      </c>
      <c r="B543" t="inlineStr">
        <is>
          <t>North America</t>
        </is>
      </c>
      <c r="C543" t="inlineStr">
        <is>
          <t>US / Canada</t>
        </is>
      </c>
      <c r="D543" s="12" t="n">
        <v>45778</v>
      </c>
      <c r="E543" s="13" t="n">
        <v>20.6</v>
      </c>
      <c r="F543" s="14" t="n">
        <v>1709800</v>
      </c>
      <c r="G543" t="n">
        <v>10</v>
      </c>
      <c r="H543" s="12" t="n">
        <v>46082</v>
      </c>
      <c r="I543" s="12" t="n">
        <v>46082</v>
      </c>
      <c r="J543" t="b">
        <v>0</v>
      </c>
      <c r="K543" s="13" t="n">
        <v>0</v>
      </c>
    </row>
    <row r="544">
      <c r="A544" t="inlineStr">
        <is>
          <t>NX-00540</t>
        </is>
      </c>
      <c r="B544" t="inlineStr">
        <is>
          <t>North America</t>
        </is>
      </c>
      <c r="C544" t="inlineStr">
        <is>
          <t>US / Canada</t>
        </is>
      </c>
      <c r="D544" s="12" t="n">
        <v>45778</v>
      </c>
      <c r="E544" s="13" t="n">
        <v>98.5</v>
      </c>
      <c r="F544" s="14" t="n">
        <v>8175500</v>
      </c>
      <c r="G544" t="n">
        <v>5</v>
      </c>
      <c r="H544" s="12" t="n">
        <v>45931</v>
      </c>
      <c r="I544" s="12" t="n">
        <v>45931</v>
      </c>
      <c r="J544" t="b">
        <v>0</v>
      </c>
      <c r="K544" s="13" t="n">
        <v>0.05</v>
      </c>
    </row>
    <row r="545">
      <c r="A545" t="inlineStr">
        <is>
          <t>NX-00541</t>
        </is>
      </c>
      <c r="B545" t="inlineStr">
        <is>
          <t>North America</t>
        </is>
      </c>
      <c r="C545" t="inlineStr">
        <is>
          <t>US / Canada</t>
        </is>
      </c>
      <c r="D545" s="12" t="n">
        <v>45778</v>
      </c>
      <c r="E545" s="13" t="n">
        <v>19.2</v>
      </c>
      <c r="F545" s="14" t="n">
        <v>1593600</v>
      </c>
      <c r="G545" t="n">
        <v>14</v>
      </c>
      <c r="H545" s="12" t="n">
        <v>46204</v>
      </c>
      <c r="I545" s="12" t="n">
        <v>46204</v>
      </c>
      <c r="J545" t="b">
        <v>0</v>
      </c>
      <c r="K545" s="13" t="n">
        <v>0.02</v>
      </c>
    </row>
    <row r="546">
      <c r="A546" t="inlineStr">
        <is>
          <t>NX-00542</t>
        </is>
      </c>
      <c r="B546" t="inlineStr">
        <is>
          <t>North America</t>
        </is>
      </c>
      <c r="C546" t="inlineStr">
        <is>
          <t>US / Canada</t>
        </is>
      </c>
      <c r="D546" s="12" t="n">
        <v>45778</v>
      </c>
      <c r="E546" s="13" t="n">
        <v>25.8</v>
      </c>
      <c r="F546" s="14" t="n">
        <v>2141400</v>
      </c>
      <c r="G546" t="n">
        <v>8</v>
      </c>
      <c r="H546" s="12" t="n">
        <v>46023</v>
      </c>
      <c r="I546" s="12" t="n">
        <v>46023</v>
      </c>
      <c r="J546" t="b">
        <v>0</v>
      </c>
      <c r="K546" s="13" t="n">
        <v>0</v>
      </c>
    </row>
    <row r="547">
      <c r="A547" t="inlineStr">
        <is>
          <t>NX-00543</t>
        </is>
      </c>
      <c r="B547" t="inlineStr">
        <is>
          <t>North America</t>
        </is>
      </c>
      <c r="C547" t="inlineStr">
        <is>
          <t>US / Canada</t>
        </is>
      </c>
      <c r="D547" s="12" t="n">
        <v>45778</v>
      </c>
      <c r="E547" s="13" t="n">
        <v>16.2</v>
      </c>
      <c r="F547" s="14" t="n">
        <v>1344600</v>
      </c>
      <c r="G547" t="n">
        <v>19</v>
      </c>
      <c r="H547" s="12" t="n">
        <v>46357</v>
      </c>
      <c r="I547" s="12" t="n">
        <v>46357</v>
      </c>
      <c r="J547" t="b">
        <v>0</v>
      </c>
      <c r="K547" s="13" t="n">
        <v>0.11</v>
      </c>
    </row>
    <row r="548">
      <c r="A548" t="inlineStr">
        <is>
          <t>NX-00544</t>
        </is>
      </c>
      <c r="B548" t="inlineStr">
        <is>
          <t>North America</t>
        </is>
      </c>
      <c r="C548" t="inlineStr">
        <is>
          <t>US / Canada</t>
        </is>
      </c>
      <c r="D548" s="12" t="n">
        <v>45778</v>
      </c>
      <c r="E548" s="13" t="n">
        <v>29</v>
      </c>
      <c r="F548" s="14" t="n">
        <v>2407000</v>
      </c>
      <c r="G548" t="n">
        <v>5</v>
      </c>
      <c r="H548" s="12" t="n">
        <v>45931</v>
      </c>
      <c r="I548" s="12" t="n">
        <v>46204</v>
      </c>
      <c r="J548" t="b">
        <v>0</v>
      </c>
      <c r="K548" s="13" t="n">
        <v>9.279999999999999</v>
      </c>
    </row>
    <row r="549">
      <c r="A549" t="inlineStr">
        <is>
          <t>NX-00545</t>
        </is>
      </c>
      <c r="B549" t="inlineStr">
        <is>
          <t>North America</t>
        </is>
      </c>
      <c r="C549" t="inlineStr">
        <is>
          <t>US / Canada</t>
        </is>
      </c>
      <c r="D549" s="12" t="n">
        <v>45778</v>
      </c>
      <c r="E549" s="13" t="n">
        <v>3.6</v>
      </c>
      <c r="F549" s="14" t="n">
        <v>298800</v>
      </c>
      <c r="G549" t="n">
        <v>9</v>
      </c>
      <c r="H549" s="12" t="n">
        <v>46054</v>
      </c>
      <c r="I549" s="12" t="n">
        <v>46054</v>
      </c>
      <c r="J549" t="b">
        <v>0</v>
      </c>
      <c r="K549" s="13" t="n">
        <v>0.35</v>
      </c>
    </row>
    <row r="550">
      <c r="A550" t="inlineStr">
        <is>
          <t>NX-00546</t>
        </is>
      </c>
      <c r="B550" t="inlineStr">
        <is>
          <t>North America</t>
        </is>
      </c>
      <c r="C550" t="inlineStr">
        <is>
          <t>US / Canada</t>
        </is>
      </c>
      <c r="D550" s="12" t="n">
        <v>45778</v>
      </c>
      <c r="E550" s="13" t="n">
        <v>11.2</v>
      </c>
      <c r="F550" s="14" t="n">
        <v>929600</v>
      </c>
      <c r="G550" t="n">
        <v>5</v>
      </c>
      <c r="H550" s="12" t="n">
        <v>45931</v>
      </c>
      <c r="I550" s="12" t="n">
        <v>45931</v>
      </c>
      <c r="J550" t="b">
        <v>0</v>
      </c>
      <c r="K550" s="13" t="n">
        <v>0.03</v>
      </c>
    </row>
    <row r="551">
      <c r="A551" t="inlineStr">
        <is>
          <t>NX-00547</t>
        </is>
      </c>
      <c r="B551" t="inlineStr">
        <is>
          <t>North America</t>
        </is>
      </c>
      <c r="C551" t="inlineStr">
        <is>
          <t>US / Canada</t>
        </is>
      </c>
      <c r="D551" s="12" t="n">
        <v>45778</v>
      </c>
      <c r="E551" s="13" t="n">
        <v>11.2</v>
      </c>
      <c r="F551" s="14" t="n">
        <v>929600</v>
      </c>
      <c r="G551" t="n">
        <v>12</v>
      </c>
      <c r="H551" s="12" t="n">
        <v>46143</v>
      </c>
      <c r="I551" s="12" t="n">
        <v>46143</v>
      </c>
      <c r="J551" t="b">
        <v>0</v>
      </c>
      <c r="K551" s="13" t="n">
        <v>0.06</v>
      </c>
    </row>
    <row r="552">
      <c r="A552" t="inlineStr">
        <is>
          <t>NX-00548</t>
        </is>
      </c>
      <c r="B552" t="inlineStr">
        <is>
          <t>North America</t>
        </is>
      </c>
      <c r="C552" t="inlineStr">
        <is>
          <t>US / Canada</t>
        </is>
      </c>
      <c r="D552" s="12" t="n">
        <v>45778</v>
      </c>
      <c r="E552" s="13" t="n">
        <v>14</v>
      </c>
      <c r="F552" s="14" t="n">
        <v>1162000</v>
      </c>
      <c r="G552" t="n">
        <v>5</v>
      </c>
      <c r="H552" s="12" t="n">
        <v>45931</v>
      </c>
      <c r="I552" s="12" t="n">
        <v>45931</v>
      </c>
      <c r="J552" t="b">
        <v>0</v>
      </c>
      <c r="K552" s="13" t="n">
        <v>0</v>
      </c>
    </row>
    <row r="553">
      <c r="A553" t="inlineStr">
        <is>
          <t>NX-00549</t>
        </is>
      </c>
      <c r="B553" t="inlineStr">
        <is>
          <t>North America</t>
        </is>
      </c>
      <c r="C553" t="inlineStr">
        <is>
          <t>US / Canada</t>
        </is>
      </c>
      <c r="D553" s="12" t="n">
        <v>45778</v>
      </c>
      <c r="E553" s="13" t="n">
        <v>13.7</v>
      </c>
      <c r="F553" s="14" t="n">
        <v>1137100</v>
      </c>
      <c r="G553" t="n">
        <v>6</v>
      </c>
      <c r="H553" s="12" t="n">
        <v>45962</v>
      </c>
      <c r="I553" s="12" t="n">
        <v>45962</v>
      </c>
      <c r="J553" t="b">
        <v>0</v>
      </c>
      <c r="K553" s="13" t="n">
        <v>0</v>
      </c>
    </row>
    <row r="554">
      <c r="A554" t="inlineStr">
        <is>
          <t>NX-00550</t>
        </is>
      </c>
      <c r="B554" t="inlineStr">
        <is>
          <t>North America</t>
        </is>
      </c>
      <c r="C554" t="inlineStr">
        <is>
          <t>US / Canada</t>
        </is>
      </c>
      <c r="D554" s="12" t="n">
        <v>45778</v>
      </c>
      <c r="E554" s="13" t="n">
        <v>16.4</v>
      </c>
      <c r="F554" s="14" t="n">
        <v>1361200</v>
      </c>
      <c r="G554" t="n">
        <v>8</v>
      </c>
      <c r="H554" s="12" t="n">
        <v>46023</v>
      </c>
      <c r="I554" s="12" t="n">
        <v>46023</v>
      </c>
      <c r="J554" t="b">
        <v>0</v>
      </c>
      <c r="K554" s="13" t="n">
        <v>0.35</v>
      </c>
    </row>
    <row r="555">
      <c r="A555" t="inlineStr">
        <is>
          <t>NX-00551</t>
        </is>
      </c>
      <c r="B555" t="inlineStr">
        <is>
          <t>North America</t>
        </is>
      </c>
      <c r="C555" t="inlineStr">
        <is>
          <t>US / Canada</t>
        </is>
      </c>
      <c r="D555" s="12" t="n">
        <v>45778</v>
      </c>
      <c r="E555" s="13" t="n">
        <v>24.2</v>
      </c>
      <c r="F555" s="14" t="n">
        <v>2008600</v>
      </c>
      <c r="G555" t="n">
        <v>13</v>
      </c>
      <c r="H555" s="12" t="n">
        <v>46174</v>
      </c>
      <c r="I555" s="12" t="n">
        <v>46266</v>
      </c>
      <c r="J555" t="b">
        <v>0</v>
      </c>
      <c r="K555" s="13" t="n">
        <v>2.88</v>
      </c>
    </row>
    <row r="556">
      <c r="A556" t="inlineStr">
        <is>
          <t>NX-00552</t>
        </is>
      </c>
      <c r="B556" t="inlineStr">
        <is>
          <t>North America</t>
        </is>
      </c>
      <c r="C556" t="inlineStr">
        <is>
          <t>US / Canada</t>
        </is>
      </c>
      <c r="D556" s="12" t="n">
        <v>45778</v>
      </c>
      <c r="E556" s="13" t="n">
        <v>11.4</v>
      </c>
      <c r="F556" s="14" t="n">
        <v>946200</v>
      </c>
      <c r="G556" t="n">
        <v>19</v>
      </c>
      <c r="H556" s="12" t="n">
        <v>46357</v>
      </c>
      <c r="I556" s="12" t="n">
        <v>46357</v>
      </c>
      <c r="J556" t="b">
        <v>0</v>
      </c>
      <c r="K556" s="13" t="n">
        <v>0.01</v>
      </c>
    </row>
    <row r="557">
      <c r="A557" t="inlineStr">
        <is>
          <t>NX-00553</t>
        </is>
      </c>
      <c r="B557" t="inlineStr">
        <is>
          <t>North America</t>
        </is>
      </c>
      <c r="C557" t="inlineStr">
        <is>
          <t>US / Canada</t>
        </is>
      </c>
      <c r="D557" s="12" t="n">
        <v>45778</v>
      </c>
      <c r="E557" s="13" t="n">
        <v>7.1</v>
      </c>
      <c r="F557" s="14" t="n">
        <v>589300</v>
      </c>
      <c r="G557" t="n">
        <v>7</v>
      </c>
      <c r="H557" s="12" t="n">
        <v>45992</v>
      </c>
      <c r="I557" s="12" t="n">
        <v>45992</v>
      </c>
      <c r="J557" t="b">
        <v>0</v>
      </c>
      <c r="K557" s="13" t="n">
        <v>0.5</v>
      </c>
    </row>
    <row r="558">
      <c r="A558" t="inlineStr">
        <is>
          <t>NX-00554</t>
        </is>
      </c>
      <c r="B558" t="inlineStr">
        <is>
          <t>North America</t>
        </is>
      </c>
      <c r="C558" t="inlineStr">
        <is>
          <t>US / Canada</t>
        </is>
      </c>
      <c r="D558" s="12" t="n">
        <v>45778</v>
      </c>
      <c r="E558" s="13" t="n">
        <v>81.59999999999999</v>
      </c>
      <c r="F558" s="14" t="n">
        <v>6772799.999999999</v>
      </c>
      <c r="G558" t="n">
        <v>11</v>
      </c>
      <c r="H558" s="12" t="n">
        <v>46113</v>
      </c>
      <c r="I558" s="12" t="n">
        <v>46113</v>
      </c>
      <c r="J558" t="b">
        <v>0</v>
      </c>
      <c r="K558" s="13" t="n">
        <v>0.06</v>
      </c>
    </row>
    <row r="559">
      <c r="A559" t="inlineStr">
        <is>
          <t>NX-00555</t>
        </is>
      </c>
      <c r="B559" t="inlineStr">
        <is>
          <t>North America</t>
        </is>
      </c>
      <c r="C559" t="inlineStr">
        <is>
          <t>US / Canada</t>
        </is>
      </c>
      <c r="D559" s="12" t="n">
        <v>45778</v>
      </c>
      <c r="E559" s="13" t="n">
        <v>4.6</v>
      </c>
      <c r="F559" s="14" t="n">
        <v>381800</v>
      </c>
      <c r="G559" t="n">
        <v>18</v>
      </c>
      <c r="H559" s="12" t="n">
        <v>46327</v>
      </c>
      <c r="I559" s="12" t="n">
        <v>46388</v>
      </c>
      <c r="J559" t="b">
        <v>0</v>
      </c>
      <c r="K559" s="13" t="n">
        <v>2.35</v>
      </c>
    </row>
    <row r="560">
      <c r="A560" t="inlineStr">
        <is>
          <t>NX-00556</t>
        </is>
      </c>
      <c r="B560" t="inlineStr">
        <is>
          <t>North America</t>
        </is>
      </c>
      <c r="C560" t="inlineStr">
        <is>
          <t>US / Canada</t>
        </is>
      </c>
      <c r="D560" s="12" t="n">
        <v>45778</v>
      </c>
      <c r="E560" s="13" t="n">
        <v>9.1</v>
      </c>
      <c r="F560" s="14" t="n">
        <v>755300</v>
      </c>
      <c r="G560" t="n">
        <v>5</v>
      </c>
      <c r="H560" s="12" t="n">
        <v>45931</v>
      </c>
      <c r="I560" s="12" t="n">
        <v>45931</v>
      </c>
      <c r="J560" t="b">
        <v>0</v>
      </c>
      <c r="K560" s="13" t="n">
        <v>0.07000000000000001</v>
      </c>
    </row>
    <row r="561">
      <c r="A561" t="inlineStr">
        <is>
          <t>NX-00557</t>
        </is>
      </c>
      <c r="B561" t="inlineStr">
        <is>
          <t>North America</t>
        </is>
      </c>
      <c r="C561" t="inlineStr">
        <is>
          <t>US / Canada</t>
        </is>
      </c>
      <c r="D561" s="12" t="n">
        <v>45778</v>
      </c>
      <c r="E561" s="13" t="n">
        <v>28.3</v>
      </c>
      <c r="F561" s="14" t="n">
        <v>2348900</v>
      </c>
      <c r="G561" t="n">
        <v>6</v>
      </c>
      <c r="H561" s="12" t="n">
        <v>45962</v>
      </c>
      <c r="I561" s="12" t="n">
        <v>45962</v>
      </c>
      <c r="J561" t="b">
        <v>0</v>
      </c>
      <c r="K561" s="13" t="n">
        <v>0.04</v>
      </c>
    </row>
    <row r="562">
      <c r="A562" t="inlineStr">
        <is>
          <t>NX-00558</t>
        </is>
      </c>
      <c r="B562" t="inlineStr">
        <is>
          <t>North America</t>
        </is>
      </c>
      <c r="C562" t="inlineStr">
        <is>
          <t>US / Canada</t>
        </is>
      </c>
      <c r="D562" s="12" t="n">
        <v>45778</v>
      </c>
      <c r="E562" s="13" t="n">
        <v>6.2</v>
      </c>
      <c r="F562" s="14" t="n">
        <v>514600</v>
      </c>
      <c r="G562" t="n">
        <v>8</v>
      </c>
      <c r="H562" s="12" t="n">
        <v>46023</v>
      </c>
      <c r="I562" s="12" t="n">
        <v>46023</v>
      </c>
      <c r="J562" t="b">
        <v>0</v>
      </c>
      <c r="K562" s="13" t="n">
        <v>0.16</v>
      </c>
    </row>
    <row r="563">
      <c r="A563" t="inlineStr">
        <is>
          <t>NX-00559</t>
        </is>
      </c>
      <c r="B563" t="inlineStr">
        <is>
          <t>EMEA</t>
        </is>
      </c>
      <c r="C563" t="inlineStr">
        <is>
          <t>Europe</t>
        </is>
      </c>
      <c r="D563" s="12" t="n">
        <v>45778</v>
      </c>
      <c r="E563" s="13" t="n">
        <v>2.2</v>
      </c>
      <c r="F563" s="14" t="n">
        <v>193600</v>
      </c>
      <c r="G563" t="n">
        <v>5</v>
      </c>
      <c r="H563" s="12" t="n">
        <v>45931</v>
      </c>
      <c r="I563" s="12" t="n">
        <v>45931</v>
      </c>
      <c r="J563" t="b">
        <v>0</v>
      </c>
      <c r="K563" s="13" t="n">
        <v>0.01</v>
      </c>
    </row>
    <row r="564">
      <c r="A564" t="inlineStr">
        <is>
          <t>NX-00560</t>
        </is>
      </c>
      <c r="B564" t="inlineStr">
        <is>
          <t>EMEA</t>
        </is>
      </c>
      <c r="C564" t="inlineStr">
        <is>
          <t>Europe</t>
        </is>
      </c>
      <c r="D564" s="12" t="n">
        <v>45778</v>
      </c>
      <c r="E564" s="13" t="n">
        <v>35.3</v>
      </c>
      <c r="F564" s="14" t="n">
        <v>3106400</v>
      </c>
      <c r="G564" t="n">
        <v>7</v>
      </c>
      <c r="H564" s="12" t="n">
        <v>45992</v>
      </c>
      <c r="I564" s="12" t="n">
        <v>45992</v>
      </c>
      <c r="J564" t="b">
        <v>0</v>
      </c>
      <c r="K564" s="13" t="n">
        <v>0.01</v>
      </c>
    </row>
    <row r="565">
      <c r="A565" t="inlineStr">
        <is>
          <t>NX-00561</t>
        </is>
      </c>
      <c r="B565" t="inlineStr">
        <is>
          <t>EMEA</t>
        </is>
      </c>
      <c r="C565" t="inlineStr">
        <is>
          <t>Europe</t>
        </is>
      </c>
      <c r="D565" s="12" t="n">
        <v>45778</v>
      </c>
      <c r="E565" s="13" t="n">
        <v>23</v>
      </c>
      <c r="F565" s="14" t="n">
        <v>2024000</v>
      </c>
      <c r="G565" t="n">
        <v>13</v>
      </c>
      <c r="H565" s="12" t="n">
        <v>46174</v>
      </c>
      <c r="I565" s="12" t="n">
        <v>46204</v>
      </c>
      <c r="J565" t="b">
        <v>0</v>
      </c>
      <c r="K565" s="13" t="n">
        <v>0.53</v>
      </c>
    </row>
    <row r="566">
      <c r="A566" t="inlineStr">
        <is>
          <t>NX-00562</t>
        </is>
      </c>
      <c r="B566" t="inlineStr">
        <is>
          <t>EMEA</t>
        </is>
      </c>
      <c r="C566" t="inlineStr">
        <is>
          <t>Europe</t>
        </is>
      </c>
      <c r="D566" s="12" t="n">
        <v>45778</v>
      </c>
      <c r="E566" s="13" t="n">
        <v>11.8</v>
      </c>
      <c r="F566" s="14" t="n">
        <v>1038400</v>
      </c>
      <c r="G566" t="n">
        <v>9</v>
      </c>
      <c r="H566" s="12" t="n">
        <v>46054</v>
      </c>
      <c r="I566" s="12" t="n">
        <v>46054</v>
      </c>
      <c r="J566" t="b">
        <v>0</v>
      </c>
      <c r="K566" s="13" t="n">
        <v>0.49</v>
      </c>
    </row>
    <row r="567">
      <c r="A567" t="inlineStr">
        <is>
          <t>NX-00563</t>
        </is>
      </c>
      <c r="B567" t="inlineStr">
        <is>
          <t>EMEA</t>
        </is>
      </c>
      <c r="C567" t="inlineStr">
        <is>
          <t>MENA</t>
        </is>
      </c>
      <c r="D567" s="12" t="n">
        <v>45778</v>
      </c>
      <c r="E567" s="13" t="n">
        <v>106.4</v>
      </c>
      <c r="F567" s="14" t="n">
        <v>8618400</v>
      </c>
      <c r="G567" t="n">
        <v>6</v>
      </c>
      <c r="H567" s="12" t="n">
        <v>45962</v>
      </c>
      <c r="I567" s="12" t="n">
        <v>45992</v>
      </c>
      <c r="J567" t="b">
        <v>0</v>
      </c>
      <c r="K567" s="13" t="n">
        <v>0.91</v>
      </c>
    </row>
    <row r="568">
      <c r="A568" t="inlineStr">
        <is>
          <t>NX-00564</t>
        </is>
      </c>
      <c r="B568" t="inlineStr">
        <is>
          <t>EMEA</t>
        </is>
      </c>
      <c r="C568" t="inlineStr">
        <is>
          <t>MENA</t>
        </is>
      </c>
      <c r="D568" s="12" t="n">
        <v>45778</v>
      </c>
      <c r="E568" s="13" t="n">
        <v>83.90000000000001</v>
      </c>
      <c r="F568" s="14" t="n">
        <v>6795900</v>
      </c>
      <c r="G568" t="n">
        <v>8</v>
      </c>
      <c r="H568" s="12" t="n">
        <v>46023</v>
      </c>
      <c r="I568" s="12" t="n">
        <v>46023</v>
      </c>
      <c r="J568" t="b">
        <v>0</v>
      </c>
      <c r="K568" s="13" t="n">
        <v>0.07000000000000001</v>
      </c>
    </row>
    <row r="569">
      <c r="A569" t="inlineStr">
        <is>
          <t>NX-00565</t>
        </is>
      </c>
      <c r="B569" t="inlineStr">
        <is>
          <t>APAC</t>
        </is>
      </c>
      <c r="C569" t="inlineStr">
        <is>
          <t>India</t>
        </is>
      </c>
      <c r="D569" s="12" t="n">
        <v>45778</v>
      </c>
      <c r="E569" s="13" t="n">
        <v>8.800000000000001</v>
      </c>
      <c r="F569" s="14" t="n">
        <v>624800</v>
      </c>
      <c r="G569" t="n">
        <v>15</v>
      </c>
      <c r="H569" s="12" t="n">
        <v>46235</v>
      </c>
      <c r="I569" s="12" t="n">
        <v>46266</v>
      </c>
      <c r="J569" t="b">
        <v>0</v>
      </c>
      <c r="K569" s="13" t="n">
        <v>0.76</v>
      </c>
    </row>
    <row r="570">
      <c r="A570" t="inlineStr">
        <is>
          <t>NX-00566</t>
        </is>
      </c>
      <c r="B570" t="inlineStr">
        <is>
          <t>APAC</t>
        </is>
      </c>
      <c r="C570" t="inlineStr">
        <is>
          <t>India</t>
        </is>
      </c>
      <c r="D570" s="12" t="n">
        <v>45778</v>
      </c>
      <c r="E570" s="13" t="n">
        <v>13.6</v>
      </c>
      <c r="F570" s="14" t="n">
        <v>965600</v>
      </c>
      <c r="G570" t="n">
        <v>12</v>
      </c>
      <c r="H570" s="12" t="n">
        <v>46143</v>
      </c>
      <c r="I570" s="12" t="n">
        <v>46235</v>
      </c>
      <c r="J570" t="b">
        <v>0</v>
      </c>
      <c r="K570" s="13" t="n">
        <v>3.21</v>
      </c>
    </row>
    <row r="571">
      <c r="A571" t="inlineStr">
        <is>
          <t>NX-00567</t>
        </is>
      </c>
      <c r="B571" t="inlineStr">
        <is>
          <t>APAC</t>
        </is>
      </c>
      <c r="C571" t="inlineStr">
        <is>
          <t>Australia/SEA</t>
        </is>
      </c>
      <c r="D571" s="12" t="n">
        <v>45778</v>
      </c>
      <c r="E571" s="13" t="n">
        <v>12.8</v>
      </c>
      <c r="F571" s="14" t="n">
        <v>1075200</v>
      </c>
      <c r="G571" t="n">
        <v>10</v>
      </c>
      <c r="H571" s="12" t="n">
        <v>46082</v>
      </c>
      <c r="I571" s="12" t="n">
        <v>46143</v>
      </c>
      <c r="J571" t="b">
        <v>0</v>
      </c>
      <c r="K571" s="13" t="n">
        <v>1.85</v>
      </c>
    </row>
    <row r="572">
      <c r="A572" t="inlineStr">
        <is>
          <t>NX-00568</t>
        </is>
      </c>
      <c r="B572" t="inlineStr">
        <is>
          <t>APAC</t>
        </is>
      </c>
      <c r="C572" t="inlineStr">
        <is>
          <t>Australia/SEA</t>
        </is>
      </c>
      <c r="D572" s="12" t="n">
        <v>45778</v>
      </c>
      <c r="E572" s="13" t="n">
        <v>6.4</v>
      </c>
      <c r="F572" s="14" t="n">
        <v>537600</v>
      </c>
      <c r="G572" t="n">
        <v>11</v>
      </c>
      <c r="H572" s="12" t="n">
        <v>46113</v>
      </c>
      <c r="I572" s="12" t="n">
        <v>46174</v>
      </c>
      <c r="J572" t="b">
        <v>0</v>
      </c>
      <c r="K572" s="13" t="n">
        <v>1.84</v>
      </c>
    </row>
    <row r="573">
      <c r="A573" t="inlineStr">
        <is>
          <t>NX-00569</t>
        </is>
      </c>
      <c r="B573" t="inlineStr">
        <is>
          <t>LATAM</t>
        </is>
      </c>
      <c r="C573" t="inlineStr">
        <is>
          <t>LATAM</t>
        </is>
      </c>
      <c r="D573" s="12" t="n">
        <v>45778</v>
      </c>
      <c r="E573" s="13" t="n">
        <v>19.3</v>
      </c>
      <c r="F573" s="14" t="n">
        <v>1524700</v>
      </c>
      <c r="G573" t="n">
        <v>10</v>
      </c>
      <c r="H573" s="12" t="n">
        <v>46082</v>
      </c>
      <c r="I573" s="12" t="n">
        <v>46204</v>
      </c>
      <c r="J573" t="b">
        <v>0</v>
      </c>
      <c r="K573" s="13" t="n">
        <v>3.58</v>
      </c>
    </row>
    <row r="574">
      <c r="A574" t="inlineStr">
        <is>
          <t>NX-00570</t>
        </is>
      </c>
      <c r="B574" t="inlineStr">
        <is>
          <t>LATAM</t>
        </is>
      </c>
      <c r="C574" t="inlineStr">
        <is>
          <t>LATAM</t>
        </is>
      </c>
      <c r="D574" s="12" t="n">
        <v>45778</v>
      </c>
      <c r="E574" s="13" t="n">
        <v>27.3</v>
      </c>
      <c r="F574" s="14" t="n">
        <v>2156700</v>
      </c>
      <c r="G574" t="n">
        <v>13</v>
      </c>
      <c r="H574" s="12" t="n">
        <v>46174</v>
      </c>
      <c r="I574" s="12" t="n">
        <v>46174</v>
      </c>
      <c r="J574" t="b">
        <v>0</v>
      </c>
      <c r="K574" s="13" t="n">
        <v>0.15</v>
      </c>
    </row>
    <row r="575">
      <c r="A575" t="inlineStr">
        <is>
          <t>NX-00571</t>
        </is>
      </c>
      <c r="B575" t="inlineStr">
        <is>
          <t>North America</t>
        </is>
      </c>
      <c r="C575" t="inlineStr">
        <is>
          <t>US / Canada</t>
        </is>
      </c>
      <c r="D575" s="12" t="n">
        <v>45809</v>
      </c>
      <c r="E575" s="13" t="n">
        <v>18.7</v>
      </c>
      <c r="F575" s="14" t="n">
        <v>1552100</v>
      </c>
      <c r="G575" t="n">
        <v>7</v>
      </c>
      <c r="H575" s="12" t="n">
        <v>46023</v>
      </c>
      <c r="I575" s="12" t="n">
        <v>46023</v>
      </c>
      <c r="J575" t="b">
        <v>0</v>
      </c>
      <c r="K575" s="13" t="n">
        <v>0.01</v>
      </c>
    </row>
    <row r="576">
      <c r="A576" t="inlineStr">
        <is>
          <t>NX-00572</t>
        </is>
      </c>
      <c r="B576" t="inlineStr">
        <is>
          <t>North America</t>
        </is>
      </c>
      <c r="C576" t="inlineStr">
        <is>
          <t>US / Canada</t>
        </is>
      </c>
      <c r="D576" s="12" t="n">
        <v>45809</v>
      </c>
      <c r="E576" s="13" t="n">
        <v>12.1</v>
      </c>
      <c r="F576" s="14" t="n">
        <v>1004300</v>
      </c>
      <c r="G576" t="n">
        <v>6</v>
      </c>
      <c r="H576" s="12" t="n">
        <v>45992</v>
      </c>
      <c r="I576" s="12" t="n">
        <v>46113</v>
      </c>
      <c r="J576" t="b">
        <v>0</v>
      </c>
      <c r="K576" s="13" t="n">
        <v>4.21</v>
      </c>
    </row>
    <row r="577">
      <c r="A577" t="inlineStr">
        <is>
          <t>NX-00573</t>
        </is>
      </c>
      <c r="B577" t="inlineStr">
        <is>
          <t>North America</t>
        </is>
      </c>
      <c r="C577" t="inlineStr">
        <is>
          <t>US / Canada</t>
        </is>
      </c>
      <c r="D577" s="12" t="n">
        <v>45809</v>
      </c>
      <c r="E577" s="13" t="n">
        <v>29.8</v>
      </c>
      <c r="F577" s="14" t="n">
        <v>2473400</v>
      </c>
      <c r="G577" t="n">
        <v>5</v>
      </c>
      <c r="H577" s="12" t="n">
        <v>45962</v>
      </c>
      <c r="I577" s="12" t="n">
        <v>45962</v>
      </c>
      <c r="J577" t="b">
        <v>0</v>
      </c>
      <c r="K577" s="13" t="n">
        <v>0.04</v>
      </c>
    </row>
    <row r="578">
      <c r="A578" t="inlineStr">
        <is>
          <t>NX-00574</t>
        </is>
      </c>
      <c r="B578" t="inlineStr">
        <is>
          <t>North America</t>
        </is>
      </c>
      <c r="C578" t="inlineStr">
        <is>
          <t>US / Canada</t>
        </is>
      </c>
      <c r="D578" s="12" t="n">
        <v>45809</v>
      </c>
      <c r="E578" s="13" t="n">
        <v>14.7</v>
      </c>
      <c r="F578" s="14" t="n">
        <v>1220100</v>
      </c>
      <c r="G578" t="n">
        <v>5</v>
      </c>
      <c r="H578" s="12" t="n">
        <v>45962</v>
      </c>
      <c r="I578" s="12" t="n">
        <v>45992</v>
      </c>
      <c r="J578" t="b">
        <v>0</v>
      </c>
      <c r="K578" s="13" t="n">
        <v>0.9399999999999999</v>
      </c>
    </row>
    <row r="579">
      <c r="A579" t="inlineStr">
        <is>
          <t>NX-00575</t>
        </is>
      </c>
      <c r="B579" t="inlineStr">
        <is>
          <t>North America</t>
        </is>
      </c>
      <c r="C579" t="inlineStr">
        <is>
          <t>US / Canada</t>
        </is>
      </c>
      <c r="D579" s="12" t="n">
        <v>45809</v>
      </c>
      <c r="E579" s="13" t="n">
        <v>7.9</v>
      </c>
      <c r="F579" s="14" t="n">
        <v>655700</v>
      </c>
      <c r="G579" t="n">
        <v>7</v>
      </c>
      <c r="H579" s="12" t="n">
        <v>46023</v>
      </c>
      <c r="I579" s="12" t="n">
        <v>46054</v>
      </c>
      <c r="J579" t="b">
        <v>0</v>
      </c>
      <c r="K579" s="13" t="n">
        <v>0.53</v>
      </c>
    </row>
    <row r="580">
      <c r="A580" t="inlineStr">
        <is>
          <t>NX-00576</t>
        </is>
      </c>
      <c r="B580" t="inlineStr">
        <is>
          <t>North America</t>
        </is>
      </c>
      <c r="C580" t="inlineStr">
        <is>
          <t>US / Canada</t>
        </is>
      </c>
      <c r="D580" s="12" t="n">
        <v>45809</v>
      </c>
      <c r="E580" s="13" t="n">
        <v>13.1</v>
      </c>
      <c r="F580" s="14" t="n">
        <v>1087300</v>
      </c>
      <c r="G580" t="n">
        <v>5</v>
      </c>
      <c r="H580" s="12" t="n">
        <v>45962</v>
      </c>
      <c r="I580" s="12" t="n">
        <v>45962</v>
      </c>
      <c r="J580" t="b">
        <v>0</v>
      </c>
      <c r="K580" s="13" t="n">
        <v>0</v>
      </c>
    </row>
    <row r="581">
      <c r="A581" t="inlineStr">
        <is>
          <t>NX-00577</t>
        </is>
      </c>
      <c r="B581" t="inlineStr">
        <is>
          <t>North America</t>
        </is>
      </c>
      <c r="C581" t="inlineStr">
        <is>
          <t>US / Canada</t>
        </is>
      </c>
      <c r="D581" s="12" t="n">
        <v>45809</v>
      </c>
      <c r="E581" s="13" t="n">
        <v>11.6</v>
      </c>
      <c r="F581" s="14" t="n">
        <v>962800</v>
      </c>
      <c r="G581" t="n">
        <v>17</v>
      </c>
      <c r="H581" s="12" t="n">
        <v>46327</v>
      </c>
      <c r="I581" s="12" t="n">
        <v>46388</v>
      </c>
      <c r="J581" t="b">
        <v>0</v>
      </c>
      <c r="K581" s="13" t="n">
        <v>1.9</v>
      </c>
    </row>
    <row r="582">
      <c r="A582" t="inlineStr">
        <is>
          <t>NX-00578</t>
        </is>
      </c>
      <c r="B582" t="inlineStr">
        <is>
          <t>North America</t>
        </is>
      </c>
      <c r="C582" t="inlineStr">
        <is>
          <t>US / Canada</t>
        </is>
      </c>
      <c r="D582" s="12" t="n">
        <v>45809</v>
      </c>
      <c r="E582" s="13" t="n">
        <v>3.9</v>
      </c>
      <c r="F582" s="14" t="n">
        <v>323700</v>
      </c>
      <c r="G582" t="n">
        <v>7</v>
      </c>
      <c r="H582" s="12" t="n">
        <v>46023</v>
      </c>
      <c r="I582" s="12" t="n">
        <v>46113</v>
      </c>
      <c r="J582" t="b">
        <v>0</v>
      </c>
      <c r="K582" s="13" t="n">
        <v>3.46</v>
      </c>
    </row>
    <row r="583">
      <c r="A583" t="inlineStr">
        <is>
          <t>NX-00579</t>
        </is>
      </c>
      <c r="B583" t="inlineStr">
        <is>
          <t>North America</t>
        </is>
      </c>
      <c r="C583" t="inlineStr">
        <is>
          <t>US / Canada</t>
        </is>
      </c>
      <c r="D583" s="12" t="n">
        <v>45809</v>
      </c>
      <c r="E583" s="13" t="n">
        <v>6.7</v>
      </c>
      <c r="F583" s="14" t="n">
        <v>556100</v>
      </c>
      <c r="G583" t="n">
        <v>6</v>
      </c>
      <c r="H583" s="12" t="n">
        <v>45992</v>
      </c>
      <c r="I583" s="12" t="n">
        <v>45992</v>
      </c>
      <c r="J583" t="b">
        <v>0</v>
      </c>
      <c r="K583" s="13" t="n">
        <v>0</v>
      </c>
    </row>
    <row r="584">
      <c r="A584" t="inlineStr">
        <is>
          <t>NX-00580</t>
        </is>
      </c>
      <c r="B584" t="inlineStr">
        <is>
          <t>North America</t>
        </is>
      </c>
      <c r="C584" t="inlineStr">
        <is>
          <t>US / Canada</t>
        </is>
      </c>
      <c r="D584" s="12" t="n">
        <v>45809</v>
      </c>
      <c r="E584" s="13" t="n">
        <v>6.1</v>
      </c>
      <c r="F584" s="14" t="n">
        <v>506300</v>
      </c>
      <c r="G584" t="n">
        <v>5</v>
      </c>
      <c r="H584" s="12" t="n">
        <v>45962</v>
      </c>
      <c r="I584" s="12" t="n">
        <v>45962</v>
      </c>
      <c r="J584" t="b">
        <v>0</v>
      </c>
      <c r="K584" s="13" t="n">
        <v>0</v>
      </c>
    </row>
    <row r="585">
      <c r="A585" t="inlineStr">
        <is>
          <t>NX-00581</t>
        </is>
      </c>
      <c r="B585" t="inlineStr">
        <is>
          <t>North America</t>
        </is>
      </c>
      <c r="C585" t="inlineStr">
        <is>
          <t>US / Canada</t>
        </is>
      </c>
      <c r="D585" s="12" t="n">
        <v>45809</v>
      </c>
      <c r="E585" s="13" t="n">
        <v>6.5</v>
      </c>
      <c r="F585" s="14" t="n">
        <v>539500</v>
      </c>
      <c r="G585" t="n">
        <v>7</v>
      </c>
      <c r="H585" s="12" t="n">
        <v>46023</v>
      </c>
      <c r="I585" s="12" t="n">
        <v>46023</v>
      </c>
      <c r="J585" t="b">
        <v>0</v>
      </c>
      <c r="K585" s="13" t="n">
        <v>0</v>
      </c>
    </row>
    <row r="586">
      <c r="A586" t="inlineStr">
        <is>
          <t>NX-00582</t>
        </is>
      </c>
      <c r="B586" t="inlineStr">
        <is>
          <t>North America</t>
        </is>
      </c>
      <c r="C586" t="inlineStr">
        <is>
          <t>US / Canada</t>
        </is>
      </c>
      <c r="D586" s="12" t="n">
        <v>45809</v>
      </c>
      <c r="E586" s="13" t="n">
        <v>8</v>
      </c>
      <c r="F586" s="14" t="n">
        <v>664000</v>
      </c>
      <c r="G586" t="n">
        <v>8</v>
      </c>
      <c r="H586" s="12" t="n">
        <v>46054</v>
      </c>
      <c r="I586" s="12" t="n">
        <v>46054</v>
      </c>
      <c r="J586" t="b">
        <v>0</v>
      </c>
      <c r="K586" s="13" t="n">
        <v>0.49</v>
      </c>
    </row>
    <row r="587">
      <c r="A587" t="inlineStr">
        <is>
          <t>NX-00583</t>
        </is>
      </c>
      <c r="B587" t="inlineStr">
        <is>
          <t>North America</t>
        </is>
      </c>
      <c r="C587" t="inlineStr">
        <is>
          <t>US / Canada</t>
        </is>
      </c>
      <c r="D587" s="12" t="n">
        <v>45809</v>
      </c>
      <c r="E587" s="13" t="n">
        <v>2.8</v>
      </c>
      <c r="F587" s="14" t="n">
        <v>232400</v>
      </c>
      <c r="G587" t="n">
        <v>20</v>
      </c>
      <c r="H587" s="12" t="n">
        <v>46419</v>
      </c>
      <c r="I587" s="12" t="n">
        <v>46419</v>
      </c>
      <c r="J587" t="b">
        <v>0</v>
      </c>
      <c r="K587" s="13" t="n">
        <v>0.09</v>
      </c>
    </row>
    <row r="588">
      <c r="A588" t="inlineStr">
        <is>
          <t>NX-00584</t>
        </is>
      </c>
      <c r="B588" t="inlineStr">
        <is>
          <t>North America</t>
        </is>
      </c>
      <c r="C588" t="inlineStr">
        <is>
          <t>US / Canada</t>
        </is>
      </c>
      <c r="D588" s="12" t="n">
        <v>45809</v>
      </c>
      <c r="E588" s="13" t="n">
        <v>21.1</v>
      </c>
      <c r="F588" s="14" t="n">
        <v>1751300</v>
      </c>
      <c r="G588" t="n">
        <v>5</v>
      </c>
      <c r="H588" s="12" t="n">
        <v>45962</v>
      </c>
      <c r="I588" s="12" t="n">
        <v>45962</v>
      </c>
      <c r="J588" t="b">
        <v>0</v>
      </c>
      <c r="K588" s="13" t="n">
        <v>0.13</v>
      </c>
    </row>
    <row r="589">
      <c r="A589" t="inlineStr">
        <is>
          <t>NX-00585</t>
        </is>
      </c>
      <c r="B589" t="inlineStr">
        <is>
          <t>North America</t>
        </is>
      </c>
      <c r="C589" t="inlineStr">
        <is>
          <t>US / Canada</t>
        </is>
      </c>
      <c r="D589" s="12" t="n">
        <v>45809</v>
      </c>
      <c r="E589" s="13" t="n">
        <v>5.9</v>
      </c>
      <c r="F589" s="14" t="n">
        <v>489700.0000000001</v>
      </c>
      <c r="G589" t="n">
        <v>16</v>
      </c>
      <c r="H589" s="12" t="n">
        <v>46296</v>
      </c>
      <c r="I589" s="12" t="n">
        <v>46296</v>
      </c>
      <c r="J589" t="b">
        <v>0</v>
      </c>
      <c r="K589" s="13" t="n">
        <v>0.04</v>
      </c>
    </row>
    <row r="590">
      <c r="A590" t="inlineStr">
        <is>
          <t>NX-00586</t>
        </is>
      </c>
      <c r="B590" t="inlineStr">
        <is>
          <t>North America</t>
        </is>
      </c>
      <c r="C590" t="inlineStr">
        <is>
          <t>US / Canada</t>
        </is>
      </c>
      <c r="D590" s="12" t="n">
        <v>45809</v>
      </c>
      <c r="E590" s="13" t="n">
        <v>6.4</v>
      </c>
      <c r="F590" s="14" t="n">
        <v>531200</v>
      </c>
      <c r="G590" t="n">
        <v>9</v>
      </c>
      <c r="H590" s="12" t="n">
        <v>46082</v>
      </c>
      <c r="I590" s="12" t="n">
        <v>46082</v>
      </c>
      <c r="J590" t="b">
        <v>0</v>
      </c>
      <c r="K590" s="13" t="n">
        <v>0.02</v>
      </c>
    </row>
    <row r="591">
      <c r="A591" t="inlineStr">
        <is>
          <t>NX-00587</t>
        </is>
      </c>
      <c r="B591" t="inlineStr">
        <is>
          <t>North America</t>
        </is>
      </c>
      <c r="C591" t="inlineStr">
        <is>
          <t>US / Canada</t>
        </is>
      </c>
      <c r="D591" s="12" t="n">
        <v>45809</v>
      </c>
      <c r="E591" s="13" t="n">
        <v>10.7</v>
      </c>
      <c r="F591" s="14" t="n">
        <v>888099.9999999999</v>
      </c>
      <c r="G591" t="n">
        <v>22</v>
      </c>
      <c r="H591" s="12" t="n">
        <v>46478</v>
      </c>
      <c r="I591" s="12" t="n">
        <v>46539</v>
      </c>
      <c r="J591" t="b">
        <v>0</v>
      </c>
      <c r="K591" s="13" t="n">
        <v>2.02</v>
      </c>
    </row>
    <row r="592">
      <c r="A592" t="inlineStr">
        <is>
          <t>NX-00588</t>
        </is>
      </c>
      <c r="B592" t="inlineStr">
        <is>
          <t>North America</t>
        </is>
      </c>
      <c r="C592" t="inlineStr">
        <is>
          <t>US / Canada</t>
        </is>
      </c>
      <c r="D592" s="12" t="n">
        <v>45809</v>
      </c>
      <c r="E592" s="13" t="n">
        <v>4.1</v>
      </c>
      <c r="F592" s="14" t="n">
        <v>340299.9999999999</v>
      </c>
      <c r="G592" t="n">
        <v>9</v>
      </c>
      <c r="H592" s="12" t="n">
        <v>46082</v>
      </c>
      <c r="I592" s="12" t="n">
        <v>46082</v>
      </c>
      <c r="J592" t="b">
        <v>0</v>
      </c>
      <c r="K592" s="13" t="n">
        <v>0.45</v>
      </c>
    </row>
    <row r="593">
      <c r="A593" t="inlineStr">
        <is>
          <t>NX-00589</t>
        </is>
      </c>
      <c r="B593" t="inlineStr">
        <is>
          <t>North America</t>
        </is>
      </c>
      <c r="C593" t="inlineStr">
        <is>
          <t>US / Canada</t>
        </is>
      </c>
      <c r="D593" s="12" t="n">
        <v>45809</v>
      </c>
      <c r="E593" s="13" t="n">
        <v>19.2</v>
      </c>
      <c r="F593" s="14" t="n">
        <v>1593600</v>
      </c>
      <c r="G593" t="n">
        <v>5</v>
      </c>
      <c r="H593" s="12" t="n">
        <v>45962</v>
      </c>
      <c r="I593" s="12" t="n">
        <v>46023</v>
      </c>
      <c r="J593" t="b">
        <v>0</v>
      </c>
      <c r="K593" s="13" t="n">
        <v>1.89</v>
      </c>
    </row>
    <row r="594">
      <c r="A594" t="inlineStr">
        <is>
          <t>NX-00590</t>
        </is>
      </c>
      <c r="B594" t="inlineStr">
        <is>
          <t>North America</t>
        </is>
      </c>
      <c r="C594" t="inlineStr">
        <is>
          <t>US / Canada</t>
        </is>
      </c>
      <c r="D594" s="12" t="n">
        <v>45809</v>
      </c>
      <c r="E594" s="13" t="n">
        <v>10.9</v>
      </c>
      <c r="F594" s="14" t="n">
        <v>904700</v>
      </c>
      <c r="G594" t="n">
        <v>6</v>
      </c>
      <c r="H594" s="12" t="n">
        <v>45992</v>
      </c>
      <c r="I594" s="12" t="n">
        <v>45992</v>
      </c>
      <c r="J594" t="b">
        <v>0</v>
      </c>
      <c r="K594" s="13" t="n">
        <v>0.28</v>
      </c>
    </row>
    <row r="595">
      <c r="A595" t="inlineStr">
        <is>
          <t>NX-00591</t>
        </is>
      </c>
      <c r="B595" t="inlineStr">
        <is>
          <t>North America</t>
        </is>
      </c>
      <c r="C595" t="inlineStr">
        <is>
          <t>US / Canada</t>
        </is>
      </c>
      <c r="D595" s="12" t="n">
        <v>45809</v>
      </c>
      <c r="E595" s="13" t="n">
        <v>25.5</v>
      </c>
      <c r="F595" s="14" t="n">
        <v>2116500</v>
      </c>
      <c r="G595" t="n">
        <v>5</v>
      </c>
      <c r="H595" s="12" t="n">
        <v>45962</v>
      </c>
      <c r="I595" s="12" t="n">
        <v>45962</v>
      </c>
      <c r="J595" t="b">
        <v>0</v>
      </c>
      <c r="K595" s="13" t="n">
        <v>0.01</v>
      </c>
    </row>
    <row r="596">
      <c r="A596" t="inlineStr">
        <is>
          <t>NX-00592</t>
        </is>
      </c>
      <c r="B596" t="inlineStr">
        <is>
          <t>North America</t>
        </is>
      </c>
      <c r="C596" t="inlineStr">
        <is>
          <t>US / Canada</t>
        </is>
      </c>
      <c r="D596" s="12" t="n">
        <v>45809</v>
      </c>
      <c r="E596" s="13" t="n">
        <v>6.9</v>
      </c>
      <c r="F596" s="14" t="n">
        <v>572700</v>
      </c>
      <c r="G596" t="n">
        <v>5</v>
      </c>
      <c r="H596" s="12" t="n">
        <v>45962</v>
      </c>
      <c r="I596" s="12" t="n">
        <v>45992</v>
      </c>
      <c r="J596" t="b">
        <v>0</v>
      </c>
      <c r="K596" s="13" t="n">
        <v>0.63</v>
      </c>
    </row>
    <row r="597">
      <c r="A597" t="inlineStr">
        <is>
          <t>NX-00593</t>
        </is>
      </c>
      <c r="B597" t="inlineStr">
        <is>
          <t>North America</t>
        </is>
      </c>
      <c r="C597" t="inlineStr">
        <is>
          <t>US / Canada</t>
        </is>
      </c>
      <c r="D597" s="12" t="n">
        <v>45809</v>
      </c>
      <c r="E597" s="13" t="n">
        <v>30.5</v>
      </c>
      <c r="F597" s="14" t="n">
        <v>2531500</v>
      </c>
      <c r="G597" t="n">
        <v>8</v>
      </c>
      <c r="H597" s="12" t="n">
        <v>46054</v>
      </c>
      <c r="I597" s="12" t="n">
        <v>46054</v>
      </c>
      <c r="J597" t="b">
        <v>0</v>
      </c>
      <c r="K597" s="13" t="n">
        <v>0.01</v>
      </c>
    </row>
    <row r="598">
      <c r="A598" t="inlineStr">
        <is>
          <t>NX-00594</t>
        </is>
      </c>
      <c r="B598" t="inlineStr">
        <is>
          <t>North America</t>
        </is>
      </c>
      <c r="C598" t="inlineStr">
        <is>
          <t>US / Canada</t>
        </is>
      </c>
      <c r="D598" s="12" t="n">
        <v>45809</v>
      </c>
      <c r="E598" s="13" t="n">
        <v>18.2</v>
      </c>
      <c r="F598" s="14" t="n">
        <v>1510600</v>
      </c>
      <c r="G598" t="n">
        <v>8</v>
      </c>
      <c r="H598" s="12" t="n">
        <v>46054</v>
      </c>
      <c r="I598" s="12" t="n">
        <v>46054</v>
      </c>
      <c r="J598" t="b">
        <v>0</v>
      </c>
      <c r="K598" s="13" t="n">
        <v>0</v>
      </c>
    </row>
    <row r="599">
      <c r="A599" t="inlineStr">
        <is>
          <t>NX-00595</t>
        </is>
      </c>
      <c r="B599" t="inlineStr">
        <is>
          <t>EMEA</t>
        </is>
      </c>
      <c r="C599" t="inlineStr">
        <is>
          <t>Europe</t>
        </is>
      </c>
      <c r="D599" s="12" t="n">
        <v>45809</v>
      </c>
      <c r="E599" s="13" t="n">
        <v>12.2</v>
      </c>
      <c r="F599" s="14" t="n">
        <v>1073600</v>
      </c>
      <c r="G599" t="n">
        <v>7</v>
      </c>
      <c r="H599" s="12" t="n">
        <v>46023</v>
      </c>
      <c r="I599" s="12" t="n">
        <v>46023</v>
      </c>
      <c r="J599" t="b">
        <v>0</v>
      </c>
      <c r="K599" s="13" t="n">
        <v>0.08</v>
      </c>
    </row>
    <row r="600">
      <c r="A600" t="inlineStr">
        <is>
          <t>NX-00596</t>
        </is>
      </c>
      <c r="B600" t="inlineStr">
        <is>
          <t>EMEA</t>
        </is>
      </c>
      <c r="C600" t="inlineStr">
        <is>
          <t>Europe</t>
        </is>
      </c>
      <c r="D600" s="12" t="n">
        <v>45809</v>
      </c>
      <c r="E600" s="13" t="n">
        <v>3.4</v>
      </c>
      <c r="F600" s="14" t="n">
        <v>299200</v>
      </c>
      <c r="G600" t="n">
        <v>8</v>
      </c>
      <c r="H600" s="12" t="n">
        <v>46054</v>
      </c>
      <c r="I600" s="12" t="n">
        <v>46113</v>
      </c>
      <c r="J600" t="b">
        <v>0</v>
      </c>
      <c r="K600" s="13" t="n">
        <v>1.62</v>
      </c>
    </row>
    <row r="601">
      <c r="A601" t="inlineStr">
        <is>
          <t>NX-00597</t>
        </is>
      </c>
      <c r="B601" t="inlineStr">
        <is>
          <t>EMEA</t>
        </is>
      </c>
      <c r="C601" t="inlineStr">
        <is>
          <t>Europe</t>
        </is>
      </c>
      <c r="D601" s="12" t="n">
        <v>45809</v>
      </c>
      <c r="E601" s="13" t="n">
        <v>13.4</v>
      </c>
      <c r="F601" s="14" t="n">
        <v>1179200</v>
      </c>
      <c r="G601" t="n">
        <v>6</v>
      </c>
      <c r="H601" s="12" t="n">
        <v>45992</v>
      </c>
      <c r="I601" s="12" t="n">
        <v>46023</v>
      </c>
      <c r="J601" t="b">
        <v>0</v>
      </c>
      <c r="K601" s="13" t="n">
        <v>0.73</v>
      </c>
    </row>
    <row r="602">
      <c r="A602" t="inlineStr">
        <is>
          <t>NX-00598</t>
        </is>
      </c>
      <c r="B602" t="inlineStr">
        <is>
          <t>EMEA</t>
        </is>
      </c>
      <c r="C602" t="inlineStr">
        <is>
          <t>Europe</t>
        </is>
      </c>
      <c r="D602" s="12" t="n">
        <v>45809</v>
      </c>
      <c r="E602" s="13" t="n">
        <v>9.9</v>
      </c>
      <c r="F602" s="14" t="n">
        <v>871200</v>
      </c>
      <c r="G602" t="n">
        <v>10</v>
      </c>
      <c r="H602" s="12" t="n">
        <v>46113</v>
      </c>
      <c r="I602" s="12" t="n">
        <v>46143</v>
      </c>
      <c r="J602" t="b">
        <v>0</v>
      </c>
      <c r="K602" s="13" t="n">
        <v>0.6</v>
      </c>
    </row>
    <row r="603">
      <c r="A603" t="inlineStr">
        <is>
          <t>NX-00599</t>
        </is>
      </c>
      <c r="B603" t="inlineStr">
        <is>
          <t>EMEA</t>
        </is>
      </c>
      <c r="C603" t="inlineStr">
        <is>
          <t>MENA</t>
        </is>
      </c>
      <c r="D603" s="12" t="n">
        <v>45809</v>
      </c>
      <c r="E603" s="13" t="n">
        <v>42.6</v>
      </c>
      <c r="F603" s="14" t="n">
        <v>3450600</v>
      </c>
      <c r="G603" t="n">
        <v>5</v>
      </c>
      <c r="H603" s="12" t="n">
        <v>45962</v>
      </c>
      <c r="I603" s="12" t="n"/>
      <c r="J603" t="b">
        <v>1</v>
      </c>
      <c r="K603" s="13" t="n">
        <v>6.11</v>
      </c>
    </row>
    <row r="604">
      <c r="A604" t="inlineStr">
        <is>
          <t>NX-00600</t>
        </is>
      </c>
      <c r="B604" t="inlineStr">
        <is>
          <t>EMEA</t>
        </is>
      </c>
      <c r="C604" t="inlineStr">
        <is>
          <t>MENA</t>
        </is>
      </c>
      <c r="D604" s="12" t="n">
        <v>45809</v>
      </c>
      <c r="E604" s="13" t="n">
        <v>15.5</v>
      </c>
      <c r="F604" s="14" t="n">
        <v>1255500</v>
      </c>
      <c r="G604" t="n">
        <v>5</v>
      </c>
      <c r="H604" s="12" t="n">
        <v>45962</v>
      </c>
      <c r="I604" s="12" t="n">
        <v>45962</v>
      </c>
      <c r="J604" t="b">
        <v>0</v>
      </c>
      <c r="K604" s="13" t="n">
        <v>0.09</v>
      </c>
    </row>
    <row r="605">
      <c r="A605" t="inlineStr">
        <is>
          <t>NX-00601</t>
        </is>
      </c>
      <c r="B605" t="inlineStr">
        <is>
          <t>APAC</t>
        </is>
      </c>
      <c r="C605" t="inlineStr">
        <is>
          <t>India</t>
        </is>
      </c>
      <c r="D605" s="12" t="n">
        <v>45809</v>
      </c>
      <c r="E605" s="13" t="n">
        <v>11.8</v>
      </c>
      <c r="F605" s="14" t="n">
        <v>837800</v>
      </c>
      <c r="G605" t="n">
        <v>5</v>
      </c>
      <c r="H605" s="12" t="n">
        <v>45962</v>
      </c>
      <c r="I605" s="12" t="n">
        <v>45962</v>
      </c>
      <c r="J605" t="b">
        <v>0</v>
      </c>
      <c r="K605" s="13" t="n">
        <v>0.36</v>
      </c>
    </row>
    <row r="606">
      <c r="A606" t="inlineStr">
        <is>
          <t>NX-00602</t>
        </is>
      </c>
      <c r="B606" t="inlineStr">
        <is>
          <t>APAC</t>
        </is>
      </c>
      <c r="C606" t="inlineStr">
        <is>
          <t>Australia/SEA</t>
        </is>
      </c>
      <c r="D606" s="12" t="n">
        <v>45809</v>
      </c>
      <c r="E606" s="13" t="n">
        <v>7.9</v>
      </c>
      <c r="F606" s="14" t="n">
        <v>663600</v>
      </c>
      <c r="G606" t="n">
        <v>5</v>
      </c>
      <c r="H606" s="12" t="n">
        <v>45962</v>
      </c>
      <c r="I606" s="12" t="n">
        <v>46023</v>
      </c>
      <c r="J606" t="b">
        <v>0</v>
      </c>
      <c r="K606" s="13" t="n">
        <v>1.77</v>
      </c>
    </row>
    <row r="607">
      <c r="A607" t="inlineStr">
        <is>
          <t>NX-00603</t>
        </is>
      </c>
      <c r="B607" t="inlineStr">
        <is>
          <t>APAC</t>
        </is>
      </c>
      <c r="C607" t="inlineStr">
        <is>
          <t>Australia/SEA</t>
        </is>
      </c>
      <c r="D607" s="12" t="n">
        <v>45809</v>
      </c>
      <c r="E607" s="13" t="n">
        <v>8.4</v>
      </c>
      <c r="F607" s="14" t="n">
        <v>705600</v>
      </c>
      <c r="G607" t="n">
        <v>5</v>
      </c>
      <c r="H607" s="12" t="n">
        <v>45962</v>
      </c>
      <c r="I607" s="12" t="n">
        <v>45992</v>
      </c>
      <c r="J607" t="b">
        <v>0</v>
      </c>
      <c r="K607" s="13" t="n">
        <v>0.78</v>
      </c>
    </row>
    <row r="608">
      <c r="A608" t="inlineStr">
        <is>
          <t>NX-00604</t>
        </is>
      </c>
      <c r="B608" t="inlineStr">
        <is>
          <t>APAC</t>
        </is>
      </c>
      <c r="C608" t="inlineStr">
        <is>
          <t>Australia/SEA</t>
        </is>
      </c>
      <c r="D608" s="12" t="n">
        <v>45809</v>
      </c>
      <c r="E608" s="13" t="n">
        <v>26.4</v>
      </c>
      <c r="F608" s="14" t="n">
        <v>2217600</v>
      </c>
      <c r="G608" t="n">
        <v>9</v>
      </c>
      <c r="H608" s="12" t="n">
        <v>46082</v>
      </c>
      <c r="I608" s="12" t="n">
        <v>46204</v>
      </c>
      <c r="J608" t="b">
        <v>0</v>
      </c>
      <c r="K608" s="13" t="n">
        <v>3.54</v>
      </c>
    </row>
    <row r="609">
      <c r="A609" t="inlineStr">
        <is>
          <t>NX-00605</t>
        </is>
      </c>
      <c r="B609" t="inlineStr">
        <is>
          <t>LATAM</t>
        </is>
      </c>
      <c r="C609" t="inlineStr">
        <is>
          <t>LATAM</t>
        </is>
      </c>
      <c r="D609" s="12" t="n">
        <v>45809</v>
      </c>
      <c r="E609" s="13" t="n">
        <v>34.3</v>
      </c>
      <c r="F609" s="14" t="n">
        <v>2709700</v>
      </c>
      <c r="G609" t="n">
        <v>7</v>
      </c>
      <c r="H609" s="12" t="n">
        <v>46023</v>
      </c>
      <c r="I609" s="12" t="n">
        <v>46143</v>
      </c>
      <c r="J609" t="b">
        <v>0</v>
      </c>
      <c r="K609" s="13" t="n">
        <v>3.61</v>
      </c>
    </row>
    <row r="610">
      <c r="A610" t="inlineStr">
        <is>
          <t>NX-00606</t>
        </is>
      </c>
      <c r="B610" t="inlineStr">
        <is>
          <t>LATAM</t>
        </is>
      </c>
      <c r="C610" t="inlineStr">
        <is>
          <t>LATAM</t>
        </is>
      </c>
      <c r="D610" s="12" t="n">
        <v>45809</v>
      </c>
      <c r="E610" s="13" t="n">
        <v>10.9</v>
      </c>
      <c r="F610" s="14" t="n">
        <v>861100</v>
      </c>
      <c r="G610" t="n">
        <v>8</v>
      </c>
      <c r="H610" s="12" t="n">
        <v>46054</v>
      </c>
      <c r="I610" s="12" t="n">
        <v>46054</v>
      </c>
      <c r="J610" t="b">
        <v>0</v>
      </c>
      <c r="K610" s="13" t="n">
        <v>0.25</v>
      </c>
    </row>
    <row r="611">
      <c r="A611" t="inlineStr">
        <is>
          <t>NX-00607</t>
        </is>
      </c>
      <c r="B611" t="inlineStr">
        <is>
          <t>LATAM</t>
        </is>
      </c>
      <c r="C611" t="inlineStr">
        <is>
          <t>LATAM</t>
        </is>
      </c>
      <c r="D611" s="12" t="n">
        <v>45809</v>
      </c>
      <c r="E611" s="13" t="n">
        <v>5.5</v>
      </c>
      <c r="F611" s="14" t="n">
        <v>434500</v>
      </c>
      <c r="G611" t="n">
        <v>6</v>
      </c>
      <c r="H611" s="12" t="n">
        <v>45992</v>
      </c>
      <c r="I611" s="12" t="n">
        <v>45992</v>
      </c>
      <c r="J611" t="b">
        <v>0</v>
      </c>
      <c r="K611" s="13" t="n">
        <v>0.24</v>
      </c>
    </row>
    <row r="612">
      <c r="A612" t="inlineStr">
        <is>
          <t>NX-00608</t>
        </is>
      </c>
      <c r="B612" t="inlineStr">
        <is>
          <t>North America</t>
        </is>
      </c>
      <c r="C612" t="inlineStr">
        <is>
          <t>US / Canada</t>
        </is>
      </c>
      <c r="D612" s="12" t="n">
        <v>45839</v>
      </c>
      <c r="E612" s="13" t="n">
        <v>22.2</v>
      </c>
      <c r="F612" s="14" t="n">
        <v>1842600</v>
      </c>
      <c r="G612" t="n">
        <v>13</v>
      </c>
      <c r="H612" s="12" t="n">
        <v>46235</v>
      </c>
      <c r="I612" s="12" t="n">
        <v>46388</v>
      </c>
      <c r="J612" t="b">
        <v>0</v>
      </c>
      <c r="K612" s="13" t="n">
        <v>5.14</v>
      </c>
    </row>
    <row r="613">
      <c r="A613" t="inlineStr">
        <is>
          <t>NX-00609</t>
        </is>
      </c>
      <c r="B613" t="inlineStr">
        <is>
          <t>North America</t>
        </is>
      </c>
      <c r="C613" t="inlineStr">
        <is>
          <t>US / Canada</t>
        </is>
      </c>
      <c r="D613" s="12" t="n">
        <v>45839</v>
      </c>
      <c r="E613" s="13" t="n">
        <v>15.7</v>
      </c>
      <c r="F613" s="14" t="n">
        <v>1303100</v>
      </c>
      <c r="G613" t="n">
        <v>9</v>
      </c>
      <c r="H613" s="12" t="n">
        <v>46113</v>
      </c>
      <c r="I613" s="12" t="n">
        <v>46113</v>
      </c>
      <c r="J613" t="b">
        <v>0</v>
      </c>
      <c r="K613" s="13" t="n">
        <v>0.01</v>
      </c>
    </row>
    <row r="614">
      <c r="A614" t="inlineStr">
        <is>
          <t>NX-00610</t>
        </is>
      </c>
      <c r="B614" t="inlineStr">
        <is>
          <t>North America</t>
        </is>
      </c>
      <c r="C614" t="inlineStr">
        <is>
          <t>US / Canada</t>
        </is>
      </c>
      <c r="D614" s="12" t="n">
        <v>45839</v>
      </c>
      <c r="E614" s="13" t="n">
        <v>13.3</v>
      </c>
      <c r="F614" s="14" t="n">
        <v>1103900</v>
      </c>
      <c r="G614" t="n">
        <v>11</v>
      </c>
      <c r="H614" s="12" t="n">
        <v>46174</v>
      </c>
      <c r="I614" s="12" t="n">
        <v>46235</v>
      </c>
      <c r="J614" t="b">
        <v>0</v>
      </c>
      <c r="K614" s="13" t="n">
        <v>1.62</v>
      </c>
    </row>
    <row r="615">
      <c r="A615" t="inlineStr">
        <is>
          <t>NX-00611</t>
        </is>
      </c>
      <c r="B615" t="inlineStr">
        <is>
          <t>North America</t>
        </is>
      </c>
      <c r="C615" t="inlineStr">
        <is>
          <t>US / Canada</t>
        </is>
      </c>
      <c r="D615" s="12" t="n">
        <v>45839</v>
      </c>
      <c r="E615" s="13" t="n">
        <v>5.5</v>
      </c>
      <c r="F615" s="14" t="n">
        <v>456500</v>
      </c>
      <c r="G615" t="n">
        <v>22</v>
      </c>
      <c r="H615" s="12" t="n">
        <v>46508</v>
      </c>
      <c r="I615" s="12" t="n">
        <v>46508</v>
      </c>
      <c r="J615" t="b">
        <v>0</v>
      </c>
      <c r="K615" s="13" t="n">
        <v>0.01</v>
      </c>
    </row>
    <row r="616">
      <c r="A616" t="inlineStr">
        <is>
          <t>NX-00612</t>
        </is>
      </c>
      <c r="B616" t="inlineStr">
        <is>
          <t>North America</t>
        </is>
      </c>
      <c r="C616" t="inlineStr">
        <is>
          <t>US / Canada</t>
        </is>
      </c>
      <c r="D616" s="12" t="n">
        <v>45839</v>
      </c>
      <c r="E616" s="13" t="n">
        <v>8.699999999999999</v>
      </c>
      <c r="F616" s="14" t="n">
        <v>722099.9999999999</v>
      </c>
      <c r="G616" t="n">
        <v>7</v>
      </c>
      <c r="H616" s="12" t="n">
        <v>46054</v>
      </c>
      <c r="I616" s="12" t="n">
        <v>46082</v>
      </c>
      <c r="J616" t="b">
        <v>0</v>
      </c>
      <c r="K616" s="13" t="n">
        <v>1.12</v>
      </c>
    </row>
    <row r="617">
      <c r="A617" t="inlineStr">
        <is>
          <t>NX-00613</t>
        </is>
      </c>
      <c r="B617" t="inlineStr">
        <is>
          <t>North America</t>
        </is>
      </c>
      <c r="C617" t="inlineStr">
        <is>
          <t>US / Canada</t>
        </is>
      </c>
      <c r="D617" s="12" t="n">
        <v>45839</v>
      </c>
      <c r="E617" s="13" t="n">
        <v>4.1</v>
      </c>
      <c r="F617" s="14" t="n">
        <v>340299.9999999999</v>
      </c>
      <c r="G617" t="n">
        <v>10</v>
      </c>
      <c r="H617" s="12" t="n">
        <v>46143</v>
      </c>
      <c r="I617" s="12" t="n">
        <v>46143</v>
      </c>
      <c r="J617" t="b">
        <v>0</v>
      </c>
      <c r="K617" s="13" t="n">
        <v>0</v>
      </c>
    </row>
    <row r="618">
      <c r="A618" t="inlineStr">
        <is>
          <t>NX-00614</t>
        </is>
      </c>
      <c r="B618" t="inlineStr">
        <is>
          <t>North America</t>
        </is>
      </c>
      <c r="C618" t="inlineStr">
        <is>
          <t>US / Canada</t>
        </is>
      </c>
      <c r="D618" s="12" t="n">
        <v>45839</v>
      </c>
      <c r="E618" s="13" t="n">
        <v>5.5</v>
      </c>
      <c r="F618" s="14" t="n">
        <v>456500</v>
      </c>
      <c r="G618" t="n">
        <v>12</v>
      </c>
      <c r="H618" s="12" t="n">
        <v>46204</v>
      </c>
      <c r="I618" s="12" t="n">
        <v>46235</v>
      </c>
      <c r="J618" t="b">
        <v>0</v>
      </c>
      <c r="K618" s="13" t="n">
        <v>1.37</v>
      </c>
    </row>
    <row r="619">
      <c r="A619" t="inlineStr">
        <is>
          <t>NX-00615</t>
        </is>
      </c>
      <c r="B619" t="inlineStr">
        <is>
          <t>North America</t>
        </is>
      </c>
      <c r="C619" t="inlineStr">
        <is>
          <t>US / Canada</t>
        </is>
      </c>
      <c r="D619" s="12" t="n">
        <v>45839</v>
      </c>
      <c r="E619" s="13" t="n">
        <v>32.5</v>
      </c>
      <c r="F619" s="14" t="n">
        <v>2697500</v>
      </c>
      <c r="G619" t="n">
        <v>8</v>
      </c>
      <c r="H619" s="12" t="n">
        <v>46082</v>
      </c>
      <c r="I619" s="12" t="n">
        <v>46082</v>
      </c>
      <c r="J619" t="b">
        <v>0</v>
      </c>
      <c r="K619" s="13" t="n">
        <v>0.03</v>
      </c>
    </row>
    <row r="620">
      <c r="A620" t="inlineStr">
        <is>
          <t>NX-00616</t>
        </is>
      </c>
      <c r="B620" t="inlineStr">
        <is>
          <t>North America</t>
        </is>
      </c>
      <c r="C620" t="inlineStr">
        <is>
          <t>US / Canada</t>
        </is>
      </c>
      <c r="D620" s="12" t="n">
        <v>45839</v>
      </c>
      <c r="E620" s="13" t="n">
        <v>28.9</v>
      </c>
      <c r="F620" s="14" t="n">
        <v>2398700</v>
      </c>
      <c r="G620" t="n">
        <v>5</v>
      </c>
      <c r="H620" s="12" t="n">
        <v>45992</v>
      </c>
      <c r="I620" s="12" t="n">
        <v>46113</v>
      </c>
      <c r="J620" t="b">
        <v>0</v>
      </c>
      <c r="K620" s="13" t="n">
        <v>3.64</v>
      </c>
    </row>
    <row r="621">
      <c r="A621" t="inlineStr">
        <is>
          <t>NX-00617</t>
        </is>
      </c>
      <c r="B621" t="inlineStr">
        <is>
          <t>North America</t>
        </is>
      </c>
      <c r="C621" t="inlineStr">
        <is>
          <t>US / Canada</t>
        </is>
      </c>
      <c r="D621" s="12" t="n">
        <v>45839</v>
      </c>
      <c r="E621" s="13" t="n">
        <v>16</v>
      </c>
      <c r="F621" s="14" t="n">
        <v>1328000</v>
      </c>
      <c r="G621" t="n">
        <v>5</v>
      </c>
      <c r="H621" s="12" t="n">
        <v>45992</v>
      </c>
      <c r="I621" s="12" t="n">
        <v>45992</v>
      </c>
      <c r="J621" t="b">
        <v>0</v>
      </c>
      <c r="K621" s="13" t="n">
        <v>0.01</v>
      </c>
    </row>
    <row r="622">
      <c r="A622" t="inlineStr">
        <is>
          <t>NX-00618</t>
        </is>
      </c>
      <c r="B622" t="inlineStr">
        <is>
          <t>North America</t>
        </is>
      </c>
      <c r="C622" t="inlineStr">
        <is>
          <t>US / Canada</t>
        </is>
      </c>
      <c r="D622" s="12" t="n">
        <v>45839</v>
      </c>
      <c r="E622" s="13" t="n">
        <v>12.7</v>
      </c>
      <c r="F622" s="14" t="n">
        <v>1054100</v>
      </c>
      <c r="G622" t="n">
        <v>10</v>
      </c>
      <c r="H622" s="12" t="n">
        <v>46143</v>
      </c>
      <c r="I622" s="12" t="n">
        <v>46204</v>
      </c>
      <c r="J622" t="b">
        <v>0</v>
      </c>
      <c r="K622" s="13" t="n">
        <v>2.28</v>
      </c>
    </row>
    <row r="623">
      <c r="A623" t="inlineStr">
        <is>
          <t>NX-00619</t>
        </is>
      </c>
      <c r="B623" t="inlineStr">
        <is>
          <t>North America</t>
        </is>
      </c>
      <c r="C623" t="inlineStr">
        <is>
          <t>US / Canada</t>
        </is>
      </c>
      <c r="D623" s="12" t="n">
        <v>45839</v>
      </c>
      <c r="E623" s="13" t="n">
        <v>11.5</v>
      </c>
      <c r="F623" s="14" t="n">
        <v>954500</v>
      </c>
      <c r="G623" t="n">
        <v>5</v>
      </c>
      <c r="H623" s="12" t="n">
        <v>45992</v>
      </c>
      <c r="I623" s="12" t="n">
        <v>45992</v>
      </c>
      <c r="J623" t="b">
        <v>0</v>
      </c>
      <c r="K623" s="13" t="n">
        <v>0.1</v>
      </c>
    </row>
    <row r="624">
      <c r="A624" t="inlineStr">
        <is>
          <t>NX-00620</t>
        </is>
      </c>
      <c r="B624" t="inlineStr">
        <is>
          <t>North America</t>
        </is>
      </c>
      <c r="C624" t="inlineStr">
        <is>
          <t>US / Canada</t>
        </is>
      </c>
      <c r="D624" s="12" t="n">
        <v>45839</v>
      </c>
      <c r="E624" s="13" t="n">
        <v>5.6</v>
      </c>
      <c r="F624" s="14" t="n">
        <v>464800</v>
      </c>
      <c r="G624" t="n">
        <v>9</v>
      </c>
      <c r="H624" s="12" t="n">
        <v>46113</v>
      </c>
      <c r="I624" s="12" t="n">
        <v>46113</v>
      </c>
      <c r="J624" t="b">
        <v>0</v>
      </c>
      <c r="K624" s="13" t="n">
        <v>0.32</v>
      </c>
    </row>
    <row r="625">
      <c r="A625" t="inlineStr">
        <is>
          <t>NX-00621</t>
        </is>
      </c>
      <c r="B625" t="inlineStr">
        <is>
          <t>North America</t>
        </is>
      </c>
      <c r="C625" t="inlineStr">
        <is>
          <t>US / Canada</t>
        </is>
      </c>
      <c r="D625" s="12" t="n">
        <v>45839</v>
      </c>
      <c r="E625" s="13" t="n">
        <v>13.3</v>
      </c>
      <c r="F625" s="14" t="n">
        <v>1103900</v>
      </c>
      <c r="G625" t="n">
        <v>7</v>
      </c>
      <c r="H625" s="12" t="n">
        <v>46054</v>
      </c>
      <c r="I625" s="12" t="n">
        <v>46054</v>
      </c>
      <c r="J625" t="b">
        <v>0</v>
      </c>
      <c r="K625" s="13" t="n">
        <v>0.07000000000000001</v>
      </c>
    </row>
    <row r="626">
      <c r="A626" t="inlineStr">
        <is>
          <t>NX-00622</t>
        </is>
      </c>
      <c r="B626" t="inlineStr">
        <is>
          <t>North America</t>
        </is>
      </c>
      <c r="C626" t="inlineStr">
        <is>
          <t>US / Canada</t>
        </is>
      </c>
      <c r="D626" s="12" t="n">
        <v>45839</v>
      </c>
      <c r="E626" s="13" t="n">
        <v>16.5</v>
      </c>
      <c r="F626" s="14" t="n">
        <v>1369500</v>
      </c>
      <c r="G626" t="n">
        <v>12</v>
      </c>
      <c r="H626" s="12" t="n">
        <v>46204</v>
      </c>
      <c r="I626" s="12" t="n">
        <v>46204</v>
      </c>
      <c r="J626" t="b">
        <v>0</v>
      </c>
      <c r="K626" s="13" t="n">
        <v>0.15</v>
      </c>
    </row>
    <row r="627">
      <c r="A627" t="inlineStr">
        <is>
          <t>NX-00623</t>
        </is>
      </c>
      <c r="B627" t="inlineStr">
        <is>
          <t>North America</t>
        </is>
      </c>
      <c r="C627" t="inlineStr">
        <is>
          <t>US / Canada</t>
        </is>
      </c>
      <c r="D627" s="12" t="n">
        <v>45839</v>
      </c>
      <c r="E627" s="13" t="n">
        <v>17.8</v>
      </c>
      <c r="F627" s="14" t="n">
        <v>1477400</v>
      </c>
      <c r="G627" t="n">
        <v>5</v>
      </c>
      <c r="H627" s="12" t="n">
        <v>45992</v>
      </c>
      <c r="I627" s="12" t="n">
        <v>45992</v>
      </c>
      <c r="J627" t="b">
        <v>0</v>
      </c>
      <c r="K627" s="13" t="n">
        <v>0</v>
      </c>
    </row>
    <row r="628">
      <c r="A628" t="inlineStr">
        <is>
          <t>NX-00624</t>
        </is>
      </c>
      <c r="B628" t="inlineStr">
        <is>
          <t>North America</t>
        </is>
      </c>
      <c r="C628" t="inlineStr">
        <is>
          <t>US / Canada</t>
        </is>
      </c>
      <c r="D628" s="12" t="n">
        <v>45839</v>
      </c>
      <c r="E628" s="13" t="n">
        <v>11.8</v>
      </c>
      <c r="F628" s="14" t="n">
        <v>979400</v>
      </c>
      <c r="G628" t="n">
        <v>7</v>
      </c>
      <c r="H628" s="12" t="n">
        <v>46054</v>
      </c>
      <c r="I628" s="12" t="n">
        <v>46082</v>
      </c>
      <c r="J628" t="b">
        <v>0</v>
      </c>
      <c r="K628" s="13" t="n">
        <v>0.66</v>
      </c>
    </row>
    <row r="629">
      <c r="A629" t="inlineStr">
        <is>
          <t>NX-00625</t>
        </is>
      </c>
      <c r="B629" t="inlineStr">
        <is>
          <t>North America</t>
        </is>
      </c>
      <c r="C629" t="inlineStr">
        <is>
          <t>US / Canada</t>
        </is>
      </c>
      <c r="D629" s="12" t="n">
        <v>45839</v>
      </c>
      <c r="E629" s="13" t="n">
        <v>12.6</v>
      </c>
      <c r="F629" s="14" t="n">
        <v>1045800</v>
      </c>
      <c r="G629" t="n">
        <v>5</v>
      </c>
      <c r="H629" s="12" t="n">
        <v>45992</v>
      </c>
      <c r="I629" s="12" t="n">
        <v>46023</v>
      </c>
      <c r="J629" t="b">
        <v>0</v>
      </c>
      <c r="K629" s="13" t="n">
        <v>0.64</v>
      </c>
    </row>
    <row r="630">
      <c r="A630" t="inlineStr">
        <is>
          <t>NX-00626</t>
        </is>
      </c>
      <c r="B630" t="inlineStr">
        <is>
          <t>North America</t>
        </is>
      </c>
      <c r="C630" t="inlineStr">
        <is>
          <t>US / Canada</t>
        </is>
      </c>
      <c r="D630" s="12" t="n">
        <v>45839</v>
      </c>
      <c r="E630" s="13" t="n">
        <v>11.4</v>
      </c>
      <c r="F630" s="14" t="n">
        <v>946200</v>
      </c>
      <c r="G630" t="n">
        <v>5</v>
      </c>
      <c r="H630" s="12" t="n">
        <v>45992</v>
      </c>
      <c r="I630" s="12" t="n">
        <v>45992</v>
      </c>
      <c r="J630" t="b">
        <v>0</v>
      </c>
      <c r="K630" s="13" t="n">
        <v>0.19</v>
      </c>
    </row>
    <row r="631">
      <c r="A631" t="inlineStr">
        <is>
          <t>NX-00627</t>
        </is>
      </c>
      <c r="B631" t="inlineStr">
        <is>
          <t>North America</t>
        </is>
      </c>
      <c r="C631" t="inlineStr">
        <is>
          <t>US / Canada</t>
        </is>
      </c>
      <c r="D631" s="12" t="n">
        <v>45839</v>
      </c>
      <c r="E631" s="13" t="n">
        <v>16.9</v>
      </c>
      <c r="F631" s="14" t="n">
        <v>1402700</v>
      </c>
      <c r="G631" t="n">
        <v>5</v>
      </c>
      <c r="H631" s="12" t="n">
        <v>45992</v>
      </c>
      <c r="I631" s="12" t="n">
        <v>45992</v>
      </c>
      <c r="J631" t="b">
        <v>0</v>
      </c>
      <c r="K631" s="13" t="n">
        <v>0.06</v>
      </c>
    </row>
    <row r="632">
      <c r="A632" t="inlineStr">
        <is>
          <t>NX-00628</t>
        </is>
      </c>
      <c r="B632" t="inlineStr">
        <is>
          <t>North America</t>
        </is>
      </c>
      <c r="C632" t="inlineStr">
        <is>
          <t>US / Canada</t>
        </is>
      </c>
      <c r="D632" s="12" t="n">
        <v>45839</v>
      </c>
      <c r="E632" s="13" t="n">
        <v>7.8</v>
      </c>
      <c r="F632" s="14" t="n">
        <v>647400</v>
      </c>
      <c r="G632" t="n">
        <v>14</v>
      </c>
      <c r="H632" s="12" t="n">
        <v>46266</v>
      </c>
      <c r="I632" s="12" t="n">
        <v>46266</v>
      </c>
      <c r="J632" t="b">
        <v>0</v>
      </c>
      <c r="K632" s="13" t="n">
        <v>0</v>
      </c>
    </row>
    <row r="633">
      <c r="A633" t="inlineStr">
        <is>
          <t>NX-00629</t>
        </is>
      </c>
      <c r="B633" t="inlineStr">
        <is>
          <t>North America</t>
        </is>
      </c>
      <c r="C633" t="inlineStr">
        <is>
          <t>US / Canada</t>
        </is>
      </c>
      <c r="D633" s="12" t="n">
        <v>45839</v>
      </c>
      <c r="E633" s="13" t="n">
        <v>8.199999999999999</v>
      </c>
      <c r="F633" s="14" t="n">
        <v>680599.9999999999</v>
      </c>
      <c r="G633" t="n">
        <v>20</v>
      </c>
      <c r="H633" s="12" t="n">
        <v>46447</v>
      </c>
      <c r="I633" s="12" t="n">
        <v>46447</v>
      </c>
      <c r="J633" t="b">
        <v>0</v>
      </c>
      <c r="K633" s="13" t="n">
        <v>0</v>
      </c>
    </row>
    <row r="634">
      <c r="A634" t="inlineStr">
        <is>
          <t>NX-00630</t>
        </is>
      </c>
      <c r="B634" t="inlineStr">
        <is>
          <t>North America</t>
        </is>
      </c>
      <c r="C634" t="inlineStr">
        <is>
          <t>US / Canada</t>
        </is>
      </c>
      <c r="D634" s="12" t="n">
        <v>45839</v>
      </c>
      <c r="E634" s="13" t="n">
        <v>51.5</v>
      </c>
      <c r="F634" s="14" t="n">
        <v>4274500</v>
      </c>
      <c r="G634" t="n">
        <v>6</v>
      </c>
      <c r="H634" s="12" t="n">
        <v>46023</v>
      </c>
      <c r="I634" s="12" t="n">
        <v>46023</v>
      </c>
      <c r="J634" t="b">
        <v>0</v>
      </c>
      <c r="K634" s="13" t="n">
        <v>0.01</v>
      </c>
    </row>
    <row r="635">
      <c r="A635" t="inlineStr">
        <is>
          <t>NX-00631</t>
        </is>
      </c>
      <c r="B635" t="inlineStr">
        <is>
          <t>EMEA</t>
        </is>
      </c>
      <c r="C635" t="inlineStr">
        <is>
          <t>Europe</t>
        </is>
      </c>
      <c r="D635" s="12" t="n">
        <v>45839</v>
      </c>
      <c r="E635" s="13" t="n">
        <v>12.5</v>
      </c>
      <c r="F635" s="14" t="n">
        <v>1100000</v>
      </c>
      <c r="G635" t="n">
        <v>6</v>
      </c>
      <c r="H635" s="12" t="n">
        <v>46023</v>
      </c>
      <c r="I635" s="12" t="n">
        <v>46054</v>
      </c>
      <c r="J635" t="b">
        <v>0</v>
      </c>
      <c r="K635" s="13" t="n">
        <v>0.66</v>
      </c>
    </row>
    <row r="636">
      <c r="A636" t="inlineStr">
        <is>
          <t>NX-00632</t>
        </is>
      </c>
      <c r="B636" t="inlineStr">
        <is>
          <t>EMEA</t>
        </is>
      </c>
      <c r="C636" t="inlineStr">
        <is>
          <t>Europe</t>
        </is>
      </c>
      <c r="D636" s="12" t="n">
        <v>45839</v>
      </c>
      <c r="E636" s="13" t="n">
        <v>17.2</v>
      </c>
      <c r="F636" s="14" t="n">
        <v>1513600</v>
      </c>
      <c r="G636" t="n">
        <v>7</v>
      </c>
      <c r="H636" s="12" t="n">
        <v>46054</v>
      </c>
      <c r="I636" s="12" t="n">
        <v>46174</v>
      </c>
      <c r="J636" t="b">
        <v>0</v>
      </c>
      <c r="K636" s="13" t="n">
        <v>3.82</v>
      </c>
    </row>
    <row r="637">
      <c r="A637" t="inlineStr">
        <is>
          <t>NX-00633</t>
        </is>
      </c>
      <c r="B637" t="inlineStr">
        <is>
          <t>EMEA</t>
        </is>
      </c>
      <c r="C637" t="inlineStr">
        <is>
          <t>Europe</t>
        </is>
      </c>
      <c r="D637" s="12" t="n">
        <v>45839</v>
      </c>
      <c r="E637" s="13" t="n">
        <v>10.5</v>
      </c>
      <c r="F637" s="14" t="n">
        <v>924000</v>
      </c>
      <c r="G637" t="n">
        <v>8</v>
      </c>
      <c r="H637" s="12" t="n">
        <v>46082</v>
      </c>
      <c r="I637" s="12" t="n">
        <v>46143</v>
      </c>
      <c r="J637" t="b">
        <v>0</v>
      </c>
      <c r="K637" s="13" t="n">
        <v>2.06</v>
      </c>
    </row>
    <row r="638">
      <c r="A638" t="inlineStr">
        <is>
          <t>NX-00634</t>
        </is>
      </c>
      <c r="B638" t="inlineStr">
        <is>
          <t>EMEA</t>
        </is>
      </c>
      <c r="C638" t="inlineStr">
        <is>
          <t>Europe</t>
        </is>
      </c>
      <c r="D638" s="12" t="n">
        <v>45839</v>
      </c>
      <c r="E638" s="13" t="n">
        <v>43.3</v>
      </c>
      <c r="F638" s="14" t="n">
        <v>3810400</v>
      </c>
      <c r="G638" t="n">
        <v>5</v>
      </c>
      <c r="H638" s="12" t="n">
        <v>45992</v>
      </c>
      <c r="I638" s="12" t="n">
        <v>46023</v>
      </c>
      <c r="J638" t="b">
        <v>0</v>
      </c>
      <c r="K638" s="13" t="n">
        <v>0.96</v>
      </c>
    </row>
    <row r="639">
      <c r="A639" t="inlineStr">
        <is>
          <t>NX-00635</t>
        </is>
      </c>
      <c r="B639" t="inlineStr">
        <is>
          <t>EMEA</t>
        </is>
      </c>
      <c r="C639" t="inlineStr">
        <is>
          <t>MENA</t>
        </is>
      </c>
      <c r="D639" s="12" t="n">
        <v>45839</v>
      </c>
      <c r="E639" s="13" t="n">
        <v>8.300000000000001</v>
      </c>
      <c r="F639" s="14" t="n">
        <v>672300</v>
      </c>
      <c r="G639" t="n">
        <v>20</v>
      </c>
      <c r="H639" s="12" t="n">
        <v>46447</v>
      </c>
      <c r="I639" s="12" t="n">
        <v>46631</v>
      </c>
      <c r="J639" t="b">
        <v>0</v>
      </c>
      <c r="K639" s="13" t="n">
        <v>5.75</v>
      </c>
    </row>
    <row r="640">
      <c r="A640" t="inlineStr">
        <is>
          <t>NX-00636</t>
        </is>
      </c>
      <c r="B640" t="inlineStr">
        <is>
          <t>EMEA</t>
        </is>
      </c>
      <c r="C640" t="inlineStr">
        <is>
          <t>MENA</t>
        </is>
      </c>
      <c r="D640" s="12" t="n">
        <v>45839</v>
      </c>
      <c r="E640" s="13" t="n">
        <v>52.1</v>
      </c>
      <c r="F640" s="14" t="n">
        <v>4220100</v>
      </c>
      <c r="G640" t="n">
        <v>5</v>
      </c>
      <c r="H640" s="12" t="n">
        <v>45992</v>
      </c>
      <c r="I640" s="12" t="n">
        <v>45992</v>
      </c>
      <c r="J640" t="b">
        <v>0</v>
      </c>
      <c r="K640" s="13" t="n">
        <v>0.07000000000000001</v>
      </c>
    </row>
    <row r="641">
      <c r="A641" t="inlineStr">
        <is>
          <t>NX-00637</t>
        </is>
      </c>
      <c r="B641" t="inlineStr">
        <is>
          <t>EMEA</t>
        </is>
      </c>
      <c r="C641" t="inlineStr">
        <is>
          <t>MENA</t>
        </is>
      </c>
      <c r="D641" s="12" t="n">
        <v>45839</v>
      </c>
      <c r="E641" s="13" t="n">
        <v>12.2</v>
      </c>
      <c r="F641" s="14" t="n">
        <v>988200</v>
      </c>
      <c r="G641" t="n">
        <v>11</v>
      </c>
      <c r="H641" s="12" t="n">
        <v>46174</v>
      </c>
      <c r="I641" s="12" t="n">
        <v>46174</v>
      </c>
      <c r="J641" t="b">
        <v>0</v>
      </c>
      <c r="K641" s="13" t="n">
        <v>0.23</v>
      </c>
    </row>
    <row r="642">
      <c r="A642" t="inlineStr">
        <is>
          <t>NX-00638</t>
        </is>
      </c>
      <c r="B642" t="inlineStr">
        <is>
          <t>EMEA</t>
        </is>
      </c>
      <c r="C642" t="inlineStr">
        <is>
          <t>MENA</t>
        </is>
      </c>
      <c r="D642" s="12" t="n">
        <v>45839</v>
      </c>
      <c r="E642" s="13" t="n">
        <v>34.7</v>
      </c>
      <c r="F642" s="14" t="n">
        <v>2810700</v>
      </c>
      <c r="G642" t="n">
        <v>9</v>
      </c>
      <c r="H642" s="12" t="n">
        <v>46113</v>
      </c>
      <c r="I642" s="12" t="n"/>
      <c r="J642" t="b">
        <v>1</v>
      </c>
      <c r="K642" s="13" t="n">
        <v>0.13</v>
      </c>
    </row>
    <row r="643">
      <c r="A643" t="inlineStr">
        <is>
          <t>NX-00639</t>
        </is>
      </c>
      <c r="B643" t="inlineStr">
        <is>
          <t>APAC</t>
        </is>
      </c>
      <c r="C643" t="inlineStr">
        <is>
          <t>Australia/SEA</t>
        </is>
      </c>
      <c r="D643" s="12" t="n">
        <v>45839</v>
      </c>
      <c r="E643" s="13" t="n">
        <v>31.7</v>
      </c>
      <c r="F643" s="14" t="n">
        <v>2662800</v>
      </c>
      <c r="G643" t="n">
        <v>9</v>
      </c>
      <c r="H643" s="12" t="n">
        <v>46113</v>
      </c>
      <c r="I643" s="12" t="n">
        <v>46235</v>
      </c>
      <c r="J643" t="b">
        <v>0</v>
      </c>
      <c r="K643" s="13" t="n">
        <v>4.27</v>
      </c>
    </row>
    <row r="644">
      <c r="A644" t="inlineStr">
        <is>
          <t>NX-00640</t>
        </is>
      </c>
      <c r="B644" t="inlineStr">
        <is>
          <t>APAC</t>
        </is>
      </c>
      <c r="C644" t="inlineStr">
        <is>
          <t>Australia/SEA</t>
        </is>
      </c>
      <c r="D644" s="12" t="n">
        <v>45839</v>
      </c>
      <c r="E644" s="13" t="n">
        <v>96.2</v>
      </c>
      <c r="F644" s="14" t="n">
        <v>8080800</v>
      </c>
      <c r="G644" t="n">
        <v>15</v>
      </c>
      <c r="H644" s="12" t="n">
        <v>46296</v>
      </c>
      <c r="I644" s="12" t="n">
        <v>46296</v>
      </c>
      <c r="J644" t="b">
        <v>0</v>
      </c>
      <c r="K644" s="13" t="n">
        <v>0.19</v>
      </c>
    </row>
    <row r="645">
      <c r="A645" t="inlineStr">
        <is>
          <t>NX-00641</t>
        </is>
      </c>
      <c r="B645" t="inlineStr">
        <is>
          <t>APAC</t>
        </is>
      </c>
      <c r="C645" t="inlineStr">
        <is>
          <t>Australia/SEA</t>
        </is>
      </c>
      <c r="D645" s="12" t="n">
        <v>45839</v>
      </c>
      <c r="E645" s="13" t="n">
        <v>11</v>
      </c>
      <c r="F645" s="14" t="n">
        <v>924000</v>
      </c>
      <c r="G645" t="n">
        <v>7</v>
      </c>
      <c r="H645" s="12" t="n">
        <v>46054</v>
      </c>
      <c r="I645" s="12" t="n">
        <v>46054</v>
      </c>
      <c r="J645" t="b">
        <v>0</v>
      </c>
      <c r="K645" s="13" t="n">
        <v>0.43</v>
      </c>
    </row>
    <row r="646">
      <c r="A646" t="inlineStr">
        <is>
          <t>NX-00642</t>
        </is>
      </c>
      <c r="B646" t="inlineStr">
        <is>
          <t>LATAM</t>
        </is>
      </c>
      <c r="C646" t="inlineStr">
        <is>
          <t>LATAM</t>
        </is>
      </c>
      <c r="D646" s="12" t="n">
        <v>45839</v>
      </c>
      <c r="E646" s="13" t="n">
        <v>30.5</v>
      </c>
      <c r="F646" s="14" t="n">
        <v>2409500</v>
      </c>
      <c r="G646" t="n">
        <v>24</v>
      </c>
      <c r="H646" s="12" t="n">
        <v>46569</v>
      </c>
      <c r="I646" s="12" t="n">
        <v>46569</v>
      </c>
      <c r="J646" t="b">
        <v>0</v>
      </c>
      <c r="K646" s="13" t="n">
        <v>0</v>
      </c>
    </row>
    <row r="647">
      <c r="A647" t="inlineStr">
        <is>
          <t>NX-00643</t>
        </is>
      </c>
      <c r="B647" t="inlineStr">
        <is>
          <t>LATAM</t>
        </is>
      </c>
      <c r="C647" t="inlineStr">
        <is>
          <t>LATAM</t>
        </is>
      </c>
      <c r="D647" s="12" t="n">
        <v>45839</v>
      </c>
      <c r="E647" s="13" t="n">
        <v>21.9</v>
      </c>
      <c r="F647" s="14" t="n">
        <v>1730100</v>
      </c>
      <c r="G647" t="n">
        <v>9</v>
      </c>
      <c r="H647" s="12" t="n">
        <v>46113</v>
      </c>
      <c r="I647" s="12" t="n">
        <v>46266</v>
      </c>
      <c r="J647" t="b">
        <v>0</v>
      </c>
      <c r="K647" s="13" t="n">
        <v>4.52</v>
      </c>
    </row>
    <row r="648">
      <c r="A648" t="inlineStr">
        <is>
          <t>NX-00644</t>
        </is>
      </c>
      <c r="B648" t="inlineStr">
        <is>
          <t>LATAM</t>
        </is>
      </c>
      <c r="C648" t="inlineStr">
        <is>
          <t>LATAM</t>
        </is>
      </c>
      <c r="D648" s="12" t="n">
        <v>45839</v>
      </c>
      <c r="E648" s="13" t="n">
        <v>23.3</v>
      </c>
      <c r="F648" s="14" t="n">
        <v>1840700</v>
      </c>
      <c r="G648" t="n">
        <v>5</v>
      </c>
      <c r="H648" s="12" t="n">
        <v>45992</v>
      </c>
      <c r="I648" s="12" t="n">
        <v>46327</v>
      </c>
      <c r="J648" t="b">
        <v>0</v>
      </c>
      <c r="K648" s="13" t="n">
        <v>11.21</v>
      </c>
    </row>
    <row r="649">
      <c r="A649" t="inlineStr">
        <is>
          <t>NX-00645</t>
        </is>
      </c>
      <c r="B649" t="inlineStr">
        <is>
          <t>North America</t>
        </is>
      </c>
      <c r="C649" t="inlineStr">
        <is>
          <t>US / Canada</t>
        </is>
      </c>
      <c r="D649" s="12" t="n">
        <v>45870</v>
      </c>
      <c r="E649" s="13" t="n">
        <v>20.6</v>
      </c>
      <c r="F649" s="14" t="n">
        <v>1709800</v>
      </c>
      <c r="G649" t="n">
        <v>5</v>
      </c>
      <c r="H649" s="12" t="n">
        <v>46023</v>
      </c>
      <c r="I649" s="12" t="n">
        <v>46054</v>
      </c>
      <c r="J649" t="b">
        <v>0</v>
      </c>
      <c r="K649" s="13" t="n">
        <v>1.37</v>
      </c>
    </row>
    <row r="650">
      <c r="A650" t="inlineStr">
        <is>
          <t>NX-00646</t>
        </is>
      </c>
      <c r="B650" t="inlineStr">
        <is>
          <t>North America</t>
        </is>
      </c>
      <c r="C650" t="inlineStr">
        <is>
          <t>US / Canada</t>
        </is>
      </c>
      <c r="D650" s="12" t="n">
        <v>45870</v>
      </c>
      <c r="E650" s="13" t="n">
        <v>22.6</v>
      </c>
      <c r="F650" s="14" t="n">
        <v>1875800</v>
      </c>
      <c r="G650" t="n">
        <v>5</v>
      </c>
      <c r="H650" s="12" t="n">
        <v>46023</v>
      </c>
      <c r="I650" s="12" t="n">
        <v>46082</v>
      </c>
      <c r="J650" t="b">
        <v>0</v>
      </c>
      <c r="K650" s="13" t="n">
        <v>2.31</v>
      </c>
    </row>
    <row r="651">
      <c r="A651" t="inlineStr">
        <is>
          <t>NX-00647</t>
        </is>
      </c>
      <c r="B651" t="inlineStr">
        <is>
          <t>North America</t>
        </is>
      </c>
      <c r="C651" t="inlineStr">
        <is>
          <t>US / Canada</t>
        </is>
      </c>
      <c r="D651" s="12" t="n">
        <v>45870</v>
      </c>
      <c r="E651" s="13" t="n">
        <v>6.8</v>
      </c>
      <c r="F651" s="14" t="n">
        <v>564400</v>
      </c>
      <c r="G651" t="n">
        <v>5</v>
      </c>
      <c r="H651" s="12" t="n">
        <v>46023</v>
      </c>
      <c r="I651" s="12" t="n">
        <v>46054</v>
      </c>
      <c r="J651" t="b">
        <v>0</v>
      </c>
      <c r="K651" s="13" t="n">
        <v>1.14</v>
      </c>
    </row>
    <row r="652">
      <c r="A652" t="inlineStr">
        <is>
          <t>NX-00648</t>
        </is>
      </c>
      <c r="B652" t="inlineStr">
        <is>
          <t>North America</t>
        </is>
      </c>
      <c r="C652" t="inlineStr">
        <is>
          <t>US / Canada</t>
        </is>
      </c>
      <c r="D652" s="12" t="n">
        <v>45870</v>
      </c>
      <c r="E652" s="13" t="n">
        <v>19.3</v>
      </c>
      <c r="F652" s="14" t="n">
        <v>1601900</v>
      </c>
      <c r="G652" t="n">
        <v>21</v>
      </c>
      <c r="H652" s="12" t="n">
        <v>46508</v>
      </c>
      <c r="I652" s="12" t="n">
        <v>46508</v>
      </c>
      <c r="J652" t="b">
        <v>0</v>
      </c>
      <c r="K652" s="13" t="n">
        <v>0.41</v>
      </c>
    </row>
    <row r="653">
      <c r="A653" t="inlineStr">
        <is>
          <t>NX-00649</t>
        </is>
      </c>
      <c r="B653" t="inlineStr">
        <is>
          <t>North America</t>
        </is>
      </c>
      <c r="C653" t="inlineStr">
        <is>
          <t>US / Canada</t>
        </is>
      </c>
      <c r="D653" s="12" t="n">
        <v>45870</v>
      </c>
      <c r="E653" s="13" t="n">
        <v>11.3</v>
      </c>
      <c r="F653" s="14" t="n">
        <v>937900</v>
      </c>
      <c r="G653" t="n">
        <v>8</v>
      </c>
      <c r="H653" s="12" t="n">
        <v>46113</v>
      </c>
      <c r="I653" s="12" t="n"/>
      <c r="J653" t="b">
        <v>1</v>
      </c>
      <c r="K653" s="13" t="n">
        <v>0.03</v>
      </c>
    </row>
    <row r="654">
      <c r="A654" t="inlineStr">
        <is>
          <t>NX-00650</t>
        </is>
      </c>
      <c r="B654" t="inlineStr">
        <is>
          <t>North America</t>
        </is>
      </c>
      <c r="C654" t="inlineStr">
        <is>
          <t>US / Canada</t>
        </is>
      </c>
      <c r="D654" s="12" t="n">
        <v>45870</v>
      </c>
      <c r="E654" s="13" t="n">
        <v>13.3</v>
      </c>
      <c r="F654" s="14" t="n">
        <v>1103900</v>
      </c>
      <c r="G654" t="n">
        <v>11</v>
      </c>
      <c r="H654" s="12" t="n">
        <v>46204</v>
      </c>
      <c r="I654" s="12" t="n">
        <v>46204</v>
      </c>
      <c r="J654" t="b">
        <v>0</v>
      </c>
      <c r="K654" s="13" t="n">
        <v>0.05</v>
      </c>
    </row>
    <row r="655">
      <c r="A655" t="inlineStr">
        <is>
          <t>NX-00651</t>
        </is>
      </c>
      <c r="B655" t="inlineStr">
        <is>
          <t>North America</t>
        </is>
      </c>
      <c r="C655" t="inlineStr">
        <is>
          <t>US / Canada</t>
        </is>
      </c>
      <c r="D655" s="12" t="n">
        <v>45870</v>
      </c>
      <c r="E655" s="13" t="n">
        <v>42</v>
      </c>
      <c r="F655" s="14" t="n">
        <v>3486000</v>
      </c>
      <c r="G655" t="n">
        <v>10</v>
      </c>
      <c r="H655" s="12" t="n">
        <v>46174</v>
      </c>
      <c r="I655" s="12" t="n">
        <v>46174</v>
      </c>
      <c r="J655" t="b">
        <v>0</v>
      </c>
      <c r="K655" s="13" t="n">
        <v>0.01</v>
      </c>
    </row>
    <row r="656">
      <c r="A656" t="inlineStr">
        <is>
          <t>NX-00652</t>
        </is>
      </c>
      <c r="B656" t="inlineStr">
        <is>
          <t>North America</t>
        </is>
      </c>
      <c r="C656" t="inlineStr">
        <is>
          <t>US / Canada</t>
        </is>
      </c>
      <c r="D656" s="12" t="n">
        <v>45870</v>
      </c>
      <c r="E656" s="13" t="n">
        <v>18.3</v>
      </c>
      <c r="F656" s="14" t="n">
        <v>1518900</v>
      </c>
      <c r="G656" t="n">
        <v>13</v>
      </c>
      <c r="H656" s="12" t="n">
        <v>46266</v>
      </c>
      <c r="I656" s="12" t="n">
        <v>46266</v>
      </c>
      <c r="J656" t="b">
        <v>0</v>
      </c>
      <c r="K656" s="13" t="n">
        <v>0.06</v>
      </c>
    </row>
    <row r="657">
      <c r="A657" t="inlineStr">
        <is>
          <t>NX-00653</t>
        </is>
      </c>
      <c r="B657" t="inlineStr">
        <is>
          <t>North America</t>
        </is>
      </c>
      <c r="C657" t="inlineStr">
        <is>
          <t>US / Canada</t>
        </is>
      </c>
      <c r="D657" s="12" t="n">
        <v>45870</v>
      </c>
      <c r="E657" s="13" t="n">
        <v>28.1</v>
      </c>
      <c r="F657" s="14" t="n">
        <v>2332300</v>
      </c>
      <c r="G657" t="n">
        <v>7</v>
      </c>
      <c r="H657" s="12" t="n">
        <v>46082</v>
      </c>
      <c r="I657" s="12" t="n">
        <v>46082</v>
      </c>
      <c r="J657" t="b">
        <v>0</v>
      </c>
      <c r="K657" s="13" t="n">
        <v>0.03</v>
      </c>
    </row>
    <row r="658">
      <c r="A658" t="inlineStr">
        <is>
          <t>NX-00654</t>
        </is>
      </c>
      <c r="B658" t="inlineStr">
        <is>
          <t>North America</t>
        </is>
      </c>
      <c r="C658" t="inlineStr">
        <is>
          <t>US / Canada</t>
        </is>
      </c>
      <c r="D658" s="12" t="n">
        <v>45870</v>
      </c>
      <c r="E658" s="13" t="n">
        <v>11</v>
      </c>
      <c r="F658" s="14" t="n">
        <v>913000</v>
      </c>
      <c r="G658" t="n">
        <v>5</v>
      </c>
      <c r="H658" s="12" t="n">
        <v>46023</v>
      </c>
      <c r="I658" s="12" t="n">
        <v>46054</v>
      </c>
      <c r="J658" t="b">
        <v>0</v>
      </c>
      <c r="K658" s="13" t="n">
        <v>1.46</v>
      </c>
    </row>
    <row r="659">
      <c r="A659" t="inlineStr">
        <is>
          <t>NX-00655</t>
        </is>
      </c>
      <c r="B659" t="inlineStr">
        <is>
          <t>North America</t>
        </is>
      </c>
      <c r="C659" t="inlineStr">
        <is>
          <t>US / Canada</t>
        </is>
      </c>
      <c r="D659" s="12" t="n">
        <v>45870</v>
      </c>
      <c r="E659" s="13" t="n">
        <v>19.7</v>
      </c>
      <c r="F659" s="14" t="n">
        <v>1635100</v>
      </c>
      <c r="G659" t="n">
        <v>15</v>
      </c>
      <c r="H659" s="12" t="n">
        <v>46327</v>
      </c>
      <c r="I659" s="12" t="n">
        <v>46327</v>
      </c>
      <c r="J659" t="b">
        <v>0</v>
      </c>
      <c r="K659" s="13" t="n">
        <v>0.17</v>
      </c>
    </row>
    <row r="660">
      <c r="A660" t="inlineStr">
        <is>
          <t>NX-00656</t>
        </is>
      </c>
      <c r="B660" t="inlineStr">
        <is>
          <t>North America</t>
        </is>
      </c>
      <c r="C660" t="inlineStr">
        <is>
          <t>US / Canada</t>
        </is>
      </c>
      <c r="D660" s="12" t="n">
        <v>45870</v>
      </c>
      <c r="E660" s="13" t="n">
        <v>9.1</v>
      </c>
      <c r="F660" s="14" t="n">
        <v>755300</v>
      </c>
      <c r="G660" t="n">
        <v>7</v>
      </c>
      <c r="H660" s="12" t="n">
        <v>46082</v>
      </c>
      <c r="I660" s="12" t="n">
        <v>46082</v>
      </c>
      <c r="J660" t="b">
        <v>0</v>
      </c>
      <c r="K660" s="13" t="n">
        <v>0.07000000000000001</v>
      </c>
    </row>
    <row r="661">
      <c r="A661" t="inlineStr">
        <is>
          <t>NX-00657</t>
        </is>
      </c>
      <c r="B661" t="inlineStr">
        <is>
          <t>North America</t>
        </is>
      </c>
      <c r="C661" t="inlineStr">
        <is>
          <t>US / Canada</t>
        </is>
      </c>
      <c r="D661" s="12" t="n">
        <v>45870</v>
      </c>
      <c r="E661" s="13" t="n">
        <v>11</v>
      </c>
      <c r="F661" s="14" t="n">
        <v>913000</v>
      </c>
      <c r="G661" t="n">
        <v>19</v>
      </c>
      <c r="H661" s="12" t="n">
        <v>46447</v>
      </c>
      <c r="I661" s="12" t="n">
        <v>46447</v>
      </c>
      <c r="J661" t="b">
        <v>0</v>
      </c>
      <c r="K661" s="13" t="n">
        <v>0</v>
      </c>
    </row>
    <row r="662">
      <c r="A662" t="inlineStr">
        <is>
          <t>NX-00658</t>
        </is>
      </c>
      <c r="B662" t="inlineStr">
        <is>
          <t>North America</t>
        </is>
      </c>
      <c r="C662" t="inlineStr">
        <is>
          <t>US / Canada</t>
        </is>
      </c>
      <c r="D662" s="12" t="n">
        <v>45870</v>
      </c>
      <c r="E662" s="13" t="n">
        <v>23.9</v>
      </c>
      <c r="F662" s="14" t="n">
        <v>1983700</v>
      </c>
      <c r="G662" t="n">
        <v>9</v>
      </c>
      <c r="H662" s="12" t="n">
        <v>46143</v>
      </c>
      <c r="I662" s="12" t="n">
        <v>46143</v>
      </c>
      <c r="J662" t="b">
        <v>0</v>
      </c>
      <c r="K662" s="13" t="n">
        <v>0</v>
      </c>
    </row>
    <row r="663">
      <c r="A663" t="inlineStr">
        <is>
          <t>NX-00659</t>
        </is>
      </c>
      <c r="B663" t="inlineStr">
        <is>
          <t>North America</t>
        </is>
      </c>
      <c r="C663" t="inlineStr">
        <is>
          <t>US / Canada</t>
        </is>
      </c>
      <c r="D663" s="12" t="n">
        <v>45870</v>
      </c>
      <c r="E663" s="13" t="n">
        <v>23.6</v>
      </c>
      <c r="F663" s="14" t="n">
        <v>1958800</v>
      </c>
      <c r="G663" t="n">
        <v>6</v>
      </c>
      <c r="H663" s="12" t="n">
        <v>46054</v>
      </c>
      <c r="I663" s="12" t="n">
        <v>46082</v>
      </c>
      <c r="J663" t="b">
        <v>0</v>
      </c>
      <c r="K663" s="13" t="n">
        <v>0.74</v>
      </c>
    </row>
    <row r="664">
      <c r="A664" t="inlineStr">
        <is>
          <t>NX-00660</t>
        </is>
      </c>
      <c r="B664" t="inlineStr">
        <is>
          <t>North America</t>
        </is>
      </c>
      <c r="C664" t="inlineStr">
        <is>
          <t>US / Canada</t>
        </is>
      </c>
      <c r="D664" s="12" t="n">
        <v>45870</v>
      </c>
      <c r="E664" s="13" t="n">
        <v>55.1</v>
      </c>
      <c r="F664" s="14" t="n">
        <v>4573300</v>
      </c>
      <c r="G664" t="n">
        <v>8</v>
      </c>
      <c r="H664" s="12" t="n">
        <v>46113</v>
      </c>
      <c r="I664" s="12" t="n">
        <v>46113</v>
      </c>
      <c r="J664" t="b">
        <v>0</v>
      </c>
      <c r="K664" s="13" t="n">
        <v>0.47</v>
      </c>
    </row>
    <row r="665">
      <c r="A665" t="inlineStr">
        <is>
          <t>NX-00661</t>
        </is>
      </c>
      <c r="B665" t="inlineStr">
        <is>
          <t>North America</t>
        </is>
      </c>
      <c r="C665" t="inlineStr">
        <is>
          <t>US / Canada</t>
        </is>
      </c>
      <c r="D665" s="12" t="n">
        <v>45870</v>
      </c>
      <c r="E665" s="13" t="n">
        <v>16.6</v>
      </c>
      <c r="F665" s="14" t="n">
        <v>1377800</v>
      </c>
      <c r="G665" t="n">
        <v>5</v>
      </c>
      <c r="H665" s="12" t="n">
        <v>46023</v>
      </c>
      <c r="I665" s="12" t="n">
        <v>46023</v>
      </c>
      <c r="J665" t="b">
        <v>0</v>
      </c>
      <c r="K665" s="13" t="n">
        <v>0.14</v>
      </c>
    </row>
    <row r="666">
      <c r="A666" t="inlineStr">
        <is>
          <t>NX-00662</t>
        </is>
      </c>
      <c r="B666" t="inlineStr">
        <is>
          <t>North America</t>
        </is>
      </c>
      <c r="C666" t="inlineStr">
        <is>
          <t>US / Canada</t>
        </is>
      </c>
      <c r="D666" s="12" t="n">
        <v>45870</v>
      </c>
      <c r="E666" s="13" t="n">
        <v>14.1</v>
      </c>
      <c r="F666" s="14" t="n">
        <v>1170300</v>
      </c>
      <c r="G666" t="n">
        <v>6</v>
      </c>
      <c r="H666" s="12" t="n">
        <v>46054</v>
      </c>
      <c r="I666" s="12" t="n"/>
      <c r="J666" t="b">
        <v>1</v>
      </c>
      <c r="K666" s="13" t="n">
        <v>0.04</v>
      </c>
    </row>
    <row r="667">
      <c r="A667" t="inlineStr">
        <is>
          <t>NX-00663</t>
        </is>
      </c>
      <c r="B667" t="inlineStr">
        <is>
          <t>North America</t>
        </is>
      </c>
      <c r="C667" t="inlineStr">
        <is>
          <t>US / Canada</t>
        </is>
      </c>
      <c r="D667" s="12" t="n">
        <v>45870</v>
      </c>
      <c r="E667" s="13" t="n">
        <v>81.5</v>
      </c>
      <c r="F667" s="14" t="n">
        <v>6764500</v>
      </c>
      <c r="G667" t="n">
        <v>5</v>
      </c>
      <c r="H667" s="12" t="n">
        <v>46023</v>
      </c>
      <c r="I667" s="12" t="n">
        <v>46023</v>
      </c>
      <c r="J667" t="b">
        <v>0</v>
      </c>
      <c r="K667" s="13" t="n">
        <v>0.06</v>
      </c>
    </row>
    <row r="668">
      <c r="A668" t="inlineStr">
        <is>
          <t>NX-00664</t>
        </is>
      </c>
      <c r="B668" t="inlineStr">
        <is>
          <t>North America</t>
        </is>
      </c>
      <c r="C668" t="inlineStr">
        <is>
          <t>US / Canada</t>
        </is>
      </c>
      <c r="D668" s="12" t="n">
        <v>45870</v>
      </c>
      <c r="E668" s="13" t="n">
        <v>6.5</v>
      </c>
      <c r="F668" s="14" t="n">
        <v>539500</v>
      </c>
      <c r="G668" t="n">
        <v>5</v>
      </c>
      <c r="H668" s="12" t="n">
        <v>46023</v>
      </c>
      <c r="I668" s="12" t="n">
        <v>46054</v>
      </c>
      <c r="J668" t="b">
        <v>0</v>
      </c>
      <c r="K668" s="13" t="n">
        <v>0.8100000000000001</v>
      </c>
    </row>
    <row r="669">
      <c r="A669" t="inlineStr">
        <is>
          <t>NX-00665</t>
        </is>
      </c>
      <c r="B669" t="inlineStr">
        <is>
          <t>North America</t>
        </is>
      </c>
      <c r="C669" t="inlineStr">
        <is>
          <t>US / Canada</t>
        </is>
      </c>
      <c r="D669" s="12" t="n">
        <v>45870</v>
      </c>
      <c r="E669" s="13" t="n">
        <v>15.3</v>
      </c>
      <c r="F669" s="14" t="n">
        <v>1269900</v>
      </c>
      <c r="G669" t="n">
        <v>12</v>
      </c>
      <c r="H669" s="12" t="n">
        <v>46235</v>
      </c>
      <c r="I669" s="12" t="n">
        <v>46235</v>
      </c>
      <c r="J669" t="b">
        <v>0</v>
      </c>
      <c r="K669" s="13" t="n">
        <v>0</v>
      </c>
    </row>
    <row r="670">
      <c r="A670" t="inlineStr">
        <is>
          <t>NX-00666</t>
        </is>
      </c>
      <c r="B670" t="inlineStr">
        <is>
          <t>North America</t>
        </is>
      </c>
      <c r="C670" t="inlineStr">
        <is>
          <t>US / Canada</t>
        </is>
      </c>
      <c r="D670" s="12" t="n">
        <v>45870</v>
      </c>
      <c r="E670" s="13" t="n">
        <v>16.8</v>
      </c>
      <c r="F670" s="14" t="n">
        <v>1394400</v>
      </c>
      <c r="G670" t="n">
        <v>9</v>
      </c>
      <c r="H670" s="12" t="n">
        <v>46143</v>
      </c>
      <c r="I670" s="12" t="n">
        <v>46174</v>
      </c>
      <c r="J670" t="b">
        <v>0</v>
      </c>
      <c r="K670" s="13" t="n">
        <v>0.64</v>
      </c>
    </row>
    <row r="671">
      <c r="A671" t="inlineStr">
        <is>
          <t>NX-00667</t>
        </is>
      </c>
      <c r="B671" t="inlineStr">
        <is>
          <t>North America</t>
        </is>
      </c>
      <c r="C671" t="inlineStr">
        <is>
          <t>US / Canada</t>
        </is>
      </c>
      <c r="D671" s="12" t="n">
        <v>45870</v>
      </c>
      <c r="E671" s="13" t="n">
        <v>14.5</v>
      </c>
      <c r="F671" s="14" t="n">
        <v>1203500</v>
      </c>
      <c r="G671" t="n">
        <v>5</v>
      </c>
      <c r="H671" s="12" t="n">
        <v>46023</v>
      </c>
      <c r="I671" s="12" t="n">
        <v>46023</v>
      </c>
      <c r="J671" t="b">
        <v>0</v>
      </c>
      <c r="K671" s="13" t="n">
        <v>0</v>
      </c>
    </row>
    <row r="672">
      <c r="A672" t="inlineStr">
        <is>
          <t>NX-00668</t>
        </is>
      </c>
      <c r="B672" t="inlineStr">
        <is>
          <t>North America</t>
        </is>
      </c>
      <c r="C672" t="inlineStr">
        <is>
          <t>US / Canada</t>
        </is>
      </c>
      <c r="D672" s="12" t="n">
        <v>45870</v>
      </c>
      <c r="E672" s="13" t="n">
        <v>14.2</v>
      </c>
      <c r="F672" s="14" t="n">
        <v>1178600</v>
      </c>
      <c r="G672" t="n">
        <v>5</v>
      </c>
      <c r="H672" s="12" t="n">
        <v>46023</v>
      </c>
      <c r="I672" s="12" t="n">
        <v>46023</v>
      </c>
      <c r="J672" t="b">
        <v>0</v>
      </c>
      <c r="K672" s="13" t="n">
        <v>0</v>
      </c>
    </row>
    <row r="673">
      <c r="A673" t="inlineStr">
        <is>
          <t>NX-00669</t>
        </is>
      </c>
      <c r="B673" t="inlineStr">
        <is>
          <t>North America</t>
        </is>
      </c>
      <c r="C673" t="inlineStr">
        <is>
          <t>US / Canada</t>
        </is>
      </c>
      <c r="D673" s="12" t="n">
        <v>45870</v>
      </c>
      <c r="E673" s="13" t="n">
        <v>18.4</v>
      </c>
      <c r="F673" s="14" t="n">
        <v>1527200</v>
      </c>
      <c r="G673" t="n">
        <v>5</v>
      </c>
      <c r="H673" s="12" t="n">
        <v>46023</v>
      </c>
      <c r="I673" s="12" t="n">
        <v>46023</v>
      </c>
      <c r="J673" t="b">
        <v>0</v>
      </c>
      <c r="K673" s="13" t="n">
        <v>0.01</v>
      </c>
    </row>
    <row r="674">
      <c r="A674" t="inlineStr">
        <is>
          <t>NX-00670</t>
        </is>
      </c>
      <c r="B674" t="inlineStr">
        <is>
          <t>North America</t>
        </is>
      </c>
      <c r="C674" t="inlineStr">
        <is>
          <t>US / Canada</t>
        </is>
      </c>
      <c r="D674" s="12" t="n">
        <v>45870</v>
      </c>
      <c r="E674" s="13" t="n">
        <v>29.8</v>
      </c>
      <c r="F674" s="14" t="n">
        <v>2473400</v>
      </c>
      <c r="G674" t="n">
        <v>14</v>
      </c>
      <c r="H674" s="12" t="n">
        <v>46296</v>
      </c>
      <c r="I674" s="12" t="n">
        <v>46296</v>
      </c>
      <c r="J674" t="b">
        <v>0</v>
      </c>
      <c r="K674" s="13" t="n">
        <v>0.14</v>
      </c>
    </row>
    <row r="675">
      <c r="A675" t="inlineStr">
        <is>
          <t>NX-00671</t>
        </is>
      </c>
      <c r="B675" t="inlineStr">
        <is>
          <t>North America</t>
        </is>
      </c>
      <c r="C675" t="inlineStr">
        <is>
          <t>US / Canada</t>
        </is>
      </c>
      <c r="D675" s="12" t="n">
        <v>45870</v>
      </c>
      <c r="E675" s="13" t="n">
        <v>16.9</v>
      </c>
      <c r="F675" s="14" t="n">
        <v>1402700</v>
      </c>
      <c r="G675" t="n">
        <v>10</v>
      </c>
      <c r="H675" s="12" t="n">
        <v>46174</v>
      </c>
      <c r="I675" s="12" t="n">
        <v>46266</v>
      </c>
      <c r="J675" t="b">
        <v>0</v>
      </c>
      <c r="K675" s="13" t="n">
        <v>2.65</v>
      </c>
    </row>
    <row r="676">
      <c r="A676" t="inlineStr">
        <is>
          <t>NX-00672</t>
        </is>
      </c>
      <c r="B676" t="inlineStr">
        <is>
          <t>North America</t>
        </is>
      </c>
      <c r="C676" t="inlineStr">
        <is>
          <t>US / Canada</t>
        </is>
      </c>
      <c r="D676" s="12" t="n">
        <v>45870</v>
      </c>
      <c r="E676" s="13" t="n">
        <v>49.1</v>
      </c>
      <c r="F676" s="14" t="n">
        <v>4075300</v>
      </c>
      <c r="G676" t="n">
        <v>14</v>
      </c>
      <c r="H676" s="12" t="n">
        <v>46296</v>
      </c>
      <c r="I676" s="12" t="n">
        <v>46327</v>
      </c>
      <c r="J676" t="b">
        <v>0</v>
      </c>
      <c r="K676" s="13" t="n">
        <v>0.54</v>
      </c>
    </row>
    <row r="677">
      <c r="A677" t="inlineStr">
        <is>
          <t>NX-00673</t>
        </is>
      </c>
      <c r="B677" t="inlineStr">
        <is>
          <t>EMEA</t>
        </is>
      </c>
      <c r="C677" t="inlineStr">
        <is>
          <t>Europe</t>
        </is>
      </c>
      <c r="D677" s="12" t="n">
        <v>45870</v>
      </c>
      <c r="E677" s="13" t="n">
        <v>7.4</v>
      </c>
      <c r="F677" s="14" t="n">
        <v>651200</v>
      </c>
      <c r="G677" t="n">
        <v>13</v>
      </c>
      <c r="H677" s="12" t="n">
        <v>46266</v>
      </c>
      <c r="I677" s="12" t="n">
        <v>46296</v>
      </c>
      <c r="J677" t="b">
        <v>0</v>
      </c>
      <c r="K677" s="13" t="n">
        <v>0.98</v>
      </c>
    </row>
    <row r="678">
      <c r="A678" t="inlineStr">
        <is>
          <t>NX-00674</t>
        </is>
      </c>
      <c r="B678" t="inlineStr">
        <is>
          <t>EMEA</t>
        </is>
      </c>
      <c r="C678" t="inlineStr">
        <is>
          <t>Europe</t>
        </is>
      </c>
      <c r="D678" s="12" t="n">
        <v>45870</v>
      </c>
      <c r="E678" s="13" t="n">
        <v>10.7</v>
      </c>
      <c r="F678" s="14" t="n">
        <v>941600</v>
      </c>
      <c r="G678" t="n">
        <v>5</v>
      </c>
      <c r="H678" s="12" t="n">
        <v>46023</v>
      </c>
      <c r="I678" s="12" t="n">
        <v>46054</v>
      </c>
      <c r="J678" t="b">
        <v>0</v>
      </c>
      <c r="K678" s="13" t="n">
        <v>0.53</v>
      </c>
    </row>
    <row r="679">
      <c r="A679" t="inlineStr">
        <is>
          <t>NX-00675</t>
        </is>
      </c>
      <c r="B679" t="inlineStr">
        <is>
          <t>EMEA</t>
        </is>
      </c>
      <c r="C679" t="inlineStr">
        <is>
          <t>Europe</t>
        </is>
      </c>
      <c r="D679" s="12" t="n">
        <v>45870</v>
      </c>
      <c r="E679" s="13" t="n">
        <v>6.1</v>
      </c>
      <c r="F679" s="14" t="n">
        <v>536800</v>
      </c>
      <c r="G679" t="n">
        <v>8</v>
      </c>
      <c r="H679" s="12" t="n">
        <v>46113</v>
      </c>
      <c r="I679" s="12" t="n">
        <v>46113</v>
      </c>
      <c r="J679" t="b">
        <v>0</v>
      </c>
      <c r="K679" s="13" t="n">
        <v>0.07000000000000001</v>
      </c>
    </row>
    <row r="680">
      <c r="A680" t="inlineStr">
        <is>
          <t>NX-00676</t>
        </is>
      </c>
      <c r="B680" t="inlineStr">
        <is>
          <t>EMEA</t>
        </is>
      </c>
      <c r="C680" t="inlineStr">
        <is>
          <t>Europe</t>
        </is>
      </c>
      <c r="D680" s="12" t="n">
        <v>45870</v>
      </c>
      <c r="E680" s="13" t="n">
        <v>7.7</v>
      </c>
      <c r="F680" s="14" t="n">
        <v>677600</v>
      </c>
      <c r="G680" t="n">
        <v>5</v>
      </c>
      <c r="H680" s="12" t="n">
        <v>46023</v>
      </c>
      <c r="I680" s="12" t="n">
        <v>46054</v>
      </c>
      <c r="J680" t="b">
        <v>0</v>
      </c>
      <c r="K680" s="13" t="n">
        <v>0.51</v>
      </c>
    </row>
    <row r="681">
      <c r="A681" t="inlineStr">
        <is>
          <t>NX-00677</t>
        </is>
      </c>
      <c r="B681" t="inlineStr">
        <is>
          <t>EMEA</t>
        </is>
      </c>
      <c r="C681" t="inlineStr">
        <is>
          <t>MENA</t>
        </is>
      </c>
      <c r="D681" s="12" t="n">
        <v>45870</v>
      </c>
      <c r="E681" s="13" t="n">
        <v>11.8</v>
      </c>
      <c r="F681" s="14" t="n">
        <v>955800</v>
      </c>
      <c r="G681" t="n">
        <v>5</v>
      </c>
      <c r="H681" s="12" t="n">
        <v>46023</v>
      </c>
      <c r="I681" s="12" t="n">
        <v>46143</v>
      </c>
      <c r="J681" t="b">
        <v>0</v>
      </c>
      <c r="K681" s="13" t="n">
        <v>4.44</v>
      </c>
    </row>
    <row r="682">
      <c r="A682" t="inlineStr">
        <is>
          <t>NX-00678</t>
        </is>
      </c>
      <c r="B682" t="inlineStr">
        <is>
          <t>APAC</t>
        </is>
      </c>
      <c r="C682" t="inlineStr">
        <is>
          <t>India</t>
        </is>
      </c>
      <c r="D682" s="12" t="n">
        <v>45870</v>
      </c>
      <c r="E682" s="13" t="n">
        <v>39.3</v>
      </c>
      <c r="F682" s="14" t="n">
        <v>2790300</v>
      </c>
      <c r="G682" t="n">
        <v>8</v>
      </c>
      <c r="H682" s="12" t="n">
        <v>46113</v>
      </c>
      <c r="I682" s="12" t="n">
        <v>46113</v>
      </c>
      <c r="J682" t="b">
        <v>0</v>
      </c>
      <c r="K682" s="13" t="n">
        <v>0.05</v>
      </c>
    </row>
    <row r="683">
      <c r="A683" t="inlineStr">
        <is>
          <t>NX-00679</t>
        </is>
      </c>
      <c r="B683" t="inlineStr">
        <is>
          <t>APAC</t>
        </is>
      </c>
      <c r="C683" t="inlineStr">
        <is>
          <t>India</t>
        </is>
      </c>
      <c r="D683" s="12" t="n">
        <v>45870</v>
      </c>
      <c r="E683" s="13" t="n">
        <v>8.9</v>
      </c>
      <c r="F683" s="14" t="n">
        <v>631900</v>
      </c>
      <c r="G683" t="n">
        <v>7</v>
      </c>
      <c r="H683" s="12" t="n">
        <v>46082</v>
      </c>
      <c r="I683" s="12" t="n">
        <v>46143</v>
      </c>
      <c r="J683" t="b">
        <v>0</v>
      </c>
      <c r="K683" s="13" t="n">
        <v>1.55</v>
      </c>
    </row>
    <row r="684">
      <c r="A684" t="inlineStr">
        <is>
          <t>NX-00680</t>
        </is>
      </c>
      <c r="B684" t="inlineStr">
        <is>
          <t>LATAM</t>
        </is>
      </c>
      <c r="C684" t="inlineStr">
        <is>
          <t>LATAM</t>
        </is>
      </c>
      <c r="D684" s="12" t="n">
        <v>45870</v>
      </c>
      <c r="E684" s="13" t="n">
        <v>19.5</v>
      </c>
      <c r="F684" s="14" t="n">
        <v>1540500</v>
      </c>
      <c r="G684" t="n">
        <v>11</v>
      </c>
      <c r="H684" s="12" t="n">
        <v>46204</v>
      </c>
      <c r="I684" s="12" t="n">
        <v>46204</v>
      </c>
      <c r="J684" t="b">
        <v>0</v>
      </c>
      <c r="K684" s="13" t="n">
        <v>0.31</v>
      </c>
    </row>
    <row r="685">
      <c r="A685" t="inlineStr">
        <is>
          <t>NX-00681</t>
        </is>
      </c>
      <c r="B685" t="inlineStr">
        <is>
          <t>LATAM</t>
        </is>
      </c>
      <c r="C685" t="inlineStr">
        <is>
          <t>LATAM</t>
        </is>
      </c>
      <c r="D685" s="12" t="n">
        <v>45870</v>
      </c>
      <c r="E685" s="13" t="n">
        <v>5.8</v>
      </c>
      <c r="F685" s="14" t="n">
        <v>458200</v>
      </c>
      <c r="G685" t="n">
        <v>5</v>
      </c>
      <c r="H685" s="12" t="n">
        <v>46023</v>
      </c>
      <c r="I685" s="12" t="n">
        <v>46023</v>
      </c>
      <c r="J685" t="b">
        <v>0</v>
      </c>
      <c r="K685" s="13" t="n">
        <v>0.21</v>
      </c>
    </row>
    <row r="686">
      <c r="A686" t="inlineStr">
        <is>
          <t>NX-00682</t>
        </is>
      </c>
      <c r="B686" t="inlineStr">
        <is>
          <t>LATAM</t>
        </is>
      </c>
      <c r="C686" t="inlineStr">
        <is>
          <t>LATAM</t>
        </is>
      </c>
      <c r="D686" s="12" t="n">
        <v>45870</v>
      </c>
      <c r="E686" s="13" t="n">
        <v>23.2</v>
      </c>
      <c r="F686" s="14" t="n">
        <v>1832800</v>
      </c>
      <c r="G686" t="n">
        <v>16</v>
      </c>
      <c r="H686" s="12" t="n">
        <v>46357</v>
      </c>
      <c r="I686" s="12" t="n">
        <v>46508</v>
      </c>
      <c r="J686" t="b">
        <v>0</v>
      </c>
      <c r="K686" s="13" t="n">
        <v>4.51</v>
      </c>
    </row>
    <row r="687">
      <c r="A687" t="inlineStr">
        <is>
          <t>NX-00683</t>
        </is>
      </c>
      <c r="B687" t="inlineStr">
        <is>
          <t>LATAM</t>
        </is>
      </c>
      <c r="C687" t="inlineStr">
        <is>
          <t>LATAM</t>
        </is>
      </c>
      <c r="D687" s="12" t="n">
        <v>45870</v>
      </c>
      <c r="E687" s="13" t="n">
        <v>16.9</v>
      </c>
      <c r="F687" s="14" t="n">
        <v>1335100</v>
      </c>
      <c r="G687" t="n">
        <v>14</v>
      </c>
      <c r="H687" s="12" t="n">
        <v>46296</v>
      </c>
      <c r="I687" s="12" t="n"/>
      <c r="J687" t="b">
        <v>1</v>
      </c>
      <c r="K687" s="13" t="n">
        <v>0.37</v>
      </c>
    </row>
    <row r="688">
      <c r="A688" t="inlineStr">
        <is>
          <t>NX-00684</t>
        </is>
      </c>
      <c r="B688" t="inlineStr">
        <is>
          <t>North America</t>
        </is>
      </c>
      <c r="C688" t="inlineStr">
        <is>
          <t>US / Canada</t>
        </is>
      </c>
      <c r="D688" s="12" t="n">
        <v>45901</v>
      </c>
      <c r="E688" s="13" t="n">
        <v>3.6</v>
      </c>
      <c r="F688" s="14" t="n">
        <v>298800</v>
      </c>
      <c r="G688" t="n">
        <v>7</v>
      </c>
      <c r="H688" s="12" t="n">
        <v>46113</v>
      </c>
      <c r="I688" s="12" t="n">
        <v>46174</v>
      </c>
      <c r="J688" t="b">
        <v>0</v>
      </c>
      <c r="K688" s="13" t="n">
        <v>2.09</v>
      </c>
    </row>
    <row r="689">
      <c r="A689" t="inlineStr">
        <is>
          <t>NX-00685</t>
        </is>
      </c>
      <c r="B689" t="inlineStr">
        <is>
          <t>North America</t>
        </is>
      </c>
      <c r="C689" t="inlineStr">
        <is>
          <t>US / Canada</t>
        </is>
      </c>
      <c r="D689" s="12" t="n">
        <v>45901</v>
      </c>
      <c r="E689" s="13" t="n">
        <v>16.5</v>
      </c>
      <c r="F689" s="14" t="n">
        <v>1369500</v>
      </c>
      <c r="G689" t="n">
        <v>7</v>
      </c>
      <c r="H689" s="12" t="n">
        <v>46113</v>
      </c>
      <c r="I689" s="12" t="n">
        <v>46113</v>
      </c>
      <c r="J689" t="b">
        <v>0</v>
      </c>
      <c r="K689" s="13" t="n">
        <v>0.27</v>
      </c>
    </row>
    <row r="690">
      <c r="A690" t="inlineStr">
        <is>
          <t>NX-00686</t>
        </is>
      </c>
      <c r="B690" t="inlineStr">
        <is>
          <t>North America</t>
        </is>
      </c>
      <c r="C690" t="inlineStr">
        <is>
          <t>US / Canada</t>
        </is>
      </c>
      <c r="D690" s="12" t="n">
        <v>45901</v>
      </c>
      <c r="E690" s="13" t="n">
        <v>11.5</v>
      </c>
      <c r="F690" s="14" t="n">
        <v>954500</v>
      </c>
      <c r="G690" t="n">
        <v>5</v>
      </c>
      <c r="H690" s="12" t="n">
        <v>46054</v>
      </c>
      <c r="I690" s="12" t="n">
        <v>46054</v>
      </c>
      <c r="J690" t="b">
        <v>0</v>
      </c>
      <c r="K690" s="13" t="n">
        <v>0.2</v>
      </c>
    </row>
    <row r="691">
      <c r="A691" t="inlineStr">
        <is>
          <t>NX-00687</t>
        </is>
      </c>
      <c r="B691" t="inlineStr">
        <is>
          <t>North America</t>
        </is>
      </c>
      <c r="C691" t="inlineStr">
        <is>
          <t>US / Canada</t>
        </is>
      </c>
      <c r="D691" s="12" t="n">
        <v>45901</v>
      </c>
      <c r="E691" s="13" t="n">
        <v>24.2</v>
      </c>
      <c r="F691" s="14" t="n">
        <v>2008600</v>
      </c>
      <c r="G691" t="n">
        <v>9</v>
      </c>
      <c r="H691" s="12" t="n">
        <v>46174</v>
      </c>
      <c r="I691" s="12" t="n">
        <v>46204</v>
      </c>
      <c r="J691" t="b">
        <v>0</v>
      </c>
      <c r="K691" s="13" t="n">
        <v>1.35</v>
      </c>
    </row>
    <row r="692">
      <c r="A692" t="inlineStr">
        <is>
          <t>NX-00688</t>
        </is>
      </c>
      <c r="B692" t="inlineStr">
        <is>
          <t>North America</t>
        </is>
      </c>
      <c r="C692" t="inlineStr">
        <is>
          <t>US / Canada</t>
        </is>
      </c>
      <c r="D692" s="12" t="n">
        <v>45901</v>
      </c>
      <c r="E692" s="13" t="n">
        <v>20.2</v>
      </c>
      <c r="F692" s="14" t="n">
        <v>1676600</v>
      </c>
      <c r="G692" t="n">
        <v>5</v>
      </c>
      <c r="H692" s="12" t="n">
        <v>46054</v>
      </c>
      <c r="I692" s="12" t="n">
        <v>46054</v>
      </c>
      <c r="J692" t="b">
        <v>0</v>
      </c>
      <c r="K692" s="13" t="n">
        <v>0.02</v>
      </c>
    </row>
    <row r="693">
      <c r="A693" t="inlineStr">
        <is>
          <t>NX-00689</t>
        </is>
      </c>
      <c r="B693" t="inlineStr">
        <is>
          <t>North America</t>
        </is>
      </c>
      <c r="C693" t="inlineStr">
        <is>
          <t>US / Canada</t>
        </is>
      </c>
      <c r="D693" s="12" t="n">
        <v>45901</v>
      </c>
      <c r="E693" s="13" t="n">
        <v>22.4</v>
      </c>
      <c r="F693" s="14" t="n">
        <v>1859200</v>
      </c>
      <c r="G693" t="n">
        <v>5</v>
      </c>
      <c r="H693" s="12" t="n">
        <v>46054</v>
      </c>
      <c r="I693" s="12" t="n">
        <v>46082</v>
      </c>
      <c r="J693" t="b">
        <v>0</v>
      </c>
      <c r="K693" s="13" t="n">
        <v>0.64</v>
      </c>
    </row>
    <row r="694">
      <c r="A694" t="inlineStr">
        <is>
          <t>NX-00690</t>
        </is>
      </c>
      <c r="B694" t="inlineStr">
        <is>
          <t>North America</t>
        </is>
      </c>
      <c r="C694" t="inlineStr">
        <is>
          <t>US / Canada</t>
        </is>
      </c>
      <c r="D694" s="12" t="n">
        <v>45901</v>
      </c>
      <c r="E694" s="13" t="n">
        <v>10</v>
      </c>
      <c r="F694" s="14" t="n">
        <v>830000</v>
      </c>
      <c r="G694" t="n">
        <v>5</v>
      </c>
      <c r="H694" s="12" t="n">
        <v>46054</v>
      </c>
      <c r="I694" s="12" t="n">
        <v>46054</v>
      </c>
      <c r="J694" t="b">
        <v>0</v>
      </c>
      <c r="K694" s="13" t="n">
        <v>0</v>
      </c>
    </row>
    <row r="695">
      <c r="A695" t="inlineStr">
        <is>
          <t>NX-00691</t>
        </is>
      </c>
      <c r="B695" t="inlineStr">
        <is>
          <t>North America</t>
        </is>
      </c>
      <c r="C695" t="inlineStr">
        <is>
          <t>US / Canada</t>
        </is>
      </c>
      <c r="D695" s="12" t="n">
        <v>45901</v>
      </c>
      <c r="E695" s="13" t="n">
        <v>22.7</v>
      </c>
      <c r="F695" s="14" t="n">
        <v>1884100</v>
      </c>
      <c r="G695" t="n">
        <v>8</v>
      </c>
      <c r="H695" s="12" t="n">
        <v>46143</v>
      </c>
      <c r="I695" s="12" t="n">
        <v>46143</v>
      </c>
      <c r="J695" t="b">
        <v>0</v>
      </c>
      <c r="K695" s="13" t="n">
        <v>0.37</v>
      </c>
    </row>
    <row r="696">
      <c r="A696" t="inlineStr">
        <is>
          <t>NX-00692</t>
        </is>
      </c>
      <c r="B696" t="inlineStr">
        <is>
          <t>North America</t>
        </is>
      </c>
      <c r="C696" t="inlineStr">
        <is>
          <t>US / Canada</t>
        </is>
      </c>
      <c r="D696" s="12" t="n">
        <v>45901</v>
      </c>
      <c r="E696" s="13" t="n">
        <v>36.4</v>
      </c>
      <c r="F696" s="14" t="n">
        <v>3021200</v>
      </c>
      <c r="G696" t="n">
        <v>5</v>
      </c>
      <c r="H696" s="12" t="n">
        <v>46054</v>
      </c>
      <c r="I696" s="12" t="n">
        <v>46113</v>
      </c>
      <c r="J696" t="b">
        <v>0</v>
      </c>
      <c r="K696" s="13" t="n">
        <v>1.86</v>
      </c>
    </row>
    <row r="697">
      <c r="A697" t="inlineStr">
        <is>
          <t>NX-00693</t>
        </is>
      </c>
      <c r="B697" t="inlineStr">
        <is>
          <t>North America</t>
        </is>
      </c>
      <c r="C697" t="inlineStr">
        <is>
          <t>US / Canada</t>
        </is>
      </c>
      <c r="D697" s="12" t="n">
        <v>45901</v>
      </c>
      <c r="E697" s="13" t="n">
        <v>13.8</v>
      </c>
      <c r="F697" s="14" t="n">
        <v>1145400</v>
      </c>
      <c r="G697" t="n">
        <v>17</v>
      </c>
      <c r="H697" s="12" t="n">
        <v>46419</v>
      </c>
      <c r="I697" s="12" t="n">
        <v>46419</v>
      </c>
      <c r="J697" t="b">
        <v>0</v>
      </c>
      <c r="K697" s="13" t="n">
        <v>0.23</v>
      </c>
    </row>
    <row r="698">
      <c r="A698" t="inlineStr">
        <is>
          <t>NX-00694</t>
        </is>
      </c>
      <c r="B698" t="inlineStr">
        <is>
          <t>North America</t>
        </is>
      </c>
      <c r="C698" t="inlineStr">
        <is>
          <t>US / Canada</t>
        </is>
      </c>
      <c r="D698" s="12" t="n">
        <v>45901</v>
      </c>
      <c r="E698" s="13" t="n">
        <v>49.6</v>
      </c>
      <c r="F698" s="14" t="n">
        <v>4116800</v>
      </c>
      <c r="G698" t="n">
        <v>14</v>
      </c>
      <c r="H698" s="12" t="n">
        <v>46327</v>
      </c>
      <c r="I698" s="12" t="n">
        <v>46357</v>
      </c>
      <c r="J698" t="b">
        <v>0</v>
      </c>
      <c r="K698" s="13" t="n">
        <v>1.23</v>
      </c>
    </row>
    <row r="699">
      <c r="A699" t="inlineStr">
        <is>
          <t>NX-00695</t>
        </is>
      </c>
      <c r="B699" t="inlineStr">
        <is>
          <t>North America</t>
        </is>
      </c>
      <c r="C699" t="inlineStr">
        <is>
          <t>US / Canada</t>
        </is>
      </c>
      <c r="D699" s="12" t="n">
        <v>45901</v>
      </c>
      <c r="E699" s="13" t="n">
        <v>17.2</v>
      </c>
      <c r="F699" s="14" t="n">
        <v>1427600</v>
      </c>
      <c r="G699" t="n">
        <v>13</v>
      </c>
      <c r="H699" s="12" t="n">
        <v>46296</v>
      </c>
      <c r="I699" s="12" t="n">
        <v>46296</v>
      </c>
      <c r="J699" t="b">
        <v>0</v>
      </c>
      <c r="K699" s="13" t="n">
        <v>0</v>
      </c>
    </row>
    <row r="700">
      <c r="A700" t="inlineStr">
        <is>
          <t>NX-00696</t>
        </is>
      </c>
      <c r="B700" t="inlineStr">
        <is>
          <t>North America</t>
        </is>
      </c>
      <c r="C700" t="inlineStr">
        <is>
          <t>US / Canada</t>
        </is>
      </c>
      <c r="D700" s="12" t="n">
        <v>45901</v>
      </c>
      <c r="E700" s="13" t="n">
        <v>18.2</v>
      </c>
      <c r="F700" s="14" t="n">
        <v>1510600</v>
      </c>
      <c r="G700" t="n">
        <v>14</v>
      </c>
      <c r="H700" s="12" t="n">
        <v>46327</v>
      </c>
      <c r="I700" s="12" t="n">
        <v>46357</v>
      </c>
      <c r="J700" t="b">
        <v>0</v>
      </c>
      <c r="K700" s="13" t="n">
        <v>0.97</v>
      </c>
    </row>
    <row r="701">
      <c r="A701" t="inlineStr">
        <is>
          <t>NX-00697</t>
        </is>
      </c>
      <c r="B701" t="inlineStr">
        <is>
          <t>North America</t>
        </is>
      </c>
      <c r="C701" t="inlineStr">
        <is>
          <t>US / Canada</t>
        </is>
      </c>
      <c r="D701" s="12" t="n">
        <v>45901</v>
      </c>
      <c r="E701" s="13" t="n">
        <v>25.1</v>
      </c>
      <c r="F701" s="14" t="n">
        <v>2083300</v>
      </c>
      <c r="G701" t="n">
        <v>7</v>
      </c>
      <c r="H701" s="12" t="n">
        <v>46113</v>
      </c>
      <c r="I701" s="12" t="n">
        <v>46143</v>
      </c>
      <c r="J701" t="b">
        <v>0</v>
      </c>
      <c r="K701" s="13" t="n">
        <v>1</v>
      </c>
    </row>
    <row r="702">
      <c r="A702" t="inlineStr">
        <is>
          <t>NX-00698</t>
        </is>
      </c>
      <c r="B702" t="inlineStr">
        <is>
          <t>North America</t>
        </is>
      </c>
      <c r="C702" t="inlineStr">
        <is>
          <t>US / Canada</t>
        </is>
      </c>
      <c r="D702" s="12" t="n">
        <v>45901</v>
      </c>
      <c r="E702" s="13" t="n">
        <v>17.6</v>
      </c>
      <c r="F702" s="14" t="n">
        <v>1460800</v>
      </c>
      <c r="G702" t="n">
        <v>5</v>
      </c>
      <c r="H702" s="12" t="n">
        <v>46054</v>
      </c>
      <c r="I702" s="12" t="n">
        <v>46054</v>
      </c>
      <c r="J702" t="b">
        <v>0</v>
      </c>
      <c r="K702" s="13" t="n">
        <v>0.07000000000000001</v>
      </c>
    </row>
    <row r="703">
      <c r="A703" t="inlineStr">
        <is>
          <t>NX-00699</t>
        </is>
      </c>
      <c r="B703" t="inlineStr">
        <is>
          <t>North America</t>
        </is>
      </c>
      <c r="C703" t="inlineStr">
        <is>
          <t>US / Canada</t>
        </is>
      </c>
      <c r="D703" s="12" t="n">
        <v>45901</v>
      </c>
      <c r="E703" s="13" t="n">
        <v>12.8</v>
      </c>
      <c r="F703" s="14" t="n">
        <v>1062400</v>
      </c>
      <c r="G703" t="n">
        <v>6</v>
      </c>
      <c r="H703" s="12" t="n">
        <v>46082</v>
      </c>
      <c r="I703" s="12" t="n">
        <v>46082</v>
      </c>
      <c r="J703" t="b">
        <v>0</v>
      </c>
      <c r="K703" s="13" t="n">
        <v>0</v>
      </c>
    </row>
    <row r="704">
      <c r="A704" t="inlineStr">
        <is>
          <t>NX-00700</t>
        </is>
      </c>
      <c r="B704" t="inlineStr">
        <is>
          <t>North America</t>
        </is>
      </c>
      <c r="C704" t="inlineStr">
        <is>
          <t>US / Canada</t>
        </is>
      </c>
      <c r="D704" s="12" t="n">
        <v>45901</v>
      </c>
      <c r="E704" s="13" t="n">
        <v>22.2</v>
      </c>
      <c r="F704" s="14" t="n">
        <v>1842600</v>
      </c>
      <c r="G704" t="n">
        <v>9</v>
      </c>
      <c r="H704" s="12" t="n">
        <v>46174</v>
      </c>
      <c r="I704" s="12" t="n">
        <v>46174</v>
      </c>
      <c r="J704" t="b">
        <v>0</v>
      </c>
      <c r="K704" s="13" t="n">
        <v>0.23</v>
      </c>
    </row>
    <row r="705">
      <c r="A705" t="inlineStr">
        <is>
          <t>NX-00701</t>
        </is>
      </c>
      <c r="B705" t="inlineStr">
        <is>
          <t>North America</t>
        </is>
      </c>
      <c r="C705" t="inlineStr">
        <is>
          <t>US / Canada</t>
        </is>
      </c>
      <c r="D705" s="12" t="n">
        <v>45901</v>
      </c>
      <c r="E705" s="13" t="n">
        <v>10.5</v>
      </c>
      <c r="F705" s="14" t="n">
        <v>871500</v>
      </c>
      <c r="G705" t="n">
        <v>13</v>
      </c>
      <c r="H705" s="12" t="n">
        <v>46296</v>
      </c>
      <c r="I705" s="12" t="n">
        <v>46296</v>
      </c>
      <c r="J705" t="b">
        <v>0</v>
      </c>
      <c r="K705" s="13" t="n">
        <v>0.02</v>
      </c>
    </row>
    <row r="706">
      <c r="A706" t="inlineStr">
        <is>
          <t>NX-00702</t>
        </is>
      </c>
      <c r="B706" t="inlineStr">
        <is>
          <t>North America</t>
        </is>
      </c>
      <c r="C706" t="inlineStr">
        <is>
          <t>US / Canada</t>
        </is>
      </c>
      <c r="D706" s="12" t="n">
        <v>45901</v>
      </c>
      <c r="E706" s="13" t="n">
        <v>22.3</v>
      </c>
      <c r="F706" s="14" t="n">
        <v>1850900</v>
      </c>
      <c r="G706" t="n">
        <v>16</v>
      </c>
      <c r="H706" s="12" t="n">
        <v>46388</v>
      </c>
      <c r="I706" s="12" t="n">
        <v>46388</v>
      </c>
      <c r="J706" t="b">
        <v>0</v>
      </c>
      <c r="K706" s="13" t="n">
        <v>0.08</v>
      </c>
    </row>
    <row r="707">
      <c r="A707" t="inlineStr">
        <is>
          <t>NX-00703</t>
        </is>
      </c>
      <c r="B707" t="inlineStr">
        <is>
          <t>North America</t>
        </is>
      </c>
      <c r="C707" t="inlineStr">
        <is>
          <t>US / Canada</t>
        </is>
      </c>
      <c r="D707" s="12" t="n">
        <v>45901</v>
      </c>
      <c r="E707" s="13" t="n">
        <v>7.9</v>
      </c>
      <c r="F707" s="14" t="n">
        <v>655700</v>
      </c>
      <c r="G707" t="n">
        <v>14</v>
      </c>
      <c r="H707" s="12" t="n">
        <v>46327</v>
      </c>
      <c r="I707" s="12" t="n">
        <v>46327</v>
      </c>
      <c r="J707" t="b">
        <v>0</v>
      </c>
      <c r="K707" s="13" t="n">
        <v>0.1</v>
      </c>
    </row>
    <row r="708">
      <c r="A708" t="inlineStr">
        <is>
          <t>NX-00704</t>
        </is>
      </c>
      <c r="B708" t="inlineStr">
        <is>
          <t>EMEA</t>
        </is>
      </c>
      <c r="C708" t="inlineStr">
        <is>
          <t>Europe</t>
        </is>
      </c>
      <c r="D708" s="12" t="n">
        <v>45901</v>
      </c>
      <c r="E708" s="13" t="n">
        <v>50.7</v>
      </c>
      <c r="F708" s="14" t="n">
        <v>4461600</v>
      </c>
      <c r="G708" t="n">
        <v>8</v>
      </c>
      <c r="H708" s="12" t="n">
        <v>46143</v>
      </c>
      <c r="I708" s="12" t="n">
        <v>46143</v>
      </c>
      <c r="J708" t="b">
        <v>0</v>
      </c>
      <c r="K708" s="13" t="n">
        <v>0.27</v>
      </c>
    </row>
    <row r="709">
      <c r="A709" t="inlineStr">
        <is>
          <t>NX-00705</t>
        </is>
      </c>
      <c r="B709" t="inlineStr">
        <is>
          <t>EMEA</t>
        </is>
      </c>
      <c r="C709" t="inlineStr">
        <is>
          <t>Europe</t>
        </is>
      </c>
      <c r="D709" s="12" t="n">
        <v>45901</v>
      </c>
      <c r="E709" s="13" t="n">
        <v>27</v>
      </c>
      <c r="F709" s="14" t="n">
        <v>2376000</v>
      </c>
      <c r="G709" t="n">
        <v>5</v>
      </c>
      <c r="H709" s="12" t="n">
        <v>46054</v>
      </c>
      <c r="I709" s="12" t="n">
        <v>46235</v>
      </c>
      <c r="J709" t="b">
        <v>0</v>
      </c>
      <c r="K709" s="13" t="n">
        <v>6.49</v>
      </c>
    </row>
    <row r="710">
      <c r="A710" t="inlineStr">
        <is>
          <t>NX-00706</t>
        </is>
      </c>
      <c r="B710" t="inlineStr">
        <is>
          <t>EMEA</t>
        </is>
      </c>
      <c r="C710" t="inlineStr">
        <is>
          <t>Europe</t>
        </is>
      </c>
      <c r="D710" s="12" t="n">
        <v>45901</v>
      </c>
      <c r="E710" s="13" t="n">
        <v>7.3</v>
      </c>
      <c r="F710" s="14" t="n">
        <v>642400</v>
      </c>
      <c r="G710" t="n">
        <v>11</v>
      </c>
      <c r="H710" s="12" t="n">
        <v>46235</v>
      </c>
      <c r="I710" s="12" t="n">
        <v>46235</v>
      </c>
      <c r="J710" t="b">
        <v>0</v>
      </c>
      <c r="K710" s="13" t="n">
        <v>0.04</v>
      </c>
    </row>
    <row r="711">
      <c r="A711" t="inlineStr">
        <is>
          <t>NX-00707</t>
        </is>
      </c>
      <c r="B711" t="inlineStr">
        <is>
          <t>EMEA</t>
        </is>
      </c>
      <c r="C711" t="inlineStr">
        <is>
          <t>Europe</t>
        </is>
      </c>
      <c r="D711" s="12" t="n">
        <v>45901</v>
      </c>
      <c r="E711" s="13" t="n">
        <v>9.5</v>
      </c>
      <c r="F711" s="14" t="n">
        <v>836000</v>
      </c>
      <c r="G711" t="n">
        <v>12</v>
      </c>
      <c r="H711" s="12" t="n">
        <v>46266</v>
      </c>
      <c r="I711" s="12" t="n">
        <v>46296</v>
      </c>
      <c r="J711" t="b">
        <v>0</v>
      </c>
      <c r="K711" s="13" t="n">
        <v>0.66</v>
      </c>
    </row>
    <row r="712">
      <c r="A712" t="inlineStr">
        <is>
          <t>NX-00708</t>
        </is>
      </c>
      <c r="B712" t="inlineStr">
        <is>
          <t>EMEA</t>
        </is>
      </c>
      <c r="C712" t="inlineStr">
        <is>
          <t>Europe</t>
        </is>
      </c>
      <c r="D712" s="12" t="n">
        <v>45901</v>
      </c>
      <c r="E712" s="13" t="n">
        <v>6.2</v>
      </c>
      <c r="F712" s="14" t="n">
        <v>545600</v>
      </c>
      <c r="G712" t="n">
        <v>5</v>
      </c>
      <c r="H712" s="12" t="n">
        <v>46054</v>
      </c>
      <c r="I712" s="12" t="n">
        <v>46054</v>
      </c>
      <c r="J712" t="b">
        <v>0</v>
      </c>
      <c r="K712" s="13" t="n">
        <v>0.21</v>
      </c>
    </row>
    <row r="713">
      <c r="A713" t="inlineStr">
        <is>
          <t>NX-00709</t>
        </is>
      </c>
      <c r="B713" t="inlineStr">
        <is>
          <t>EMEA</t>
        </is>
      </c>
      <c r="C713" t="inlineStr">
        <is>
          <t>Europe</t>
        </is>
      </c>
      <c r="D713" s="12" t="n">
        <v>45901</v>
      </c>
      <c r="E713" s="13" t="n">
        <v>38.9</v>
      </c>
      <c r="F713" s="14" t="n">
        <v>3423200</v>
      </c>
      <c r="G713" t="n">
        <v>15</v>
      </c>
      <c r="H713" s="12" t="n">
        <v>46357</v>
      </c>
      <c r="I713" s="12" t="n">
        <v>46388</v>
      </c>
      <c r="J713" t="b">
        <v>0</v>
      </c>
      <c r="K713" s="13" t="n">
        <v>0.88</v>
      </c>
    </row>
    <row r="714">
      <c r="A714" t="inlineStr">
        <is>
          <t>NX-00710</t>
        </is>
      </c>
      <c r="B714" t="inlineStr">
        <is>
          <t>EMEA</t>
        </is>
      </c>
      <c r="C714" t="inlineStr">
        <is>
          <t>MENA</t>
        </is>
      </c>
      <c r="D714" s="12" t="n">
        <v>45901</v>
      </c>
      <c r="E714" s="13" t="n">
        <v>6.6</v>
      </c>
      <c r="F714" s="14" t="n">
        <v>534600</v>
      </c>
      <c r="G714" t="n">
        <v>12</v>
      </c>
      <c r="H714" s="12" t="n">
        <v>46266</v>
      </c>
      <c r="I714" s="12" t="n">
        <v>46266</v>
      </c>
      <c r="J714" t="b">
        <v>0</v>
      </c>
      <c r="K714" s="13" t="n">
        <v>0.1</v>
      </c>
    </row>
    <row r="715">
      <c r="A715" t="inlineStr">
        <is>
          <t>NX-00711</t>
        </is>
      </c>
      <c r="B715" t="inlineStr">
        <is>
          <t>EMEA</t>
        </is>
      </c>
      <c r="C715" t="inlineStr">
        <is>
          <t>MENA</t>
        </is>
      </c>
      <c r="D715" s="12" t="n">
        <v>45901</v>
      </c>
      <c r="E715" s="13" t="n">
        <v>8.300000000000001</v>
      </c>
      <c r="F715" s="14" t="n">
        <v>672300</v>
      </c>
      <c r="G715" t="n">
        <v>6</v>
      </c>
      <c r="H715" s="12" t="n">
        <v>46082</v>
      </c>
      <c r="I715" s="12" t="n">
        <v>46266</v>
      </c>
      <c r="J715" t="b">
        <v>0</v>
      </c>
      <c r="K715" s="13" t="n">
        <v>5.68</v>
      </c>
    </row>
    <row r="716">
      <c r="A716" t="inlineStr">
        <is>
          <t>NX-00712</t>
        </is>
      </c>
      <c r="B716" t="inlineStr">
        <is>
          <t>EMEA</t>
        </is>
      </c>
      <c r="C716" t="inlineStr">
        <is>
          <t>MENA</t>
        </is>
      </c>
      <c r="D716" s="12" t="n">
        <v>45901</v>
      </c>
      <c r="E716" s="13" t="n">
        <v>11.5</v>
      </c>
      <c r="F716" s="14" t="n">
        <v>931500</v>
      </c>
      <c r="G716" t="n">
        <v>5</v>
      </c>
      <c r="H716" s="12" t="n">
        <v>46054</v>
      </c>
      <c r="I716" s="12" t="n">
        <v>46054</v>
      </c>
      <c r="J716" t="b">
        <v>0</v>
      </c>
      <c r="K716" s="13" t="n">
        <v>0.18</v>
      </c>
    </row>
    <row r="717">
      <c r="A717" t="inlineStr">
        <is>
          <t>NX-00713</t>
        </is>
      </c>
      <c r="B717" t="inlineStr">
        <is>
          <t>APAC</t>
        </is>
      </c>
      <c r="C717" t="inlineStr">
        <is>
          <t>India</t>
        </is>
      </c>
      <c r="D717" s="12" t="n">
        <v>45901</v>
      </c>
      <c r="E717" s="13" t="n">
        <v>49.5</v>
      </c>
      <c r="F717" s="14" t="n">
        <v>3514500</v>
      </c>
      <c r="G717" t="n">
        <v>7</v>
      </c>
      <c r="H717" s="12" t="n">
        <v>46113</v>
      </c>
      <c r="I717" s="12" t="n">
        <v>46327</v>
      </c>
      <c r="J717" t="b">
        <v>0</v>
      </c>
      <c r="K717" s="13" t="n">
        <v>7.05</v>
      </c>
    </row>
    <row r="718">
      <c r="A718" t="inlineStr">
        <is>
          <t>NX-00714</t>
        </is>
      </c>
      <c r="B718" t="inlineStr">
        <is>
          <t>APAC</t>
        </is>
      </c>
      <c r="C718" t="inlineStr">
        <is>
          <t>India</t>
        </is>
      </c>
      <c r="D718" s="12" t="n">
        <v>45901</v>
      </c>
      <c r="E718" s="13" t="n">
        <v>22.1</v>
      </c>
      <c r="F718" s="14" t="n">
        <v>1569100</v>
      </c>
      <c r="G718" t="n">
        <v>15</v>
      </c>
      <c r="H718" s="12" t="n">
        <v>46357</v>
      </c>
      <c r="I718" s="12" t="n">
        <v>46419</v>
      </c>
      <c r="J718" t="b">
        <v>0</v>
      </c>
      <c r="K718" s="13" t="n">
        <v>2.25</v>
      </c>
    </row>
    <row r="719">
      <c r="A719" t="inlineStr">
        <is>
          <t>NX-00715</t>
        </is>
      </c>
      <c r="B719" t="inlineStr">
        <is>
          <t>APAC</t>
        </is>
      </c>
      <c r="C719" t="inlineStr">
        <is>
          <t>Australia/SEA</t>
        </is>
      </c>
      <c r="D719" s="12" t="n">
        <v>45901</v>
      </c>
      <c r="E719" s="13" t="n">
        <v>8.6</v>
      </c>
      <c r="F719" s="14" t="n">
        <v>722400</v>
      </c>
      <c r="G719" t="n">
        <v>5</v>
      </c>
      <c r="H719" s="12" t="n">
        <v>46054</v>
      </c>
      <c r="I719" s="12" t="n">
        <v>46054</v>
      </c>
      <c r="J719" t="b">
        <v>0</v>
      </c>
      <c r="K719" s="13" t="n">
        <v>0</v>
      </c>
    </row>
    <row r="720">
      <c r="A720" t="inlineStr">
        <is>
          <t>NX-00716</t>
        </is>
      </c>
      <c r="B720" t="inlineStr">
        <is>
          <t>APAC</t>
        </is>
      </c>
      <c r="C720" t="inlineStr">
        <is>
          <t>Australia/SEA</t>
        </is>
      </c>
      <c r="D720" s="12" t="n">
        <v>45901</v>
      </c>
      <c r="E720" s="13" t="n">
        <v>19.3</v>
      </c>
      <c r="F720" s="14" t="n">
        <v>1621200</v>
      </c>
      <c r="G720" t="n">
        <v>6</v>
      </c>
      <c r="H720" s="12" t="n">
        <v>46082</v>
      </c>
      <c r="I720" s="12" t="n">
        <v>46143</v>
      </c>
      <c r="J720" t="b">
        <v>0</v>
      </c>
      <c r="K720" s="13" t="n">
        <v>1.59</v>
      </c>
    </row>
    <row r="721">
      <c r="A721" t="inlineStr">
        <is>
          <t>NX-00717</t>
        </is>
      </c>
      <c r="B721" t="inlineStr">
        <is>
          <t>LATAM</t>
        </is>
      </c>
      <c r="C721" t="inlineStr">
        <is>
          <t>LATAM</t>
        </is>
      </c>
      <c r="D721" s="12" t="n">
        <v>45901</v>
      </c>
      <c r="E721" s="13" t="n">
        <v>16.4</v>
      </c>
      <c r="F721" s="14" t="n">
        <v>1295600</v>
      </c>
      <c r="G721" t="n">
        <v>9</v>
      </c>
      <c r="H721" s="12" t="n">
        <v>46174</v>
      </c>
      <c r="I721" s="12" t="n">
        <v>46235</v>
      </c>
      <c r="J721" t="b">
        <v>0</v>
      </c>
      <c r="K721" s="13" t="n">
        <v>1.74</v>
      </c>
    </row>
    <row r="722">
      <c r="A722" t="inlineStr">
        <is>
          <t>NX-00718</t>
        </is>
      </c>
      <c r="B722" t="inlineStr">
        <is>
          <t>LATAM</t>
        </is>
      </c>
      <c r="C722" t="inlineStr">
        <is>
          <t>LATAM</t>
        </is>
      </c>
      <c r="D722" s="12" t="n">
        <v>45901</v>
      </c>
      <c r="E722" s="13" t="n">
        <v>10</v>
      </c>
      <c r="F722" s="14" t="n">
        <v>790000</v>
      </c>
      <c r="G722" t="n">
        <v>15</v>
      </c>
      <c r="H722" s="12" t="n">
        <v>46357</v>
      </c>
      <c r="I722" s="12" t="n">
        <v>46357</v>
      </c>
      <c r="J722" t="b">
        <v>0</v>
      </c>
      <c r="K722" s="13" t="n">
        <v>0.23</v>
      </c>
    </row>
    <row r="723">
      <c r="A723" t="inlineStr">
        <is>
          <t>NX-00719</t>
        </is>
      </c>
      <c r="B723" t="inlineStr">
        <is>
          <t>LATAM</t>
        </is>
      </c>
      <c r="C723" t="inlineStr">
        <is>
          <t>LATAM</t>
        </is>
      </c>
      <c r="D723" s="12" t="n">
        <v>45901</v>
      </c>
      <c r="E723" s="13" t="n">
        <v>22.7</v>
      </c>
      <c r="F723" s="14" t="n">
        <v>1793300</v>
      </c>
      <c r="G723" t="n">
        <v>5</v>
      </c>
      <c r="H723" s="12" t="n">
        <v>46054</v>
      </c>
      <c r="I723" s="12" t="n">
        <v>46054</v>
      </c>
      <c r="J723" t="b">
        <v>0</v>
      </c>
      <c r="K723" s="13" t="n">
        <v>0.02</v>
      </c>
    </row>
    <row r="724">
      <c r="A724" t="inlineStr">
        <is>
          <t>NX-00720</t>
        </is>
      </c>
      <c r="B724" t="inlineStr">
        <is>
          <t>LATAM</t>
        </is>
      </c>
      <c r="C724" t="inlineStr">
        <is>
          <t>LATAM</t>
        </is>
      </c>
      <c r="D724" s="12" t="n">
        <v>45901</v>
      </c>
      <c r="E724" s="13" t="n">
        <v>8.300000000000001</v>
      </c>
      <c r="F724" s="14" t="n">
        <v>655700</v>
      </c>
      <c r="G724" t="n">
        <v>5</v>
      </c>
      <c r="H724" s="12" t="n">
        <v>46054</v>
      </c>
      <c r="I724" s="12" t="n">
        <v>46143</v>
      </c>
      <c r="J724" t="b">
        <v>0</v>
      </c>
      <c r="K724" s="13" t="n">
        <v>2.85</v>
      </c>
    </row>
    <row r="725">
      <c r="A725" t="inlineStr">
        <is>
          <t>NX-00721</t>
        </is>
      </c>
      <c r="B725" t="inlineStr">
        <is>
          <t>North America</t>
        </is>
      </c>
      <c r="C725" t="inlineStr">
        <is>
          <t>US / Canada</t>
        </is>
      </c>
      <c r="D725" s="12" t="n">
        <v>45931</v>
      </c>
      <c r="E725" s="13" t="n">
        <v>4.2</v>
      </c>
      <c r="F725" s="14" t="n">
        <v>348600</v>
      </c>
      <c r="G725" t="n">
        <v>7</v>
      </c>
      <c r="H725" s="12" t="n">
        <v>46143</v>
      </c>
      <c r="I725" s="12" t="n"/>
      <c r="J725" t="b">
        <v>1</v>
      </c>
      <c r="K725" s="13" t="n">
        <v>0</v>
      </c>
    </row>
    <row r="726">
      <c r="A726" t="inlineStr">
        <is>
          <t>NX-00722</t>
        </is>
      </c>
      <c r="B726" t="inlineStr">
        <is>
          <t>North America</t>
        </is>
      </c>
      <c r="C726" t="inlineStr">
        <is>
          <t>US / Canada</t>
        </is>
      </c>
      <c r="D726" s="12" t="n">
        <v>45931</v>
      </c>
      <c r="E726" s="13" t="n">
        <v>12.1</v>
      </c>
      <c r="F726" s="14" t="n">
        <v>1004300</v>
      </c>
      <c r="G726" t="n">
        <v>12</v>
      </c>
      <c r="H726" s="12" t="n">
        <v>46296</v>
      </c>
      <c r="I726" s="12" t="n">
        <v>46296</v>
      </c>
      <c r="J726" t="b">
        <v>0</v>
      </c>
      <c r="K726" s="13" t="n">
        <v>0.3</v>
      </c>
    </row>
    <row r="727">
      <c r="A727" t="inlineStr">
        <is>
          <t>NX-00723</t>
        </is>
      </c>
      <c r="B727" t="inlineStr">
        <is>
          <t>North America</t>
        </is>
      </c>
      <c r="C727" t="inlineStr">
        <is>
          <t>US / Canada</t>
        </is>
      </c>
      <c r="D727" s="12" t="n">
        <v>45931</v>
      </c>
      <c r="E727" s="13" t="n">
        <v>8.800000000000001</v>
      </c>
      <c r="F727" s="14" t="n">
        <v>730400.0000000001</v>
      </c>
      <c r="G727" t="n">
        <v>6</v>
      </c>
      <c r="H727" s="12" t="n">
        <v>46113</v>
      </c>
      <c r="I727" s="12" t="n">
        <v>46388</v>
      </c>
      <c r="J727" t="b">
        <v>0</v>
      </c>
      <c r="K727" s="13" t="n">
        <v>8.630000000000001</v>
      </c>
    </row>
    <row r="728">
      <c r="A728" t="inlineStr">
        <is>
          <t>NX-00724</t>
        </is>
      </c>
      <c r="B728" t="inlineStr">
        <is>
          <t>North America</t>
        </is>
      </c>
      <c r="C728" t="inlineStr">
        <is>
          <t>US / Canada</t>
        </is>
      </c>
      <c r="D728" s="12" t="n">
        <v>45931</v>
      </c>
      <c r="E728" s="13" t="n">
        <v>6</v>
      </c>
      <c r="F728" s="14" t="n">
        <v>498000</v>
      </c>
      <c r="G728" t="n">
        <v>5</v>
      </c>
      <c r="H728" s="12" t="n">
        <v>46082</v>
      </c>
      <c r="I728" s="12" t="n">
        <v>46082</v>
      </c>
      <c r="J728" t="b">
        <v>0</v>
      </c>
      <c r="K728" s="13" t="n">
        <v>0.01</v>
      </c>
    </row>
    <row r="729">
      <c r="A729" t="inlineStr">
        <is>
          <t>NX-00725</t>
        </is>
      </c>
      <c r="B729" t="inlineStr">
        <is>
          <t>North America</t>
        </is>
      </c>
      <c r="C729" t="inlineStr">
        <is>
          <t>US / Canada</t>
        </is>
      </c>
      <c r="D729" s="12" t="n">
        <v>45931</v>
      </c>
      <c r="E729" s="13" t="n">
        <v>21.3</v>
      </c>
      <c r="F729" s="14" t="n">
        <v>1767900</v>
      </c>
      <c r="G729" t="n">
        <v>6</v>
      </c>
      <c r="H729" s="12" t="n">
        <v>46113</v>
      </c>
      <c r="I729" s="12" t="n">
        <v>46113</v>
      </c>
      <c r="J729" t="b">
        <v>0</v>
      </c>
      <c r="K729" s="13" t="n">
        <v>0.2</v>
      </c>
    </row>
    <row r="730">
      <c r="A730" t="inlineStr">
        <is>
          <t>NX-00726</t>
        </is>
      </c>
      <c r="B730" t="inlineStr">
        <is>
          <t>North America</t>
        </is>
      </c>
      <c r="C730" t="inlineStr">
        <is>
          <t>US / Canada</t>
        </is>
      </c>
      <c r="D730" s="12" t="n">
        <v>45931</v>
      </c>
      <c r="E730" s="13" t="n">
        <v>19.5</v>
      </c>
      <c r="F730" s="14" t="n">
        <v>1618500</v>
      </c>
      <c r="G730" t="n">
        <v>6</v>
      </c>
      <c r="H730" s="12" t="n">
        <v>46113</v>
      </c>
      <c r="I730" s="12" t="n">
        <v>46113</v>
      </c>
      <c r="J730" t="b">
        <v>0</v>
      </c>
      <c r="K730" s="13" t="n">
        <v>0.16</v>
      </c>
    </row>
    <row r="731">
      <c r="A731" t="inlineStr">
        <is>
          <t>NX-00727</t>
        </is>
      </c>
      <c r="B731" t="inlineStr">
        <is>
          <t>North America</t>
        </is>
      </c>
      <c r="C731" t="inlineStr">
        <is>
          <t>US / Canada</t>
        </is>
      </c>
      <c r="D731" s="12" t="n">
        <v>45931</v>
      </c>
      <c r="E731" s="13" t="n">
        <v>3.8</v>
      </c>
      <c r="F731" s="14" t="n">
        <v>315400</v>
      </c>
      <c r="G731" t="n">
        <v>14</v>
      </c>
      <c r="H731" s="12" t="n">
        <v>46357</v>
      </c>
      <c r="I731" s="12" t="n">
        <v>46419</v>
      </c>
      <c r="J731" t="b">
        <v>0</v>
      </c>
      <c r="K731" s="13" t="n">
        <v>1.75</v>
      </c>
    </row>
    <row r="732">
      <c r="A732" t="inlineStr">
        <is>
          <t>NX-00728</t>
        </is>
      </c>
      <c r="B732" t="inlineStr">
        <is>
          <t>North America</t>
        </is>
      </c>
      <c r="C732" t="inlineStr">
        <is>
          <t>US / Canada</t>
        </is>
      </c>
      <c r="D732" s="12" t="n">
        <v>45931</v>
      </c>
      <c r="E732" s="13" t="n">
        <v>10.7</v>
      </c>
      <c r="F732" s="14" t="n">
        <v>888099.9999999999</v>
      </c>
      <c r="G732" t="n">
        <v>11</v>
      </c>
      <c r="H732" s="12" t="n">
        <v>46266</v>
      </c>
      <c r="I732" s="12" t="n">
        <v>46266</v>
      </c>
      <c r="J732" t="b">
        <v>0</v>
      </c>
      <c r="K732" s="13" t="n">
        <v>0</v>
      </c>
    </row>
    <row r="733">
      <c r="A733" t="inlineStr">
        <is>
          <t>NX-00729</t>
        </is>
      </c>
      <c r="B733" t="inlineStr">
        <is>
          <t>North America</t>
        </is>
      </c>
      <c r="C733" t="inlineStr">
        <is>
          <t>US / Canada</t>
        </is>
      </c>
      <c r="D733" s="12" t="n">
        <v>45931</v>
      </c>
      <c r="E733" s="13" t="n">
        <v>13.6</v>
      </c>
      <c r="F733" s="14" t="n">
        <v>1128800</v>
      </c>
      <c r="G733" t="n">
        <v>11</v>
      </c>
      <c r="H733" s="12" t="n">
        <v>46266</v>
      </c>
      <c r="I733" s="12" t="n">
        <v>46266</v>
      </c>
      <c r="J733" t="b">
        <v>0</v>
      </c>
      <c r="K733" s="13" t="n">
        <v>0</v>
      </c>
    </row>
    <row r="734">
      <c r="A734" t="inlineStr">
        <is>
          <t>NX-00730</t>
        </is>
      </c>
      <c r="B734" t="inlineStr">
        <is>
          <t>North America</t>
        </is>
      </c>
      <c r="C734" t="inlineStr">
        <is>
          <t>US / Canada</t>
        </is>
      </c>
      <c r="D734" s="12" t="n">
        <v>45931</v>
      </c>
      <c r="E734" s="13" t="n">
        <v>34.7</v>
      </c>
      <c r="F734" s="14" t="n">
        <v>2880100</v>
      </c>
      <c r="G734" t="n">
        <v>5</v>
      </c>
      <c r="H734" s="12" t="n">
        <v>46082</v>
      </c>
      <c r="I734" s="12" t="n">
        <v>46082</v>
      </c>
      <c r="J734" t="b">
        <v>0</v>
      </c>
      <c r="K734" s="13" t="n">
        <v>0.25</v>
      </c>
    </row>
    <row r="735">
      <c r="A735" t="inlineStr">
        <is>
          <t>NX-00731</t>
        </is>
      </c>
      <c r="B735" t="inlineStr">
        <is>
          <t>North America</t>
        </is>
      </c>
      <c r="C735" t="inlineStr">
        <is>
          <t>US / Canada</t>
        </is>
      </c>
      <c r="D735" s="12" t="n">
        <v>45931</v>
      </c>
      <c r="E735" s="13" t="n">
        <v>26.7</v>
      </c>
      <c r="F735" s="14" t="n">
        <v>2216100</v>
      </c>
      <c r="G735" t="n">
        <v>7</v>
      </c>
      <c r="H735" s="12" t="n">
        <v>46143</v>
      </c>
      <c r="I735" s="12" t="n">
        <v>46143</v>
      </c>
      <c r="J735" t="b">
        <v>0</v>
      </c>
      <c r="K735" s="13" t="n">
        <v>0.08</v>
      </c>
    </row>
    <row r="736">
      <c r="A736" t="inlineStr">
        <is>
          <t>NX-00732</t>
        </is>
      </c>
      <c r="B736" t="inlineStr">
        <is>
          <t>North America</t>
        </is>
      </c>
      <c r="C736" t="inlineStr">
        <is>
          <t>US / Canada</t>
        </is>
      </c>
      <c r="D736" s="12" t="n">
        <v>45931</v>
      </c>
      <c r="E736" s="13" t="n">
        <v>13.4</v>
      </c>
      <c r="F736" s="14" t="n">
        <v>1112200</v>
      </c>
      <c r="G736" t="n">
        <v>13</v>
      </c>
      <c r="H736" s="12" t="n">
        <v>46327</v>
      </c>
      <c r="I736" s="12" t="n">
        <v>46327</v>
      </c>
      <c r="J736" t="b">
        <v>0</v>
      </c>
      <c r="K736" s="13" t="n">
        <v>0</v>
      </c>
    </row>
    <row r="737">
      <c r="A737" t="inlineStr">
        <is>
          <t>NX-00733</t>
        </is>
      </c>
      <c r="B737" t="inlineStr">
        <is>
          <t>North America</t>
        </is>
      </c>
      <c r="C737" t="inlineStr">
        <is>
          <t>US / Canada</t>
        </is>
      </c>
      <c r="D737" s="12" t="n">
        <v>45931</v>
      </c>
      <c r="E737" s="13" t="n">
        <v>13</v>
      </c>
      <c r="F737" s="14" t="n">
        <v>1079000</v>
      </c>
      <c r="G737" t="n">
        <v>12</v>
      </c>
      <c r="H737" s="12" t="n">
        <v>46296</v>
      </c>
      <c r="I737" s="12" t="n">
        <v>46296</v>
      </c>
      <c r="J737" t="b">
        <v>0</v>
      </c>
      <c r="K737" s="13" t="n">
        <v>0</v>
      </c>
    </row>
    <row r="738">
      <c r="A738" t="inlineStr">
        <is>
          <t>NX-00734</t>
        </is>
      </c>
      <c r="B738" t="inlineStr">
        <is>
          <t>North America</t>
        </is>
      </c>
      <c r="C738" t="inlineStr">
        <is>
          <t>US / Canada</t>
        </is>
      </c>
      <c r="D738" s="12" t="n">
        <v>45931</v>
      </c>
      <c r="E738" s="13" t="n">
        <v>4.5</v>
      </c>
      <c r="F738" s="14" t="n">
        <v>373500</v>
      </c>
      <c r="G738" t="n">
        <v>16</v>
      </c>
      <c r="H738" s="12" t="n">
        <v>46419</v>
      </c>
      <c r="I738" s="12" t="n">
        <v>46419</v>
      </c>
      <c r="J738" t="b">
        <v>0</v>
      </c>
      <c r="K738" s="13" t="n">
        <v>0.01</v>
      </c>
    </row>
    <row r="739">
      <c r="A739" t="inlineStr">
        <is>
          <t>NX-00735</t>
        </is>
      </c>
      <c r="B739" t="inlineStr">
        <is>
          <t>North America</t>
        </is>
      </c>
      <c r="C739" t="inlineStr">
        <is>
          <t>US / Canada</t>
        </is>
      </c>
      <c r="D739" s="12" t="n">
        <v>45931</v>
      </c>
      <c r="E739" s="13" t="n">
        <v>4.1</v>
      </c>
      <c r="F739" s="14" t="n">
        <v>340299.9999999999</v>
      </c>
      <c r="G739" t="n">
        <v>5</v>
      </c>
      <c r="H739" s="12" t="n">
        <v>46082</v>
      </c>
      <c r="I739" s="12" t="n">
        <v>46082</v>
      </c>
      <c r="J739" t="b">
        <v>0</v>
      </c>
      <c r="K739" s="13" t="n">
        <v>0.04</v>
      </c>
    </row>
    <row r="740">
      <c r="A740" t="inlineStr">
        <is>
          <t>NX-00736</t>
        </is>
      </c>
      <c r="B740" t="inlineStr">
        <is>
          <t>North America</t>
        </is>
      </c>
      <c r="C740" t="inlineStr">
        <is>
          <t>US / Canada</t>
        </is>
      </c>
      <c r="D740" s="12" t="n">
        <v>45931</v>
      </c>
      <c r="E740" s="13" t="n">
        <v>69.09999999999999</v>
      </c>
      <c r="F740" s="14" t="n">
        <v>5735299.999999999</v>
      </c>
      <c r="G740" t="n">
        <v>5</v>
      </c>
      <c r="H740" s="12" t="n">
        <v>46082</v>
      </c>
      <c r="I740" s="12" t="n">
        <v>46082</v>
      </c>
      <c r="J740" t="b">
        <v>0</v>
      </c>
      <c r="K740" s="13" t="n">
        <v>0</v>
      </c>
    </row>
    <row r="741">
      <c r="A741" t="inlineStr">
        <is>
          <t>NX-00737</t>
        </is>
      </c>
      <c r="B741" t="inlineStr">
        <is>
          <t>North America</t>
        </is>
      </c>
      <c r="C741" t="inlineStr">
        <is>
          <t>US / Canada</t>
        </is>
      </c>
      <c r="D741" s="12" t="n">
        <v>45931</v>
      </c>
      <c r="E741" s="13" t="n">
        <v>8.699999999999999</v>
      </c>
      <c r="F741" s="14" t="n">
        <v>722099.9999999999</v>
      </c>
      <c r="G741" t="n">
        <v>5</v>
      </c>
      <c r="H741" s="12" t="n">
        <v>46082</v>
      </c>
      <c r="I741" s="12" t="n">
        <v>46082</v>
      </c>
      <c r="J741" t="b">
        <v>0</v>
      </c>
      <c r="K741" s="13" t="n">
        <v>0.13</v>
      </c>
    </row>
    <row r="742">
      <c r="A742" t="inlineStr">
        <is>
          <t>NX-00738</t>
        </is>
      </c>
      <c r="B742" t="inlineStr">
        <is>
          <t>North America</t>
        </is>
      </c>
      <c r="C742" t="inlineStr">
        <is>
          <t>US / Canada</t>
        </is>
      </c>
      <c r="D742" s="12" t="n">
        <v>45931</v>
      </c>
      <c r="E742" s="13" t="n">
        <v>45.3</v>
      </c>
      <c r="F742" s="14" t="n">
        <v>3759900</v>
      </c>
      <c r="G742" t="n">
        <v>6</v>
      </c>
      <c r="H742" s="12" t="n">
        <v>46113</v>
      </c>
      <c r="I742" s="12" t="n">
        <v>46113</v>
      </c>
      <c r="J742" t="b">
        <v>0</v>
      </c>
      <c r="K742" s="13" t="n">
        <v>0</v>
      </c>
    </row>
    <row r="743">
      <c r="A743" t="inlineStr">
        <is>
          <t>NX-00739</t>
        </is>
      </c>
      <c r="B743" t="inlineStr">
        <is>
          <t>North America</t>
        </is>
      </c>
      <c r="C743" t="inlineStr">
        <is>
          <t>US / Canada</t>
        </is>
      </c>
      <c r="D743" s="12" t="n">
        <v>45931</v>
      </c>
      <c r="E743" s="13" t="n">
        <v>12</v>
      </c>
      <c r="F743" s="14" t="n">
        <v>996000</v>
      </c>
      <c r="G743" t="n">
        <v>10</v>
      </c>
      <c r="H743" s="12" t="n">
        <v>46235</v>
      </c>
      <c r="I743" s="12" t="n">
        <v>46235</v>
      </c>
      <c r="J743" t="b">
        <v>0</v>
      </c>
      <c r="K743" s="13" t="n">
        <v>0.04</v>
      </c>
    </row>
    <row r="744">
      <c r="A744" t="inlineStr">
        <is>
          <t>NX-00740</t>
        </is>
      </c>
      <c r="B744" t="inlineStr">
        <is>
          <t>North America</t>
        </is>
      </c>
      <c r="C744" t="inlineStr">
        <is>
          <t>US / Canada</t>
        </is>
      </c>
      <c r="D744" s="12" t="n">
        <v>45931</v>
      </c>
      <c r="E744" s="13" t="n">
        <v>1.4</v>
      </c>
      <c r="F744" s="14" t="n">
        <v>116200</v>
      </c>
      <c r="G744" t="n">
        <v>5</v>
      </c>
      <c r="H744" s="12" t="n">
        <v>46082</v>
      </c>
      <c r="I744" s="12" t="n">
        <v>46082</v>
      </c>
      <c r="J744" t="b">
        <v>0</v>
      </c>
      <c r="K744" s="13" t="n">
        <v>0</v>
      </c>
    </row>
    <row r="745">
      <c r="A745" t="inlineStr">
        <is>
          <t>NX-00741</t>
        </is>
      </c>
      <c r="B745" t="inlineStr">
        <is>
          <t>North America</t>
        </is>
      </c>
      <c r="C745" t="inlineStr">
        <is>
          <t>US / Canada</t>
        </is>
      </c>
      <c r="D745" s="12" t="n">
        <v>45931</v>
      </c>
      <c r="E745" s="13" t="n">
        <v>18</v>
      </c>
      <c r="F745" s="14" t="n">
        <v>1494000</v>
      </c>
      <c r="G745" t="n">
        <v>5</v>
      </c>
      <c r="H745" s="12" t="n">
        <v>46082</v>
      </c>
      <c r="I745" s="12" t="n">
        <v>46082</v>
      </c>
      <c r="J745" t="b">
        <v>0</v>
      </c>
      <c r="K745" s="13" t="n">
        <v>0</v>
      </c>
    </row>
    <row r="746">
      <c r="A746" t="inlineStr">
        <is>
          <t>NX-00742</t>
        </is>
      </c>
      <c r="B746" t="inlineStr">
        <is>
          <t>North America</t>
        </is>
      </c>
      <c r="C746" t="inlineStr">
        <is>
          <t>US / Canada</t>
        </is>
      </c>
      <c r="D746" s="12" t="n">
        <v>45931</v>
      </c>
      <c r="E746" s="13" t="n">
        <v>9.6</v>
      </c>
      <c r="F746" s="14" t="n">
        <v>796800</v>
      </c>
      <c r="G746" t="n">
        <v>8</v>
      </c>
      <c r="H746" s="12" t="n">
        <v>46174</v>
      </c>
      <c r="I746" s="12" t="n">
        <v>46174</v>
      </c>
      <c r="J746" t="b">
        <v>0</v>
      </c>
      <c r="K746" s="13" t="n">
        <v>0.01</v>
      </c>
    </row>
    <row r="747">
      <c r="A747" t="inlineStr">
        <is>
          <t>NX-00743</t>
        </is>
      </c>
      <c r="B747" t="inlineStr">
        <is>
          <t>North America</t>
        </is>
      </c>
      <c r="C747" t="inlineStr">
        <is>
          <t>US / Canada</t>
        </is>
      </c>
      <c r="D747" s="12" t="n">
        <v>45931</v>
      </c>
      <c r="E747" s="13" t="n">
        <v>24.8</v>
      </c>
      <c r="F747" s="14" t="n">
        <v>2058400</v>
      </c>
      <c r="G747" t="n">
        <v>8</v>
      </c>
      <c r="H747" s="12" t="n">
        <v>46174</v>
      </c>
      <c r="I747" s="12" t="n">
        <v>46174</v>
      </c>
      <c r="J747" t="b">
        <v>0</v>
      </c>
      <c r="K747" s="13" t="n">
        <v>0.46</v>
      </c>
    </row>
    <row r="748">
      <c r="A748" t="inlineStr">
        <is>
          <t>NX-00744</t>
        </is>
      </c>
      <c r="B748" t="inlineStr">
        <is>
          <t>North America</t>
        </is>
      </c>
      <c r="C748" t="inlineStr">
        <is>
          <t>US / Canada</t>
        </is>
      </c>
      <c r="D748" s="12" t="n">
        <v>45931</v>
      </c>
      <c r="E748" s="13" t="n">
        <v>42.4</v>
      </c>
      <c r="F748" s="14" t="n">
        <v>3519200</v>
      </c>
      <c r="G748" t="n">
        <v>5</v>
      </c>
      <c r="H748" s="12" t="n">
        <v>46082</v>
      </c>
      <c r="I748" s="12" t="n">
        <v>46082</v>
      </c>
      <c r="J748" t="b">
        <v>0</v>
      </c>
      <c r="K748" s="13" t="n">
        <v>0</v>
      </c>
    </row>
    <row r="749">
      <c r="A749" t="inlineStr">
        <is>
          <t>NX-00745</t>
        </is>
      </c>
      <c r="B749" t="inlineStr">
        <is>
          <t>North America</t>
        </is>
      </c>
      <c r="C749" t="inlineStr">
        <is>
          <t>US / Canada</t>
        </is>
      </c>
      <c r="D749" s="12" t="n">
        <v>45931</v>
      </c>
      <c r="E749" s="13" t="n">
        <v>19.5</v>
      </c>
      <c r="F749" s="14" t="n">
        <v>1618500</v>
      </c>
      <c r="G749" t="n">
        <v>7</v>
      </c>
      <c r="H749" s="12" t="n">
        <v>46143</v>
      </c>
      <c r="I749" s="12" t="n">
        <v>46266</v>
      </c>
      <c r="J749" t="b">
        <v>0</v>
      </c>
      <c r="K749" s="13" t="n">
        <v>4.32</v>
      </c>
    </row>
    <row r="750">
      <c r="A750" t="inlineStr">
        <is>
          <t>NX-00746</t>
        </is>
      </c>
      <c r="B750" t="inlineStr">
        <is>
          <t>North America</t>
        </is>
      </c>
      <c r="C750" t="inlineStr">
        <is>
          <t>US / Canada</t>
        </is>
      </c>
      <c r="D750" s="12" t="n">
        <v>45931</v>
      </c>
      <c r="E750" s="13" t="n">
        <v>3.1</v>
      </c>
      <c r="F750" s="14" t="n">
        <v>257300</v>
      </c>
      <c r="G750" t="n">
        <v>5</v>
      </c>
      <c r="H750" s="12" t="n">
        <v>46082</v>
      </c>
      <c r="I750" s="12" t="n">
        <v>46204</v>
      </c>
      <c r="J750" t="b">
        <v>0</v>
      </c>
      <c r="K750" s="13" t="n">
        <v>3.9</v>
      </c>
    </row>
    <row r="751">
      <c r="A751" t="inlineStr">
        <is>
          <t>NX-00747</t>
        </is>
      </c>
      <c r="B751" t="inlineStr">
        <is>
          <t>North America</t>
        </is>
      </c>
      <c r="C751" t="inlineStr">
        <is>
          <t>US / Canada</t>
        </is>
      </c>
      <c r="D751" s="12" t="n">
        <v>45931</v>
      </c>
      <c r="E751" s="13" t="n">
        <v>5.4</v>
      </c>
      <c r="F751" s="14" t="n">
        <v>448200.0000000001</v>
      </c>
      <c r="G751" t="n">
        <v>5</v>
      </c>
      <c r="H751" s="12" t="n">
        <v>46082</v>
      </c>
      <c r="I751" s="12" t="n">
        <v>46082</v>
      </c>
      <c r="J751" t="b">
        <v>0</v>
      </c>
      <c r="K751" s="13" t="n">
        <v>0.1</v>
      </c>
    </row>
    <row r="752">
      <c r="A752" t="inlineStr">
        <is>
          <t>NX-00748</t>
        </is>
      </c>
      <c r="B752" t="inlineStr">
        <is>
          <t>North America</t>
        </is>
      </c>
      <c r="C752" t="inlineStr">
        <is>
          <t>US / Canada</t>
        </is>
      </c>
      <c r="D752" s="12" t="n">
        <v>45931</v>
      </c>
      <c r="E752" s="13" t="n">
        <v>26.3</v>
      </c>
      <c r="F752" s="14" t="n">
        <v>2182900</v>
      </c>
      <c r="G752" t="n">
        <v>5</v>
      </c>
      <c r="H752" s="12" t="n">
        <v>46082</v>
      </c>
      <c r="I752" s="12" t="n">
        <v>46082</v>
      </c>
      <c r="J752" t="b">
        <v>0</v>
      </c>
      <c r="K752" s="13" t="n">
        <v>0</v>
      </c>
    </row>
    <row r="753">
      <c r="A753" t="inlineStr">
        <is>
          <t>NX-00749</t>
        </is>
      </c>
      <c r="B753" t="inlineStr">
        <is>
          <t>North America</t>
        </is>
      </c>
      <c r="C753" t="inlineStr">
        <is>
          <t>US / Canada</t>
        </is>
      </c>
      <c r="D753" s="12" t="n">
        <v>45931</v>
      </c>
      <c r="E753" s="13" t="n">
        <v>8.1</v>
      </c>
      <c r="F753" s="14" t="n">
        <v>672300</v>
      </c>
      <c r="G753" t="n">
        <v>10</v>
      </c>
      <c r="H753" s="12" t="n">
        <v>46235</v>
      </c>
      <c r="I753" s="12" t="n">
        <v>46235</v>
      </c>
      <c r="J753" t="b">
        <v>0</v>
      </c>
      <c r="K753" s="13" t="n">
        <v>0.06</v>
      </c>
    </row>
    <row r="754">
      <c r="A754" t="inlineStr">
        <is>
          <t>NX-00750</t>
        </is>
      </c>
      <c r="B754" t="inlineStr">
        <is>
          <t>North America</t>
        </is>
      </c>
      <c r="C754" t="inlineStr">
        <is>
          <t>US / Canada</t>
        </is>
      </c>
      <c r="D754" s="12" t="n">
        <v>45931</v>
      </c>
      <c r="E754" s="13" t="n">
        <v>7.3</v>
      </c>
      <c r="F754" s="14" t="n">
        <v>605900</v>
      </c>
      <c r="G754" t="n">
        <v>8</v>
      </c>
      <c r="H754" s="12" t="n">
        <v>46174</v>
      </c>
      <c r="I754" s="12" t="n">
        <v>46327</v>
      </c>
      <c r="J754" t="b">
        <v>0</v>
      </c>
      <c r="K754" s="13" t="n">
        <v>5.08</v>
      </c>
    </row>
    <row r="755">
      <c r="A755" t="inlineStr">
        <is>
          <t>NX-00751</t>
        </is>
      </c>
      <c r="B755" t="inlineStr">
        <is>
          <t>EMEA</t>
        </is>
      </c>
      <c r="C755" t="inlineStr">
        <is>
          <t>Europe</t>
        </is>
      </c>
      <c r="D755" s="12" t="n">
        <v>45931</v>
      </c>
      <c r="E755" s="13" t="n">
        <v>4.9</v>
      </c>
      <c r="F755" s="14" t="n">
        <v>431200.0000000001</v>
      </c>
      <c r="G755" t="n">
        <v>5</v>
      </c>
      <c r="H755" s="12" t="n">
        <v>46082</v>
      </c>
      <c r="I755" s="12" t="n">
        <v>46113</v>
      </c>
      <c r="J755" t="b">
        <v>0</v>
      </c>
      <c r="K755" s="13" t="n">
        <v>1.32</v>
      </c>
    </row>
    <row r="756">
      <c r="A756" t="inlineStr">
        <is>
          <t>NX-00752</t>
        </is>
      </c>
      <c r="B756" t="inlineStr">
        <is>
          <t>EMEA</t>
        </is>
      </c>
      <c r="C756" t="inlineStr">
        <is>
          <t>Europe</t>
        </is>
      </c>
      <c r="D756" s="12" t="n">
        <v>45931</v>
      </c>
      <c r="E756" s="13" t="n">
        <v>9.1</v>
      </c>
      <c r="F756" s="14" t="n">
        <v>800800</v>
      </c>
      <c r="G756" t="n">
        <v>5</v>
      </c>
      <c r="H756" s="12" t="n">
        <v>46082</v>
      </c>
      <c r="I756" s="12" t="n">
        <v>46082</v>
      </c>
      <c r="J756" t="b">
        <v>0</v>
      </c>
      <c r="K756" s="13" t="n">
        <v>0.03</v>
      </c>
    </row>
    <row r="757">
      <c r="A757" t="inlineStr">
        <is>
          <t>NX-00753</t>
        </is>
      </c>
      <c r="B757" t="inlineStr">
        <is>
          <t>EMEA</t>
        </is>
      </c>
      <c r="C757" t="inlineStr">
        <is>
          <t>MENA</t>
        </is>
      </c>
      <c r="D757" s="12" t="n">
        <v>45931</v>
      </c>
      <c r="E757" s="13" t="n">
        <v>5.1</v>
      </c>
      <c r="F757" s="14" t="n">
        <v>413100</v>
      </c>
      <c r="G757" t="n">
        <v>5</v>
      </c>
      <c r="H757" s="12" t="n">
        <v>46082</v>
      </c>
      <c r="I757" s="12" t="n">
        <v>46082</v>
      </c>
      <c r="J757" t="b">
        <v>0</v>
      </c>
      <c r="K757" s="13" t="n">
        <v>0.18</v>
      </c>
    </row>
    <row r="758">
      <c r="A758" t="inlineStr">
        <is>
          <t>NX-00754</t>
        </is>
      </c>
      <c r="B758" t="inlineStr">
        <is>
          <t>EMEA</t>
        </is>
      </c>
      <c r="C758" t="inlineStr">
        <is>
          <t>MENA</t>
        </is>
      </c>
      <c r="D758" s="12" t="n">
        <v>45931</v>
      </c>
      <c r="E758" s="13" t="n">
        <v>28.6</v>
      </c>
      <c r="F758" s="14" t="n">
        <v>2316600</v>
      </c>
      <c r="G758" t="n">
        <v>5</v>
      </c>
      <c r="H758" s="12" t="n">
        <v>46082</v>
      </c>
      <c r="I758" s="12" t="n"/>
      <c r="J758" t="b">
        <v>1</v>
      </c>
      <c r="K758" s="13" t="n">
        <v>0.33</v>
      </c>
    </row>
    <row r="759">
      <c r="A759" t="inlineStr">
        <is>
          <t>NX-00755</t>
        </is>
      </c>
      <c r="B759" t="inlineStr">
        <is>
          <t>APAC</t>
        </is>
      </c>
      <c r="C759" t="inlineStr">
        <is>
          <t>India</t>
        </is>
      </c>
      <c r="D759" s="12" t="n">
        <v>45931</v>
      </c>
      <c r="E759" s="13" t="n">
        <v>7.8</v>
      </c>
      <c r="F759" s="14" t="n">
        <v>553800</v>
      </c>
      <c r="G759" t="n">
        <v>5</v>
      </c>
      <c r="H759" s="12" t="n">
        <v>46082</v>
      </c>
      <c r="I759" s="12" t="n"/>
      <c r="J759" t="b">
        <v>1</v>
      </c>
      <c r="K759" s="13" t="n">
        <v>0.03</v>
      </c>
    </row>
    <row r="760">
      <c r="A760" t="inlineStr">
        <is>
          <t>NX-00756</t>
        </is>
      </c>
      <c r="B760" t="inlineStr">
        <is>
          <t>APAC</t>
        </is>
      </c>
      <c r="C760" t="inlineStr">
        <is>
          <t>India</t>
        </is>
      </c>
      <c r="D760" s="12" t="n">
        <v>45931</v>
      </c>
      <c r="E760" s="13" t="n">
        <v>9.9</v>
      </c>
      <c r="F760" s="14" t="n">
        <v>702900</v>
      </c>
      <c r="G760" t="n">
        <v>6</v>
      </c>
      <c r="H760" s="12" t="n">
        <v>46113</v>
      </c>
      <c r="I760" s="12" t="n">
        <v>46143</v>
      </c>
      <c r="J760" t="b">
        <v>0</v>
      </c>
      <c r="K760" s="13" t="n">
        <v>1.18</v>
      </c>
    </row>
    <row r="761">
      <c r="A761" t="inlineStr">
        <is>
          <t>NX-00757</t>
        </is>
      </c>
      <c r="B761" t="inlineStr">
        <is>
          <t>APAC</t>
        </is>
      </c>
      <c r="C761" t="inlineStr">
        <is>
          <t>India</t>
        </is>
      </c>
      <c r="D761" s="12" t="n">
        <v>45931</v>
      </c>
      <c r="E761" s="13" t="n">
        <v>6.3</v>
      </c>
      <c r="F761" s="14" t="n">
        <v>447300</v>
      </c>
      <c r="G761" t="n">
        <v>5</v>
      </c>
      <c r="H761" s="12" t="n">
        <v>46082</v>
      </c>
      <c r="I761" s="12" t="n">
        <v>46296</v>
      </c>
      <c r="J761" t="b">
        <v>0</v>
      </c>
      <c r="K761" s="13" t="n">
        <v>7.25</v>
      </c>
    </row>
    <row r="762">
      <c r="A762" t="inlineStr">
        <is>
          <t>NX-00758</t>
        </is>
      </c>
      <c r="B762" t="inlineStr">
        <is>
          <t>APAC</t>
        </is>
      </c>
      <c r="C762" t="inlineStr">
        <is>
          <t>Australia/SEA</t>
        </is>
      </c>
      <c r="D762" s="12" t="n">
        <v>45931</v>
      </c>
      <c r="E762" s="13" t="n">
        <v>9.6</v>
      </c>
      <c r="F762" s="14" t="n">
        <v>806400</v>
      </c>
      <c r="G762" t="n">
        <v>5</v>
      </c>
      <c r="H762" s="12" t="n">
        <v>46082</v>
      </c>
      <c r="I762" s="12" t="n">
        <v>46174</v>
      </c>
      <c r="J762" t="b">
        <v>0</v>
      </c>
      <c r="K762" s="13" t="n">
        <v>2.87</v>
      </c>
    </row>
    <row r="763">
      <c r="A763" t="inlineStr">
        <is>
          <t>NX-00759</t>
        </is>
      </c>
      <c r="B763" t="inlineStr">
        <is>
          <t>LATAM</t>
        </is>
      </c>
      <c r="C763" t="inlineStr">
        <is>
          <t>LATAM</t>
        </is>
      </c>
      <c r="D763" s="12" t="n">
        <v>45931</v>
      </c>
      <c r="E763" s="13" t="n">
        <v>11.2</v>
      </c>
      <c r="F763" s="14" t="n">
        <v>884800</v>
      </c>
      <c r="G763" t="n">
        <v>6</v>
      </c>
      <c r="H763" s="12" t="n">
        <v>46113</v>
      </c>
      <c r="I763" s="12" t="n">
        <v>46113</v>
      </c>
      <c r="J763" t="b">
        <v>0</v>
      </c>
      <c r="K763" s="13" t="n">
        <v>0</v>
      </c>
    </row>
    <row r="764">
      <c r="A764" t="inlineStr">
        <is>
          <t>NX-00760</t>
        </is>
      </c>
      <c r="B764" t="inlineStr">
        <is>
          <t>LATAM</t>
        </is>
      </c>
      <c r="C764" t="inlineStr">
        <is>
          <t>LATAM</t>
        </is>
      </c>
      <c r="D764" s="12" t="n">
        <v>45931</v>
      </c>
      <c r="E764" s="13" t="n">
        <v>48.7</v>
      </c>
      <c r="F764" s="14" t="n">
        <v>3847300</v>
      </c>
      <c r="G764" t="n">
        <v>5</v>
      </c>
      <c r="H764" s="12" t="n">
        <v>46082</v>
      </c>
      <c r="I764" s="12" t="n">
        <v>46478</v>
      </c>
      <c r="J764" t="b">
        <v>0</v>
      </c>
      <c r="K764" s="13" t="n">
        <v>12.83</v>
      </c>
    </row>
    <row r="765">
      <c r="A765" t="inlineStr">
        <is>
          <t>NX-00761</t>
        </is>
      </c>
      <c r="B765" t="inlineStr">
        <is>
          <t>LATAM</t>
        </is>
      </c>
      <c r="C765" t="inlineStr">
        <is>
          <t>LATAM</t>
        </is>
      </c>
      <c r="D765" s="12" t="n">
        <v>45931</v>
      </c>
      <c r="E765" s="13" t="n">
        <v>18.5</v>
      </c>
      <c r="F765" s="14" t="n">
        <v>1461500</v>
      </c>
      <c r="G765" t="n">
        <v>8</v>
      </c>
      <c r="H765" s="12" t="n">
        <v>46174</v>
      </c>
      <c r="I765" s="12" t="n">
        <v>46204</v>
      </c>
      <c r="J765" t="b">
        <v>0</v>
      </c>
      <c r="K765" s="13" t="n">
        <v>1.04</v>
      </c>
    </row>
    <row r="766">
      <c r="A766" t="inlineStr">
        <is>
          <t>NX-00762</t>
        </is>
      </c>
      <c r="B766" t="inlineStr">
        <is>
          <t>North America</t>
        </is>
      </c>
      <c r="C766" t="inlineStr">
        <is>
          <t>US / Canada</t>
        </is>
      </c>
      <c r="D766" s="12" t="n">
        <v>45962</v>
      </c>
      <c r="E766" s="13" t="n">
        <v>15.1</v>
      </c>
      <c r="F766" s="14" t="n">
        <v>1253300</v>
      </c>
      <c r="G766" t="n">
        <v>13</v>
      </c>
      <c r="H766" s="12" t="n">
        <v>46357</v>
      </c>
      <c r="I766" s="12" t="n">
        <v>46357</v>
      </c>
      <c r="J766" t="b">
        <v>0</v>
      </c>
      <c r="K766" s="13" t="n">
        <v>0</v>
      </c>
    </row>
    <row r="767">
      <c r="A767" t="inlineStr">
        <is>
          <t>NX-00763</t>
        </is>
      </c>
      <c r="B767" t="inlineStr">
        <is>
          <t>North America</t>
        </is>
      </c>
      <c r="C767" t="inlineStr">
        <is>
          <t>US / Canada</t>
        </is>
      </c>
      <c r="D767" s="12" t="n">
        <v>45962</v>
      </c>
      <c r="E767" s="13" t="n">
        <v>1.8</v>
      </c>
      <c r="F767" s="14" t="n">
        <v>149400</v>
      </c>
      <c r="G767" t="n">
        <v>8</v>
      </c>
      <c r="H767" s="12" t="n">
        <v>46204</v>
      </c>
      <c r="I767" s="12" t="n">
        <v>46204</v>
      </c>
      <c r="J767" t="b">
        <v>0</v>
      </c>
      <c r="K767" s="13" t="n">
        <v>0.04</v>
      </c>
    </row>
    <row r="768">
      <c r="A768" t="inlineStr">
        <is>
          <t>NX-00764</t>
        </is>
      </c>
      <c r="B768" t="inlineStr">
        <is>
          <t>North America</t>
        </is>
      </c>
      <c r="C768" t="inlineStr">
        <is>
          <t>US / Canada</t>
        </is>
      </c>
      <c r="D768" s="12" t="n">
        <v>45962</v>
      </c>
      <c r="E768" s="13" t="n">
        <v>4.4</v>
      </c>
      <c r="F768" s="14" t="n">
        <v>365200.0000000001</v>
      </c>
      <c r="G768" t="n">
        <v>7</v>
      </c>
      <c r="H768" s="12" t="n">
        <v>46174</v>
      </c>
      <c r="I768" s="12" t="n">
        <v>46174</v>
      </c>
      <c r="J768" t="b">
        <v>0</v>
      </c>
      <c r="K768" s="13" t="n">
        <v>0.22</v>
      </c>
    </row>
    <row r="769">
      <c r="A769" t="inlineStr">
        <is>
          <t>NX-00765</t>
        </is>
      </c>
      <c r="B769" t="inlineStr">
        <is>
          <t>North America</t>
        </is>
      </c>
      <c r="C769" t="inlineStr">
        <is>
          <t>US / Canada</t>
        </is>
      </c>
      <c r="D769" s="12" t="n">
        <v>45962</v>
      </c>
      <c r="E769" s="13" t="n">
        <v>12.6</v>
      </c>
      <c r="F769" s="14" t="n">
        <v>1045800</v>
      </c>
      <c r="G769" t="n">
        <v>13</v>
      </c>
      <c r="H769" s="12" t="n">
        <v>46357</v>
      </c>
      <c r="I769" s="12" t="n">
        <v>46357</v>
      </c>
      <c r="J769" t="b">
        <v>0</v>
      </c>
      <c r="K769" s="13" t="n">
        <v>0.14</v>
      </c>
    </row>
    <row r="770">
      <c r="A770" t="inlineStr">
        <is>
          <t>NX-00766</t>
        </is>
      </c>
      <c r="B770" t="inlineStr">
        <is>
          <t>North America</t>
        </is>
      </c>
      <c r="C770" t="inlineStr">
        <is>
          <t>US / Canada</t>
        </is>
      </c>
      <c r="D770" s="12" t="n">
        <v>45962</v>
      </c>
      <c r="E770" s="13" t="n">
        <v>10.2</v>
      </c>
      <c r="F770" s="14" t="n">
        <v>846599.9999999999</v>
      </c>
      <c r="G770" t="n">
        <v>7</v>
      </c>
      <c r="H770" s="12" t="n">
        <v>46174</v>
      </c>
      <c r="I770" s="12" t="n">
        <v>46204</v>
      </c>
      <c r="J770" t="b">
        <v>0</v>
      </c>
      <c r="K770" s="13" t="n">
        <v>0.6</v>
      </c>
    </row>
    <row r="771">
      <c r="A771" t="inlineStr">
        <is>
          <t>NX-00767</t>
        </is>
      </c>
      <c r="B771" t="inlineStr">
        <is>
          <t>North America</t>
        </is>
      </c>
      <c r="C771" t="inlineStr">
        <is>
          <t>US / Canada</t>
        </is>
      </c>
      <c r="D771" s="12" t="n">
        <v>45962</v>
      </c>
      <c r="E771" s="13" t="n">
        <v>47.1</v>
      </c>
      <c r="F771" s="14" t="n">
        <v>3909300</v>
      </c>
      <c r="G771" t="n">
        <v>5</v>
      </c>
      <c r="H771" s="12" t="n">
        <v>46113</v>
      </c>
      <c r="I771" s="12" t="n">
        <v>46174</v>
      </c>
      <c r="J771" t="b">
        <v>0</v>
      </c>
      <c r="K771" s="13" t="n">
        <v>2.19</v>
      </c>
    </row>
    <row r="772">
      <c r="A772" t="inlineStr">
        <is>
          <t>NX-00768</t>
        </is>
      </c>
      <c r="B772" t="inlineStr">
        <is>
          <t>North America</t>
        </is>
      </c>
      <c r="C772" t="inlineStr">
        <is>
          <t>US / Canada</t>
        </is>
      </c>
      <c r="D772" s="12" t="n">
        <v>45962</v>
      </c>
      <c r="E772" s="13" t="n">
        <v>4.8</v>
      </c>
      <c r="F772" s="14" t="n">
        <v>398400</v>
      </c>
      <c r="G772" t="n">
        <v>18</v>
      </c>
      <c r="H772" s="12" t="n">
        <v>46508</v>
      </c>
      <c r="I772" s="12" t="n">
        <v>46600</v>
      </c>
      <c r="J772" t="b">
        <v>0</v>
      </c>
      <c r="K772" s="13" t="n">
        <v>3.07</v>
      </c>
    </row>
    <row r="773">
      <c r="A773" t="inlineStr">
        <is>
          <t>NX-00769</t>
        </is>
      </c>
      <c r="B773" t="inlineStr">
        <is>
          <t>North America</t>
        </is>
      </c>
      <c r="C773" t="inlineStr">
        <is>
          <t>US / Canada</t>
        </is>
      </c>
      <c r="D773" s="12" t="n">
        <v>45962</v>
      </c>
      <c r="E773" s="13" t="n">
        <v>51.5</v>
      </c>
      <c r="F773" s="14" t="n">
        <v>4274500</v>
      </c>
      <c r="G773" t="n">
        <v>10</v>
      </c>
      <c r="H773" s="12" t="n">
        <v>46266</v>
      </c>
      <c r="I773" s="12" t="n">
        <v>46296</v>
      </c>
      <c r="J773" t="b">
        <v>0</v>
      </c>
      <c r="K773" s="13" t="n">
        <v>1.22</v>
      </c>
    </row>
    <row r="774">
      <c r="A774" t="inlineStr">
        <is>
          <t>NX-00770</t>
        </is>
      </c>
      <c r="B774" t="inlineStr">
        <is>
          <t>North America</t>
        </is>
      </c>
      <c r="C774" t="inlineStr">
        <is>
          <t>US / Canada</t>
        </is>
      </c>
      <c r="D774" s="12" t="n">
        <v>45962</v>
      </c>
      <c r="E774" s="13" t="n">
        <v>213</v>
      </c>
      <c r="F774" s="14" t="n">
        <v>17679000</v>
      </c>
      <c r="G774" t="n">
        <v>8</v>
      </c>
      <c r="H774" s="12" t="n">
        <v>46204</v>
      </c>
      <c r="I774" s="12" t="n">
        <v>46204</v>
      </c>
      <c r="J774" t="b">
        <v>0</v>
      </c>
      <c r="K774" s="13" t="n">
        <v>0</v>
      </c>
    </row>
    <row r="775">
      <c r="A775" t="inlineStr">
        <is>
          <t>NX-00771</t>
        </is>
      </c>
      <c r="B775" t="inlineStr">
        <is>
          <t>North America</t>
        </is>
      </c>
      <c r="C775" t="inlineStr">
        <is>
          <t>US / Canada</t>
        </is>
      </c>
      <c r="D775" s="12" t="n">
        <v>45962</v>
      </c>
      <c r="E775" s="13" t="n">
        <v>22.6</v>
      </c>
      <c r="F775" s="14" t="n">
        <v>1875800</v>
      </c>
      <c r="G775" t="n">
        <v>15</v>
      </c>
      <c r="H775" s="12" t="n">
        <v>46419</v>
      </c>
      <c r="I775" s="12" t="n">
        <v>46447</v>
      </c>
      <c r="J775" t="b">
        <v>0</v>
      </c>
      <c r="K775" s="13" t="n">
        <v>0.62</v>
      </c>
    </row>
    <row r="776">
      <c r="A776" t="inlineStr">
        <is>
          <t>NX-00772</t>
        </is>
      </c>
      <c r="B776" t="inlineStr">
        <is>
          <t>North America</t>
        </is>
      </c>
      <c r="C776" t="inlineStr">
        <is>
          <t>US / Canada</t>
        </is>
      </c>
      <c r="D776" s="12" t="n">
        <v>45962</v>
      </c>
      <c r="E776" s="13" t="n">
        <v>1.9</v>
      </c>
      <c r="F776" s="14" t="n">
        <v>157700</v>
      </c>
      <c r="G776" t="n">
        <v>16</v>
      </c>
      <c r="H776" s="12" t="n">
        <v>46447</v>
      </c>
      <c r="I776" s="12" t="n">
        <v>46447</v>
      </c>
      <c r="J776" t="b">
        <v>0</v>
      </c>
      <c r="K776" s="13" t="n">
        <v>0.17</v>
      </c>
    </row>
    <row r="777">
      <c r="A777" t="inlineStr">
        <is>
          <t>NX-00773</t>
        </is>
      </c>
      <c r="B777" t="inlineStr">
        <is>
          <t>North America</t>
        </is>
      </c>
      <c r="C777" t="inlineStr">
        <is>
          <t>US / Canada</t>
        </is>
      </c>
      <c r="D777" s="12" t="n">
        <v>45962</v>
      </c>
      <c r="E777" s="13" t="n">
        <v>11.4</v>
      </c>
      <c r="F777" s="14" t="n">
        <v>946200</v>
      </c>
      <c r="G777" t="n">
        <v>12</v>
      </c>
      <c r="H777" s="12" t="n">
        <v>46327</v>
      </c>
      <c r="I777" s="12" t="n">
        <v>46327</v>
      </c>
      <c r="J777" t="b">
        <v>0</v>
      </c>
      <c r="K777" s="13" t="n">
        <v>0.02</v>
      </c>
    </row>
    <row r="778">
      <c r="A778" t="inlineStr">
        <is>
          <t>NX-00774</t>
        </is>
      </c>
      <c r="B778" t="inlineStr">
        <is>
          <t>North America</t>
        </is>
      </c>
      <c r="C778" t="inlineStr">
        <is>
          <t>US / Canada</t>
        </is>
      </c>
      <c r="D778" s="12" t="n">
        <v>45962</v>
      </c>
      <c r="E778" s="13" t="n">
        <v>3.9</v>
      </c>
      <c r="F778" s="14" t="n">
        <v>323700</v>
      </c>
      <c r="G778" t="n">
        <v>10</v>
      </c>
      <c r="H778" s="12" t="n">
        <v>46266</v>
      </c>
      <c r="I778" s="12" t="n">
        <v>46296</v>
      </c>
      <c r="J778" t="b">
        <v>0</v>
      </c>
      <c r="K778" s="13" t="n">
        <v>0.78</v>
      </c>
    </row>
    <row r="779">
      <c r="A779" t="inlineStr">
        <is>
          <t>NX-00775</t>
        </is>
      </c>
      <c r="B779" t="inlineStr">
        <is>
          <t>North America</t>
        </is>
      </c>
      <c r="C779" t="inlineStr">
        <is>
          <t>US / Canada</t>
        </is>
      </c>
      <c r="D779" s="12" t="n">
        <v>45962</v>
      </c>
      <c r="E779" s="13" t="n">
        <v>10.2</v>
      </c>
      <c r="F779" s="14" t="n">
        <v>846599.9999999999</v>
      </c>
      <c r="G779" t="n">
        <v>9</v>
      </c>
      <c r="H779" s="12" t="n">
        <v>46235</v>
      </c>
      <c r="I779" s="12" t="n">
        <v>46266</v>
      </c>
      <c r="J779" t="b">
        <v>0</v>
      </c>
      <c r="K779" s="13" t="n">
        <v>0.92</v>
      </c>
    </row>
    <row r="780">
      <c r="A780" t="inlineStr">
        <is>
          <t>NX-00776</t>
        </is>
      </c>
      <c r="B780" t="inlineStr">
        <is>
          <t>North America</t>
        </is>
      </c>
      <c r="C780" t="inlineStr">
        <is>
          <t>US / Canada</t>
        </is>
      </c>
      <c r="D780" s="12" t="n">
        <v>45962</v>
      </c>
      <c r="E780" s="13" t="n">
        <v>7.8</v>
      </c>
      <c r="F780" s="14" t="n">
        <v>647400</v>
      </c>
      <c r="G780" t="n">
        <v>5</v>
      </c>
      <c r="H780" s="12" t="n">
        <v>46113</v>
      </c>
      <c r="I780" s="12" t="n">
        <v>46143</v>
      </c>
      <c r="J780" t="b">
        <v>0</v>
      </c>
      <c r="K780" s="13" t="n">
        <v>0.63</v>
      </c>
    </row>
    <row r="781">
      <c r="A781" t="inlineStr">
        <is>
          <t>NX-00777</t>
        </is>
      </c>
      <c r="B781" t="inlineStr">
        <is>
          <t>North America</t>
        </is>
      </c>
      <c r="C781" t="inlineStr">
        <is>
          <t>US / Canada</t>
        </is>
      </c>
      <c r="D781" s="12" t="n">
        <v>45962</v>
      </c>
      <c r="E781" s="13" t="n">
        <v>7.5</v>
      </c>
      <c r="F781" s="14" t="n">
        <v>622500</v>
      </c>
      <c r="G781" t="n">
        <v>6</v>
      </c>
      <c r="H781" s="12" t="n">
        <v>46143</v>
      </c>
      <c r="I781" s="12" t="n">
        <v>46235</v>
      </c>
      <c r="J781" t="b">
        <v>0</v>
      </c>
      <c r="K781" s="13" t="n">
        <v>3.3</v>
      </c>
    </row>
    <row r="782">
      <c r="A782" t="inlineStr">
        <is>
          <t>NX-00778</t>
        </is>
      </c>
      <c r="B782" t="inlineStr">
        <is>
          <t>North America</t>
        </is>
      </c>
      <c r="C782" t="inlineStr">
        <is>
          <t>US / Canada</t>
        </is>
      </c>
      <c r="D782" s="12" t="n">
        <v>45962</v>
      </c>
      <c r="E782" s="13" t="n">
        <v>6.7</v>
      </c>
      <c r="F782" s="14" t="n">
        <v>556100</v>
      </c>
      <c r="G782" t="n">
        <v>7</v>
      </c>
      <c r="H782" s="12" t="n">
        <v>46174</v>
      </c>
      <c r="I782" s="12" t="n">
        <v>46204</v>
      </c>
      <c r="J782" t="b">
        <v>0</v>
      </c>
      <c r="K782" s="13" t="n">
        <v>0.51</v>
      </c>
    </row>
    <row r="783">
      <c r="A783" t="inlineStr">
        <is>
          <t>NX-00779</t>
        </is>
      </c>
      <c r="B783" t="inlineStr">
        <is>
          <t>North America</t>
        </is>
      </c>
      <c r="C783" t="inlineStr">
        <is>
          <t>US / Canada</t>
        </is>
      </c>
      <c r="D783" s="12" t="n">
        <v>45962</v>
      </c>
      <c r="E783" s="13" t="n">
        <v>15.9</v>
      </c>
      <c r="F783" s="14" t="n">
        <v>1319700</v>
      </c>
      <c r="G783" t="n">
        <v>7</v>
      </c>
      <c r="H783" s="12" t="n">
        <v>46174</v>
      </c>
      <c r="I783" s="12" t="n">
        <v>46174</v>
      </c>
      <c r="J783" t="b">
        <v>0</v>
      </c>
      <c r="K783" s="13" t="n">
        <v>0.06</v>
      </c>
    </row>
    <row r="784">
      <c r="A784" t="inlineStr">
        <is>
          <t>NX-00780</t>
        </is>
      </c>
      <c r="B784" t="inlineStr">
        <is>
          <t>North America</t>
        </is>
      </c>
      <c r="C784" t="inlineStr">
        <is>
          <t>US / Canada</t>
        </is>
      </c>
      <c r="D784" s="12" t="n">
        <v>45962</v>
      </c>
      <c r="E784" s="13" t="n">
        <v>3.1</v>
      </c>
      <c r="F784" s="14" t="n">
        <v>257300</v>
      </c>
      <c r="G784" t="n">
        <v>5</v>
      </c>
      <c r="H784" s="12" t="n">
        <v>46113</v>
      </c>
      <c r="I784" s="12" t="n">
        <v>46143</v>
      </c>
      <c r="J784" t="b">
        <v>0</v>
      </c>
      <c r="K784" s="13" t="n">
        <v>1.4</v>
      </c>
    </row>
    <row r="785">
      <c r="A785" t="inlineStr">
        <is>
          <t>NX-00781</t>
        </is>
      </c>
      <c r="B785" t="inlineStr">
        <is>
          <t>North America</t>
        </is>
      </c>
      <c r="C785" t="inlineStr">
        <is>
          <t>US / Canada</t>
        </is>
      </c>
      <c r="D785" s="12" t="n">
        <v>45962</v>
      </c>
      <c r="E785" s="13" t="n">
        <v>103.6</v>
      </c>
      <c r="F785" s="14" t="n">
        <v>8598800</v>
      </c>
      <c r="G785" t="n">
        <v>5</v>
      </c>
      <c r="H785" s="12" t="n">
        <v>46113</v>
      </c>
      <c r="I785" s="12" t="n">
        <v>46113</v>
      </c>
      <c r="J785" t="b">
        <v>0</v>
      </c>
      <c r="K785" s="13" t="n">
        <v>0</v>
      </c>
    </row>
    <row r="786">
      <c r="A786" t="inlineStr">
        <is>
          <t>NX-00782</t>
        </is>
      </c>
      <c r="B786" t="inlineStr">
        <is>
          <t>North America</t>
        </is>
      </c>
      <c r="C786" t="inlineStr">
        <is>
          <t>US / Canada</t>
        </is>
      </c>
      <c r="D786" s="12" t="n">
        <v>45962</v>
      </c>
      <c r="E786" s="13" t="n">
        <v>14.4</v>
      </c>
      <c r="F786" s="14" t="n">
        <v>1195200</v>
      </c>
      <c r="G786" t="n">
        <v>12</v>
      </c>
      <c r="H786" s="12" t="n">
        <v>46327</v>
      </c>
      <c r="I786" s="12" t="n">
        <v>46478</v>
      </c>
      <c r="J786" t="b">
        <v>0</v>
      </c>
      <c r="K786" s="13" t="n">
        <v>5.38</v>
      </c>
    </row>
    <row r="787">
      <c r="A787" t="inlineStr">
        <is>
          <t>NX-00783</t>
        </is>
      </c>
      <c r="B787" t="inlineStr">
        <is>
          <t>North America</t>
        </is>
      </c>
      <c r="C787" t="inlineStr">
        <is>
          <t>US / Canada</t>
        </is>
      </c>
      <c r="D787" s="12" t="n">
        <v>45962</v>
      </c>
      <c r="E787" s="13" t="n">
        <v>3.8</v>
      </c>
      <c r="F787" s="14" t="n">
        <v>315400</v>
      </c>
      <c r="G787" t="n">
        <v>6</v>
      </c>
      <c r="H787" s="12" t="n">
        <v>46143</v>
      </c>
      <c r="I787" s="12" t="n">
        <v>46143</v>
      </c>
      <c r="J787" t="b">
        <v>0</v>
      </c>
      <c r="K787" s="13" t="n">
        <v>0.02</v>
      </c>
    </row>
    <row r="788">
      <c r="A788" t="inlineStr">
        <is>
          <t>NX-00784</t>
        </is>
      </c>
      <c r="B788" t="inlineStr">
        <is>
          <t>North America</t>
        </is>
      </c>
      <c r="C788" t="inlineStr">
        <is>
          <t>US / Canada</t>
        </is>
      </c>
      <c r="D788" s="12" t="n">
        <v>45962</v>
      </c>
      <c r="E788" s="13" t="n">
        <v>21.3</v>
      </c>
      <c r="F788" s="14" t="n">
        <v>1767900</v>
      </c>
      <c r="G788" t="n">
        <v>6</v>
      </c>
      <c r="H788" s="12" t="n">
        <v>46143</v>
      </c>
      <c r="I788" s="12" t="n">
        <v>46143</v>
      </c>
      <c r="J788" t="b">
        <v>0</v>
      </c>
      <c r="K788" s="13" t="n">
        <v>0.17</v>
      </c>
    </row>
    <row r="789">
      <c r="A789" t="inlineStr">
        <is>
          <t>NX-00785</t>
        </is>
      </c>
      <c r="B789" t="inlineStr">
        <is>
          <t>North America</t>
        </is>
      </c>
      <c r="C789" t="inlineStr">
        <is>
          <t>US / Canada</t>
        </is>
      </c>
      <c r="D789" s="12" t="n">
        <v>45962</v>
      </c>
      <c r="E789" s="13" t="n">
        <v>11.4</v>
      </c>
      <c r="F789" s="14" t="n">
        <v>946200</v>
      </c>
      <c r="G789" t="n">
        <v>8</v>
      </c>
      <c r="H789" s="12" t="n">
        <v>46204</v>
      </c>
      <c r="I789" s="12" t="n">
        <v>46204</v>
      </c>
      <c r="J789" t="b">
        <v>0</v>
      </c>
      <c r="K789" s="13" t="n">
        <v>0.02</v>
      </c>
    </row>
    <row r="790">
      <c r="A790" t="inlineStr">
        <is>
          <t>NX-00786</t>
        </is>
      </c>
      <c r="B790" t="inlineStr">
        <is>
          <t>North America</t>
        </is>
      </c>
      <c r="C790" t="inlineStr">
        <is>
          <t>US / Canada</t>
        </is>
      </c>
      <c r="D790" s="12" t="n">
        <v>45962</v>
      </c>
      <c r="E790" s="13" t="n">
        <v>29.2</v>
      </c>
      <c r="F790" s="14" t="n">
        <v>2423600</v>
      </c>
      <c r="G790" t="n">
        <v>8</v>
      </c>
      <c r="H790" s="12" t="n">
        <v>46204</v>
      </c>
      <c r="I790" s="12" t="n">
        <v>46204</v>
      </c>
      <c r="J790" t="b">
        <v>0</v>
      </c>
      <c r="K790" s="13" t="n">
        <v>0.17</v>
      </c>
    </row>
    <row r="791">
      <c r="A791" t="inlineStr">
        <is>
          <t>NX-00787</t>
        </is>
      </c>
      <c r="B791" t="inlineStr">
        <is>
          <t>North America</t>
        </is>
      </c>
      <c r="C791" t="inlineStr">
        <is>
          <t>US / Canada</t>
        </is>
      </c>
      <c r="D791" s="12" t="n">
        <v>45962</v>
      </c>
      <c r="E791" s="13" t="n">
        <v>9.6</v>
      </c>
      <c r="F791" s="14" t="n">
        <v>796800</v>
      </c>
      <c r="G791" t="n">
        <v>8</v>
      </c>
      <c r="H791" s="12" t="n">
        <v>46204</v>
      </c>
      <c r="I791" s="12" t="n">
        <v>46204</v>
      </c>
      <c r="J791" t="b">
        <v>0</v>
      </c>
      <c r="K791" s="13" t="n">
        <v>0.1</v>
      </c>
    </row>
    <row r="792">
      <c r="A792" t="inlineStr">
        <is>
          <t>NX-00788</t>
        </is>
      </c>
      <c r="B792" t="inlineStr">
        <is>
          <t>North America</t>
        </is>
      </c>
      <c r="C792" t="inlineStr">
        <is>
          <t>US / Canada</t>
        </is>
      </c>
      <c r="D792" s="12" t="n">
        <v>45962</v>
      </c>
      <c r="E792" s="13" t="n">
        <v>4.9</v>
      </c>
      <c r="F792" s="14" t="n">
        <v>406700.0000000001</v>
      </c>
      <c r="G792" t="n">
        <v>5</v>
      </c>
      <c r="H792" s="12" t="n">
        <v>46113</v>
      </c>
      <c r="I792" s="12" t="n">
        <v>46113</v>
      </c>
      <c r="J792" t="b">
        <v>0</v>
      </c>
      <c r="K792" s="13" t="n">
        <v>0.01</v>
      </c>
    </row>
    <row r="793">
      <c r="A793" t="inlineStr">
        <is>
          <t>NX-00789</t>
        </is>
      </c>
      <c r="B793" t="inlineStr">
        <is>
          <t>North America</t>
        </is>
      </c>
      <c r="C793" t="inlineStr">
        <is>
          <t>US / Canada</t>
        </is>
      </c>
      <c r="D793" s="12" t="n">
        <v>45962</v>
      </c>
      <c r="E793" s="13" t="n">
        <v>27</v>
      </c>
      <c r="F793" s="14" t="n">
        <v>2241000</v>
      </c>
      <c r="G793" t="n">
        <v>5</v>
      </c>
      <c r="H793" s="12" t="n">
        <v>46113</v>
      </c>
      <c r="I793" s="12" t="n">
        <v>46113</v>
      </c>
      <c r="J793" t="b">
        <v>0</v>
      </c>
      <c r="K793" s="13" t="n">
        <v>0.26</v>
      </c>
    </row>
    <row r="794">
      <c r="A794" t="inlineStr">
        <is>
          <t>NX-00790</t>
        </is>
      </c>
      <c r="B794" t="inlineStr">
        <is>
          <t>North America</t>
        </is>
      </c>
      <c r="C794" t="inlineStr">
        <is>
          <t>US / Canada</t>
        </is>
      </c>
      <c r="D794" s="12" t="n">
        <v>45962</v>
      </c>
      <c r="E794" s="13" t="n">
        <v>6.2</v>
      </c>
      <c r="F794" s="14" t="n">
        <v>514600</v>
      </c>
      <c r="G794" t="n">
        <v>5</v>
      </c>
      <c r="H794" s="12" t="n">
        <v>46113</v>
      </c>
      <c r="I794" s="12" t="n">
        <v>46357</v>
      </c>
      <c r="J794" t="b">
        <v>0</v>
      </c>
      <c r="K794" s="13" t="n">
        <v>8.09</v>
      </c>
    </row>
    <row r="795">
      <c r="A795" t="inlineStr">
        <is>
          <t>NX-00791</t>
        </is>
      </c>
      <c r="B795" t="inlineStr">
        <is>
          <t>North America</t>
        </is>
      </c>
      <c r="C795" t="inlineStr">
        <is>
          <t>US / Canada</t>
        </is>
      </c>
      <c r="D795" s="12" t="n">
        <v>45962</v>
      </c>
      <c r="E795" s="13" t="n">
        <v>6.4</v>
      </c>
      <c r="F795" s="14" t="n">
        <v>531200</v>
      </c>
      <c r="G795" t="n">
        <v>5</v>
      </c>
      <c r="H795" s="12" t="n">
        <v>46113</v>
      </c>
      <c r="I795" s="12" t="n">
        <v>46113</v>
      </c>
      <c r="J795" t="b">
        <v>0</v>
      </c>
      <c r="K795" s="13" t="n">
        <v>0.04</v>
      </c>
    </row>
    <row r="796">
      <c r="A796" t="inlineStr">
        <is>
          <t>NX-00792</t>
        </is>
      </c>
      <c r="B796" t="inlineStr">
        <is>
          <t>North America</t>
        </is>
      </c>
      <c r="C796" t="inlineStr">
        <is>
          <t>US / Canada</t>
        </is>
      </c>
      <c r="D796" s="12" t="n">
        <v>45962</v>
      </c>
      <c r="E796" s="13" t="n">
        <v>14.3</v>
      </c>
      <c r="F796" s="14" t="n">
        <v>1186900</v>
      </c>
      <c r="G796" t="n">
        <v>9</v>
      </c>
      <c r="H796" s="12" t="n">
        <v>46235</v>
      </c>
      <c r="I796" s="12" t="n">
        <v>46235</v>
      </c>
      <c r="J796" t="b">
        <v>0</v>
      </c>
      <c r="K796" s="13" t="n">
        <v>0.3</v>
      </c>
    </row>
    <row r="797">
      <c r="A797" t="inlineStr">
        <is>
          <t>NX-00793</t>
        </is>
      </c>
      <c r="B797" t="inlineStr">
        <is>
          <t>North America</t>
        </is>
      </c>
      <c r="C797" t="inlineStr">
        <is>
          <t>US / Canada</t>
        </is>
      </c>
      <c r="D797" s="12" t="n">
        <v>45962</v>
      </c>
      <c r="E797" s="13" t="n">
        <v>6.1</v>
      </c>
      <c r="F797" s="14" t="n">
        <v>506300</v>
      </c>
      <c r="G797" t="n">
        <v>15</v>
      </c>
      <c r="H797" s="12" t="n">
        <v>46419</v>
      </c>
      <c r="I797" s="12" t="n">
        <v>46419</v>
      </c>
      <c r="J797" t="b">
        <v>0</v>
      </c>
      <c r="K797" s="13" t="n">
        <v>0.03</v>
      </c>
    </row>
    <row r="798">
      <c r="A798" t="inlineStr">
        <is>
          <t>NX-00794</t>
        </is>
      </c>
      <c r="B798" t="inlineStr">
        <is>
          <t>North America</t>
        </is>
      </c>
      <c r="C798" t="inlineStr">
        <is>
          <t>US / Canada</t>
        </is>
      </c>
      <c r="D798" s="12" t="n">
        <v>45962</v>
      </c>
      <c r="E798" s="13" t="n">
        <v>20.2</v>
      </c>
      <c r="F798" s="14" t="n">
        <v>1676600</v>
      </c>
      <c r="G798" t="n">
        <v>9</v>
      </c>
      <c r="H798" s="12" t="n">
        <v>46235</v>
      </c>
      <c r="I798" s="12" t="n">
        <v>46235</v>
      </c>
      <c r="J798" t="b">
        <v>0</v>
      </c>
      <c r="K798" s="13" t="n">
        <v>0.01</v>
      </c>
    </row>
    <row r="799">
      <c r="A799" t="inlineStr">
        <is>
          <t>NX-00795</t>
        </is>
      </c>
      <c r="B799" t="inlineStr">
        <is>
          <t>North America</t>
        </is>
      </c>
      <c r="C799" t="inlineStr">
        <is>
          <t>US / Canada</t>
        </is>
      </c>
      <c r="D799" s="12" t="n">
        <v>45962</v>
      </c>
      <c r="E799" s="13" t="n">
        <v>27.7</v>
      </c>
      <c r="F799" s="14" t="n">
        <v>2299100</v>
      </c>
      <c r="G799" t="n">
        <v>14</v>
      </c>
      <c r="H799" s="12" t="n">
        <v>46388</v>
      </c>
      <c r="I799" s="12" t="n"/>
      <c r="J799" t="b">
        <v>1</v>
      </c>
      <c r="K799" s="13" t="n">
        <v>0.37</v>
      </c>
    </row>
    <row r="800">
      <c r="A800" t="inlineStr">
        <is>
          <t>NX-00796</t>
        </is>
      </c>
      <c r="B800" t="inlineStr">
        <is>
          <t>North America</t>
        </is>
      </c>
      <c r="C800" t="inlineStr">
        <is>
          <t>US / Canada</t>
        </is>
      </c>
      <c r="D800" s="12" t="n">
        <v>45962</v>
      </c>
      <c r="E800" s="13" t="n">
        <v>4.4</v>
      </c>
      <c r="F800" s="14" t="n">
        <v>365200.0000000001</v>
      </c>
      <c r="G800" t="n">
        <v>15</v>
      </c>
      <c r="H800" s="12" t="n">
        <v>46419</v>
      </c>
      <c r="I800" s="12" t="n">
        <v>46419</v>
      </c>
      <c r="J800" t="b">
        <v>0</v>
      </c>
      <c r="K800" s="13" t="n">
        <v>0.01</v>
      </c>
    </row>
    <row r="801">
      <c r="A801" t="inlineStr">
        <is>
          <t>NX-00797</t>
        </is>
      </c>
      <c r="B801" t="inlineStr">
        <is>
          <t>North America</t>
        </is>
      </c>
      <c r="C801" t="inlineStr">
        <is>
          <t>US / Canada</t>
        </is>
      </c>
      <c r="D801" s="12" t="n">
        <v>45962</v>
      </c>
      <c r="E801" s="13" t="n">
        <v>18.3</v>
      </c>
      <c r="F801" s="14" t="n">
        <v>1518900</v>
      </c>
      <c r="G801" t="n">
        <v>5</v>
      </c>
      <c r="H801" s="12" t="n">
        <v>46113</v>
      </c>
      <c r="I801" s="12" t="n">
        <v>46143</v>
      </c>
      <c r="J801" t="b">
        <v>0</v>
      </c>
      <c r="K801" s="13" t="n">
        <v>0.59</v>
      </c>
    </row>
    <row r="802">
      <c r="A802" t="inlineStr">
        <is>
          <t>NX-00798</t>
        </is>
      </c>
      <c r="B802" t="inlineStr">
        <is>
          <t>EMEA</t>
        </is>
      </c>
      <c r="C802" t="inlineStr">
        <is>
          <t>Europe</t>
        </is>
      </c>
      <c r="D802" s="12" t="n">
        <v>45962</v>
      </c>
      <c r="E802" s="13" t="n">
        <v>23.3</v>
      </c>
      <c r="F802" s="14" t="n">
        <v>2050400</v>
      </c>
      <c r="G802" t="n">
        <v>7</v>
      </c>
      <c r="H802" s="12" t="n">
        <v>46174</v>
      </c>
      <c r="I802" s="12" t="n">
        <v>46235</v>
      </c>
      <c r="J802" t="b">
        <v>0</v>
      </c>
      <c r="K802" s="13" t="n">
        <v>2.11</v>
      </c>
    </row>
    <row r="803">
      <c r="A803" t="inlineStr">
        <is>
          <t>NX-00799</t>
        </is>
      </c>
      <c r="B803" t="inlineStr">
        <is>
          <t>EMEA</t>
        </is>
      </c>
      <c r="C803" t="inlineStr">
        <is>
          <t>Europe</t>
        </is>
      </c>
      <c r="D803" s="12" t="n">
        <v>45962</v>
      </c>
      <c r="E803" s="13" t="n">
        <v>57.2</v>
      </c>
      <c r="F803" s="14" t="n">
        <v>5033600</v>
      </c>
      <c r="G803" t="n">
        <v>5</v>
      </c>
      <c r="H803" s="12" t="n">
        <v>46113</v>
      </c>
      <c r="I803" s="12" t="n">
        <v>46143</v>
      </c>
      <c r="J803" t="b">
        <v>0</v>
      </c>
      <c r="K803" s="13" t="n">
        <v>0.6899999999999999</v>
      </c>
    </row>
    <row r="804">
      <c r="A804" t="inlineStr">
        <is>
          <t>NX-00800</t>
        </is>
      </c>
      <c r="B804" t="inlineStr">
        <is>
          <t>EMEA</t>
        </is>
      </c>
      <c r="C804" t="inlineStr">
        <is>
          <t>Europe</t>
        </is>
      </c>
      <c r="D804" s="12" t="n">
        <v>45962</v>
      </c>
      <c r="E804" s="13" t="n">
        <v>10.7</v>
      </c>
      <c r="F804" s="14" t="n">
        <v>941600</v>
      </c>
      <c r="G804" t="n">
        <v>10</v>
      </c>
      <c r="H804" s="12" t="n">
        <v>46266</v>
      </c>
      <c r="I804" s="12" t="n">
        <v>46357</v>
      </c>
      <c r="J804" t="b">
        <v>0</v>
      </c>
      <c r="K804" s="13" t="n">
        <v>3.36</v>
      </c>
    </row>
    <row r="805">
      <c r="A805" t="inlineStr">
        <is>
          <t>NX-00801</t>
        </is>
      </c>
      <c r="B805" t="inlineStr">
        <is>
          <t>EMEA</t>
        </is>
      </c>
      <c r="C805" t="inlineStr">
        <is>
          <t>Europe</t>
        </is>
      </c>
      <c r="D805" s="12" t="n">
        <v>45962</v>
      </c>
      <c r="E805" s="13" t="n">
        <v>11.8</v>
      </c>
      <c r="F805" s="14" t="n">
        <v>1038400</v>
      </c>
      <c r="G805" t="n">
        <v>12</v>
      </c>
      <c r="H805" s="12" t="n">
        <v>46327</v>
      </c>
      <c r="I805" s="12" t="n">
        <v>46357</v>
      </c>
      <c r="J805" t="b">
        <v>0</v>
      </c>
      <c r="K805" s="13" t="n">
        <v>1.17</v>
      </c>
    </row>
    <row r="806">
      <c r="A806" t="inlineStr">
        <is>
          <t>NX-00802</t>
        </is>
      </c>
      <c r="B806" t="inlineStr">
        <is>
          <t>EMEA</t>
        </is>
      </c>
      <c r="C806" t="inlineStr">
        <is>
          <t>MENA</t>
        </is>
      </c>
      <c r="D806" s="12" t="n">
        <v>45962</v>
      </c>
      <c r="E806" s="13" t="n">
        <v>3.6</v>
      </c>
      <c r="F806" s="14" t="n">
        <v>291600</v>
      </c>
      <c r="G806" t="n">
        <v>8</v>
      </c>
      <c r="H806" s="12" t="n">
        <v>46204</v>
      </c>
      <c r="I806" s="12" t="n">
        <v>46447</v>
      </c>
      <c r="J806" t="b">
        <v>0</v>
      </c>
      <c r="K806" s="13" t="n">
        <v>7.6</v>
      </c>
    </row>
    <row r="807">
      <c r="A807" t="inlineStr">
        <is>
          <t>NX-00803</t>
        </is>
      </c>
      <c r="B807" t="inlineStr">
        <is>
          <t>APAC</t>
        </is>
      </c>
      <c r="C807" t="inlineStr">
        <is>
          <t>India</t>
        </is>
      </c>
      <c r="D807" s="12" t="n">
        <v>45962</v>
      </c>
      <c r="E807" s="13" t="n">
        <v>6</v>
      </c>
      <c r="F807" s="14" t="n">
        <v>426000</v>
      </c>
      <c r="G807" t="n">
        <v>24</v>
      </c>
      <c r="H807" s="12" t="n">
        <v>46692</v>
      </c>
      <c r="I807" s="12" t="n">
        <v>46813</v>
      </c>
      <c r="J807" t="b">
        <v>0</v>
      </c>
      <c r="K807" s="13" t="n">
        <v>4.21</v>
      </c>
    </row>
    <row r="808">
      <c r="A808" t="inlineStr">
        <is>
          <t>NX-00804</t>
        </is>
      </c>
      <c r="B808" t="inlineStr">
        <is>
          <t>APAC</t>
        </is>
      </c>
      <c r="C808" t="inlineStr">
        <is>
          <t>India</t>
        </is>
      </c>
      <c r="D808" s="12" t="n">
        <v>45962</v>
      </c>
      <c r="E808" s="13" t="n">
        <v>11.1</v>
      </c>
      <c r="F808" s="14" t="n">
        <v>788100</v>
      </c>
      <c r="G808" t="n">
        <v>13</v>
      </c>
      <c r="H808" s="12" t="n">
        <v>46357</v>
      </c>
      <c r="I808" s="12" t="n">
        <v>46357</v>
      </c>
      <c r="J808" t="b">
        <v>0</v>
      </c>
      <c r="K808" s="13" t="n">
        <v>0.19</v>
      </c>
    </row>
    <row r="809">
      <c r="A809" t="inlineStr">
        <is>
          <t>NX-00805</t>
        </is>
      </c>
      <c r="B809" t="inlineStr">
        <is>
          <t>APAC</t>
        </is>
      </c>
      <c r="C809" t="inlineStr">
        <is>
          <t>India</t>
        </is>
      </c>
      <c r="D809" s="12" t="n">
        <v>45962</v>
      </c>
      <c r="E809" s="13" t="n">
        <v>14</v>
      </c>
      <c r="F809" s="14" t="n">
        <v>994000</v>
      </c>
      <c r="G809" t="n">
        <v>6</v>
      </c>
      <c r="H809" s="12" t="n">
        <v>46143</v>
      </c>
      <c r="I809" s="12" t="n">
        <v>46753</v>
      </c>
      <c r="J809" t="b">
        <v>0</v>
      </c>
      <c r="K809" s="13" t="n">
        <v>20.46</v>
      </c>
    </row>
    <row r="810">
      <c r="A810" t="inlineStr">
        <is>
          <t>NX-00806</t>
        </is>
      </c>
      <c r="B810" t="inlineStr">
        <is>
          <t>APAC</t>
        </is>
      </c>
      <c r="C810" t="inlineStr">
        <is>
          <t>Australia/SEA</t>
        </is>
      </c>
      <c r="D810" s="12" t="n">
        <v>45962</v>
      </c>
      <c r="E810" s="13" t="n">
        <v>19.2</v>
      </c>
      <c r="F810" s="14" t="n">
        <v>1612800</v>
      </c>
      <c r="G810" t="n">
        <v>5</v>
      </c>
      <c r="H810" s="12" t="n">
        <v>46113</v>
      </c>
      <c r="I810" s="12" t="n">
        <v>46235</v>
      </c>
      <c r="J810" t="b">
        <v>0</v>
      </c>
      <c r="K810" s="13" t="n">
        <v>4.12</v>
      </c>
    </row>
    <row r="811">
      <c r="A811" t="inlineStr">
        <is>
          <t>NX-00807</t>
        </is>
      </c>
      <c r="B811" t="inlineStr">
        <is>
          <t>APAC</t>
        </is>
      </c>
      <c r="C811" t="inlineStr">
        <is>
          <t>Australia/SEA</t>
        </is>
      </c>
      <c r="D811" s="12" t="n">
        <v>45962</v>
      </c>
      <c r="E811" s="13" t="n">
        <v>15</v>
      </c>
      <c r="F811" s="14" t="n">
        <v>1260000</v>
      </c>
      <c r="G811" t="n">
        <v>11</v>
      </c>
      <c r="H811" s="12" t="n">
        <v>46296</v>
      </c>
      <c r="I811" s="12" t="n">
        <v>46357</v>
      </c>
      <c r="J811" t="b">
        <v>0</v>
      </c>
      <c r="K811" s="13" t="n">
        <v>1.62</v>
      </c>
    </row>
    <row r="812">
      <c r="A812" t="inlineStr">
        <is>
          <t>NX-00808</t>
        </is>
      </c>
      <c r="B812" t="inlineStr">
        <is>
          <t>LATAM</t>
        </is>
      </c>
      <c r="C812" t="inlineStr">
        <is>
          <t>LATAM</t>
        </is>
      </c>
      <c r="D812" s="12" t="n">
        <v>45962</v>
      </c>
      <c r="E812" s="13" t="n">
        <v>20</v>
      </c>
      <c r="F812" s="14" t="n">
        <v>1580000</v>
      </c>
      <c r="G812" t="n">
        <v>5</v>
      </c>
      <c r="H812" s="12" t="n">
        <v>46113</v>
      </c>
      <c r="I812" s="12" t="n">
        <v>46143</v>
      </c>
      <c r="J812" t="b">
        <v>0</v>
      </c>
      <c r="K812" s="13" t="n">
        <v>0.52</v>
      </c>
    </row>
    <row r="813">
      <c r="A813" t="inlineStr">
        <is>
          <t>NX-00809</t>
        </is>
      </c>
      <c r="B813" t="inlineStr">
        <is>
          <t>LATAM</t>
        </is>
      </c>
      <c r="C813" t="inlineStr">
        <is>
          <t>LATAM</t>
        </is>
      </c>
      <c r="D813" s="12" t="n">
        <v>45962</v>
      </c>
      <c r="E813" s="13" t="n">
        <v>7.8</v>
      </c>
      <c r="F813" s="14" t="n">
        <v>616200</v>
      </c>
      <c r="G813" t="n">
        <v>6</v>
      </c>
      <c r="H813" s="12" t="n">
        <v>46143</v>
      </c>
      <c r="I813" s="12" t="n">
        <v>46327</v>
      </c>
      <c r="J813" t="b">
        <v>0</v>
      </c>
      <c r="K813" s="13" t="n">
        <v>5.9</v>
      </c>
    </row>
    <row r="814">
      <c r="A814" t="inlineStr">
        <is>
          <t>NX-00810</t>
        </is>
      </c>
      <c r="B814" t="inlineStr">
        <is>
          <t>LATAM</t>
        </is>
      </c>
      <c r="C814" t="inlineStr">
        <is>
          <t>LATAM</t>
        </is>
      </c>
      <c r="D814" s="12" t="n">
        <v>45962</v>
      </c>
      <c r="E814" s="13" t="n">
        <v>11.8</v>
      </c>
      <c r="F814" s="14" t="n">
        <v>932200</v>
      </c>
      <c r="G814" t="n">
        <v>8</v>
      </c>
      <c r="H814" s="12" t="n">
        <v>46204</v>
      </c>
      <c r="I814" s="12" t="n">
        <v>46235</v>
      </c>
      <c r="J814" t="b">
        <v>0</v>
      </c>
      <c r="K814" s="13" t="n">
        <v>1.01</v>
      </c>
    </row>
    <row r="815">
      <c r="A815" t="inlineStr">
        <is>
          <t>NX-00811</t>
        </is>
      </c>
      <c r="B815" t="inlineStr">
        <is>
          <t>LATAM</t>
        </is>
      </c>
      <c r="C815" t="inlineStr">
        <is>
          <t>LATAM</t>
        </is>
      </c>
      <c r="D815" s="12" t="n">
        <v>45962</v>
      </c>
      <c r="E815" s="13" t="n">
        <v>6.6</v>
      </c>
      <c r="F815" s="14" t="n">
        <v>521400</v>
      </c>
      <c r="G815" t="n">
        <v>12</v>
      </c>
      <c r="H815" s="12" t="n">
        <v>46327</v>
      </c>
      <c r="I815" s="12" t="n">
        <v>46327</v>
      </c>
      <c r="J815" t="b">
        <v>0</v>
      </c>
      <c r="K815" s="13" t="n">
        <v>0</v>
      </c>
    </row>
    <row r="816">
      <c r="A816" t="inlineStr">
        <is>
          <t>NX-00812</t>
        </is>
      </c>
      <c r="B816" t="inlineStr">
        <is>
          <t>LATAM</t>
        </is>
      </c>
      <c r="C816" t="inlineStr">
        <is>
          <t>LATAM</t>
        </is>
      </c>
      <c r="D816" s="12" t="n">
        <v>45962</v>
      </c>
      <c r="E816" s="13" t="n">
        <v>13.7</v>
      </c>
      <c r="F816" s="14" t="n">
        <v>1082300</v>
      </c>
      <c r="G816" t="n">
        <v>5</v>
      </c>
      <c r="H816" s="12" t="n">
        <v>46113</v>
      </c>
      <c r="I816" s="12" t="n">
        <v>46113</v>
      </c>
      <c r="J816" t="b">
        <v>0</v>
      </c>
      <c r="K816" s="13" t="n">
        <v>0.39</v>
      </c>
    </row>
    <row r="817">
      <c r="A817" t="inlineStr">
        <is>
          <t>NX-00813</t>
        </is>
      </c>
      <c r="B817" t="inlineStr">
        <is>
          <t>LATAM</t>
        </is>
      </c>
      <c r="C817" t="inlineStr">
        <is>
          <t>LATAM</t>
        </is>
      </c>
      <c r="D817" s="12" t="n">
        <v>45962</v>
      </c>
      <c r="E817" s="13" t="n">
        <v>14.4</v>
      </c>
      <c r="F817" s="14" t="n">
        <v>1137600</v>
      </c>
      <c r="G817" t="n">
        <v>11</v>
      </c>
      <c r="H817" s="12" t="n">
        <v>46296</v>
      </c>
      <c r="I817" s="12" t="n">
        <v>46296</v>
      </c>
      <c r="J817" t="b">
        <v>0</v>
      </c>
      <c r="K817" s="13" t="n">
        <v>0.44</v>
      </c>
    </row>
    <row r="818">
      <c r="A818" t="inlineStr">
        <is>
          <t>NX-00814</t>
        </is>
      </c>
      <c r="B818" t="inlineStr">
        <is>
          <t>North America</t>
        </is>
      </c>
      <c r="C818" t="inlineStr">
        <is>
          <t>US / Canada</t>
        </is>
      </c>
      <c r="D818" s="12" t="n">
        <v>45992</v>
      </c>
      <c r="E818" s="13" t="n">
        <v>5.3</v>
      </c>
      <c r="F818" s="14" t="n">
        <v>439900</v>
      </c>
      <c r="G818" t="n">
        <v>6</v>
      </c>
      <c r="H818" s="12" t="n">
        <v>46174</v>
      </c>
      <c r="I818" s="12" t="n">
        <v>46174</v>
      </c>
      <c r="J818" t="b">
        <v>0</v>
      </c>
      <c r="K818" s="13" t="n">
        <v>0.08</v>
      </c>
    </row>
    <row r="819">
      <c r="A819" t="inlineStr">
        <is>
          <t>NX-00815</t>
        </is>
      </c>
      <c r="B819" t="inlineStr">
        <is>
          <t>North America</t>
        </is>
      </c>
      <c r="C819" t="inlineStr">
        <is>
          <t>US / Canada</t>
        </is>
      </c>
      <c r="D819" s="12" t="n">
        <v>45992</v>
      </c>
      <c r="E819" s="13" t="n">
        <v>19.2</v>
      </c>
      <c r="F819" s="14" t="n">
        <v>1593600</v>
      </c>
      <c r="G819" t="n">
        <v>14</v>
      </c>
      <c r="H819" s="12" t="n">
        <v>46419</v>
      </c>
      <c r="I819" s="12" t="n">
        <v>46419</v>
      </c>
      <c r="J819" t="b">
        <v>0</v>
      </c>
      <c r="K819" s="13" t="n">
        <v>0.05</v>
      </c>
    </row>
    <row r="820">
      <c r="A820" t="inlineStr">
        <is>
          <t>NX-00816</t>
        </is>
      </c>
      <c r="B820" t="inlineStr">
        <is>
          <t>North America</t>
        </is>
      </c>
      <c r="C820" t="inlineStr">
        <is>
          <t>US / Canada</t>
        </is>
      </c>
      <c r="D820" s="12" t="n">
        <v>45992</v>
      </c>
      <c r="E820" s="13" t="n">
        <v>8</v>
      </c>
      <c r="F820" s="14" t="n">
        <v>664000</v>
      </c>
      <c r="G820" t="n">
        <v>16</v>
      </c>
      <c r="H820" s="12" t="n">
        <v>46478</v>
      </c>
      <c r="I820" s="12" t="n">
        <v>46478</v>
      </c>
      <c r="J820" t="b">
        <v>0</v>
      </c>
      <c r="K820" s="13" t="n">
        <v>0</v>
      </c>
    </row>
    <row r="821">
      <c r="A821" t="inlineStr">
        <is>
          <t>NX-00817</t>
        </is>
      </c>
      <c r="B821" t="inlineStr">
        <is>
          <t>North America</t>
        </is>
      </c>
      <c r="C821" t="inlineStr">
        <is>
          <t>US / Canada</t>
        </is>
      </c>
      <c r="D821" s="12" t="n">
        <v>45992</v>
      </c>
      <c r="E821" s="13" t="n">
        <v>37.7</v>
      </c>
      <c r="F821" s="14" t="n">
        <v>3129100</v>
      </c>
      <c r="G821" t="n">
        <v>7</v>
      </c>
      <c r="H821" s="12" t="n">
        <v>46204</v>
      </c>
      <c r="I821" s="12" t="n">
        <v>46266</v>
      </c>
      <c r="J821" t="b">
        <v>0</v>
      </c>
      <c r="K821" s="13" t="n">
        <v>2.19</v>
      </c>
    </row>
    <row r="822">
      <c r="A822" t="inlineStr">
        <is>
          <t>NX-00818</t>
        </is>
      </c>
      <c r="B822" t="inlineStr">
        <is>
          <t>North America</t>
        </is>
      </c>
      <c r="C822" t="inlineStr">
        <is>
          <t>US / Canada</t>
        </is>
      </c>
      <c r="D822" s="12" t="n">
        <v>45992</v>
      </c>
      <c r="E822" s="13" t="n">
        <v>49.4</v>
      </c>
      <c r="F822" s="14" t="n">
        <v>4100200</v>
      </c>
      <c r="G822" t="n">
        <v>5</v>
      </c>
      <c r="H822" s="12" t="n">
        <v>46143</v>
      </c>
      <c r="I822" s="12" t="n">
        <v>46143</v>
      </c>
      <c r="J822" t="b">
        <v>0</v>
      </c>
      <c r="K822" s="13" t="n">
        <v>0</v>
      </c>
    </row>
    <row r="823">
      <c r="A823" t="inlineStr">
        <is>
          <t>NX-00819</t>
        </is>
      </c>
      <c r="B823" t="inlineStr">
        <is>
          <t>North America</t>
        </is>
      </c>
      <c r="C823" t="inlineStr">
        <is>
          <t>US / Canada</t>
        </is>
      </c>
      <c r="D823" s="12" t="n">
        <v>45992</v>
      </c>
      <c r="E823" s="13" t="n">
        <v>13.7</v>
      </c>
      <c r="F823" s="14" t="n">
        <v>1137100</v>
      </c>
      <c r="G823" t="n">
        <v>5</v>
      </c>
      <c r="H823" s="12" t="n">
        <v>46143</v>
      </c>
      <c r="I823" s="12" t="n">
        <v>46143</v>
      </c>
      <c r="J823" t="b">
        <v>0</v>
      </c>
      <c r="K823" s="13" t="n">
        <v>0</v>
      </c>
    </row>
    <row r="824">
      <c r="A824" t="inlineStr">
        <is>
          <t>NX-00820</t>
        </is>
      </c>
      <c r="B824" t="inlineStr">
        <is>
          <t>North America</t>
        </is>
      </c>
      <c r="C824" t="inlineStr">
        <is>
          <t>US / Canada</t>
        </is>
      </c>
      <c r="D824" s="12" t="n">
        <v>45992</v>
      </c>
      <c r="E824" s="13" t="n">
        <v>19.9</v>
      </c>
      <c r="F824" s="14" t="n">
        <v>1651700</v>
      </c>
      <c r="G824" t="n">
        <v>7</v>
      </c>
      <c r="H824" s="12" t="n">
        <v>46204</v>
      </c>
      <c r="I824" s="12" t="n">
        <v>46296</v>
      </c>
      <c r="J824" t="b">
        <v>0</v>
      </c>
      <c r="K824" s="13" t="n">
        <v>2.57</v>
      </c>
    </row>
    <row r="825">
      <c r="A825" t="inlineStr">
        <is>
          <t>NX-00821</t>
        </is>
      </c>
      <c r="B825" t="inlineStr">
        <is>
          <t>North America</t>
        </is>
      </c>
      <c r="C825" t="inlineStr">
        <is>
          <t>US / Canada</t>
        </is>
      </c>
      <c r="D825" s="12" t="n">
        <v>45992</v>
      </c>
      <c r="E825" s="13" t="n">
        <v>10.1</v>
      </c>
      <c r="F825" s="14" t="n">
        <v>838300</v>
      </c>
      <c r="G825" t="n">
        <v>5</v>
      </c>
      <c r="H825" s="12" t="n">
        <v>46143</v>
      </c>
      <c r="I825" s="12" t="n">
        <v>46143</v>
      </c>
      <c r="J825" t="b">
        <v>0</v>
      </c>
      <c r="K825" s="13" t="n">
        <v>0</v>
      </c>
    </row>
    <row r="826">
      <c r="A826" t="inlineStr">
        <is>
          <t>NX-00822</t>
        </is>
      </c>
      <c r="B826" t="inlineStr">
        <is>
          <t>North America</t>
        </is>
      </c>
      <c r="C826" t="inlineStr">
        <is>
          <t>US / Canada</t>
        </is>
      </c>
      <c r="D826" s="12" t="n">
        <v>45992</v>
      </c>
      <c r="E826" s="13" t="n">
        <v>6.7</v>
      </c>
      <c r="F826" s="14" t="n">
        <v>556100</v>
      </c>
      <c r="G826" t="n">
        <v>5</v>
      </c>
      <c r="H826" s="12" t="n">
        <v>46143</v>
      </c>
      <c r="I826" s="12" t="n">
        <v>46143</v>
      </c>
      <c r="J826" t="b">
        <v>0</v>
      </c>
      <c r="K826" s="13" t="n">
        <v>0</v>
      </c>
    </row>
    <row r="827">
      <c r="A827" t="inlineStr">
        <is>
          <t>NX-00823</t>
        </is>
      </c>
      <c r="B827" t="inlineStr">
        <is>
          <t>North America</t>
        </is>
      </c>
      <c r="C827" t="inlineStr">
        <is>
          <t>US / Canada</t>
        </is>
      </c>
      <c r="D827" s="12" t="n">
        <v>45992</v>
      </c>
      <c r="E827" s="13" t="n">
        <v>8.800000000000001</v>
      </c>
      <c r="F827" s="14" t="n">
        <v>730400.0000000001</v>
      </c>
      <c r="G827" t="n">
        <v>5</v>
      </c>
      <c r="H827" s="12" t="n">
        <v>46143</v>
      </c>
      <c r="I827" s="12" t="n">
        <v>46143</v>
      </c>
      <c r="J827" t="b">
        <v>0</v>
      </c>
      <c r="K827" s="13" t="n">
        <v>0.03</v>
      </c>
    </row>
    <row r="828">
      <c r="A828" t="inlineStr">
        <is>
          <t>NX-00824</t>
        </is>
      </c>
      <c r="B828" t="inlineStr">
        <is>
          <t>North America</t>
        </is>
      </c>
      <c r="C828" t="inlineStr">
        <is>
          <t>US / Canada</t>
        </is>
      </c>
      <c r="D828" s="12" t="n">
        <v>45992</v>
      </c>
      <c r="E828" s="13" t="n">
        <v>8.1</v>
      </c>
      <c r="F828" s="14" t="n">
        <v>672300</v>
      </c>
      <c r="G828" t="n">
        <v>9</v>
      </c>
      <c r="H828" s="12" t="n">
        <v>46266</v>
      </c>
      <c r="I828" s="12" t="n">
        <v>46266</v>
      </c>
      <c r="J828" t="b">
        <v>0</v>
      </c>
      <c r="K828" s="13" t="n">
        <v>0.14</v>
      </c>
    </row>
    <row r="829">
      <c r="A829" t="inlineStr">
        <is>
          <t>NX-00825</t>
        </is>
      </c>
      <c r="B829" t="inlineStr">
        <is>
          <t>North America</t>
        </is>
      </c>
      <c r="C829" t="inlineStr">
        <is>
          <t>US / Canada</t>
        </is>
      </c>
      <c r="D829" s="12" t="n">
        <v>45992</v>
      </c>
      <c r="E829" s="13" t="n">
        <v>7.7</v>
      </c>
      <c r="F829" s="14" t="n">
        <v>639100</v>
      </c>
      <c r="G829" t="n">
        <v>8</v>
      </c>
      <c r="H829" s="12" t="n">
        <v>46235</v>
      </c>
      <c r="I829" s="12" t="n">
        <v>46266</v>
      </c>
      <c r="J829" t="b">
        <v>0</v>
      </c>
      <c r="K829" s="13" t="n">
        <v>0.74</v>
      </c>
    </row>
    <row r="830">
      <c r="A830" t="inlineStr">
        <is>
          <t>NX-00826</t>
        </is>
      </c>
      <c r="B830" t="inlineStr">
        <is>
          <t>North America</t>
        </is>
      </c>
      <c r="C830" t="inlineStr">
        <is>
          <t>US / Canada</t>
        </is>
      </c>
      <c r="D830" s="12" t="n">
        <v>45992</v>
      </c>
      <c r="E830" s="13" t="n">
        <v>10.4</v>
      </c>
      <c r="F830" s="14" t="n">
        <v>863200</v>
      </c>
      <c r="G830" t="n">
        <v>11</v>
      </c>
      <c r="H830" s="12" t="n">
        <v>46327</v>
      </c>
      <c r="I830" s="12" t="n">
        <v>46327</v>
      </c>
      <c r="J830" t="b">
        <v>0</v>
      </c>
      <c r="K830" s="13" t="n">
        <v>0.3</v>
      </c>
    </row>
    <row r="831">
      <c r="A831" t="inlineStr">
        <is>
          <t>NX-00827</t>
        </is>
      </c>
      <c r="B831" t="inlineStr">
        <is>
          <t>North America</t>
        </is>
      </c>
      <c r="C831" t="inlineStr">
        <is>
          <t>US / Canada</t>
        </is>
      </c>
      <c r="D831" s="12" t="n">
        <v>45992</v>
      </c>
      <c r="E831" s="13" t="n">
        <v>42.5</v>
      </c>
      <c r="F831" s="14" t="n">
        <v>3527500</v>
      </c>
      <c r="G831" t="n">
        <v>5</v>
      </c>
      <c r="H831" s="12" t="n">
        <v>46143</v>
      </c>
      <c r="I831" s="12" t="n">
        <v>46174</v>
      </c>
      <c r="J831" t="b">
        <v>0</v>
      </c>
      <c r="K831" s="13" t="n">
        <v>1.42</v>
      </c>
    </row>
    <row r="832">
      <c r="A832" t="inlineStr">
        <is>
          <t>NX-00828</t>
        </is>
      </c>
      <c r="B832" t="inlineStr">
        <is>
          <t>North America</t>
        </is>
      </c>
      <c r="C832" t="inlineStr">
        <is>
          <t>US / Canada</t>
        </is>
      </c>
      <c r="D832" s="12" t="n">
        <v>45992</v>
      </c>
      <c r="E832" s="13" t="n">
        <v>22.4</v>
      </c>
      <c r="F832" s="14" t="n">
        <v>1859200</v>
      </c>
      <c r="G832" t="n">
        <v>5</v>
      </c>
      <c r="H832" s="12" t="n">
        <v>46143</v>
      </c>
      <c r="I832" s="12" t="n">
        <v>46143</v>
      </c>
      <c r="J832" t="b">
        <v>0</v>
      </c>
      <c r="K832" s="13" t="n">
        <v>0.01</v>
      </c>
    </row>
    <row r="833">
      <c r="A833" t="inlineStr">
        <is>
          <t>NX-00829</t>
        </is>
      </c>
      <c r="B833" t="inlineStr">
        <is>
          <t>North America</t>
        </is>
      </c>
      <c r="C833" t="inlineStr">
        <is>
          <t>US / Canada</t>
        </is>
      </c>
      <c r="D833" s="12" t="n">
        <v>45992</v>
      </c>
      <c r="E833" s="13" t="n">
        <v>26.4</v>
      </c>
      <c r="F833" s="14" t="n">
        <v>2191200</v>
      </c>
      <c r="G833" t="n">
        <v>5</v>
      </c>
      <c r="H833" s="12" t="n">
        <v>46143</v>
      </c>
      <c r="I833" s="12" t="n">
        <v>46143</v>
      </c>
      <c r="J833" t="b">
        <v>0</v>
      </c>
      <c r="K833" s="13" t="n">
        <v>0.47</v>
      </c>
    </row>
    <row r="834">
      <c r="A834" t="inlineStr">
        <is>
          <t>NX-00830</t>
        </is>
      </c>
      <c r="B834" t="inlineStr">
        <is>
          <t>North America</t>
        </is>
      </c>
      <c r="C834" t="inlineStr">
        <is>
          <t>US / Canada</t>
        </is>
      </c>
      <c r="D834" s="12" t="n">
        <v>45992</v>
      </c>
      <c r="E834" s="13" t="n">
        <v>12.9</v>
      </c>
      <c r="F834" s="14" t="n">
        <v>1070700</v>
      </c>
      <c r="G834" t="n">
        <v>12</v>
      </c>
      <c r="H834" s="12" t="n">
        <v>46357</v>
      </c>
      <c r="I834" s="12" t="n">
        <v>46357</v>
      </c>
      <c r="J834" t="b">
        <v>0</v>
      </c>
      <c r="K834" s="13" t="n">
        <v>0.01</v>
      </c>
    </row>
    <row r="835">
      <c r="A835" t="inlineStr">
        <is>
          <t>NX-00831</t>
        </is>
      </c>
      <c r="B835" t="inlineStr">
        <is>
          <t>North America</t>
        </is>
      </c>
      <c r="C835" t="inlineStr">
        <is>
          <t>US / Canada</t>
        </is>
      </c>
      <c r="D835" s="12" t="n">
        <v>45992</v>
      </c>
      <c r="E835" s="13" t="n">
        <v>4.9</v>
      </c>
      <c r="F835" s="14" t="n">
        <v>406700.0000000001</v>
      </c>
      <c r="G835" t="n">
        <v>5</v>
      </c>
      <c r="H835" s="12" t="n">
        <v>46143</v>
      </c>
      <c r="I835" s="12" t="n">
        <v>46143</v>
      </c>
      <c r="J835" t="b">
        <v>0</v>
      </c>
      <c r="K835" s="13" t="n">
        <v>0.16</v>
      </c>
    </row>
    <row r="836">
      <c r="A836" t="inlineStr">
        <is>
          <t>NX-00832</t>
        </is>
      </c>
      <c r="B836" t="inlineStr">
        <is>
          <t>North America</t>
        </is>
      </c>
      <c r="C836" t="inlineStr">
        <is>
          <t>US / Canada</t>
        </is>
      </c>
      <c r="D836" s="12" t="n">
        <v>45992</v>
      </c>
      <c r="E836" s="13" t="n">
        <v>102.3</v>
      </c>
      <c r="F836" s="14" t="n">
        <v>8490900</v>
      </c>
      <c r="G836" t="n">
        <v>5</v>
      </c>
      <c r="H836" s="12" t="n">
        <v>46143</v>
      </c>
      <c r="I836" s="12" t="n">
        <v>46143</v>
      </c>
      <c r="J836" t="b">
        <v>0</v>
      </c>
      <c r="K836" s="13" t="n">
        <v>0.17</v>
      </c>
    </row>
    <row r="837">
      <c r="A837" t="inlineStr">
        <is>
          <t>NX-00833</t>
        </is>
      </c>
      <c r="B837" t="inlineStr">
        <is>
          <t>North America</t>
        </is>
      </c>
      <c r="C837" t="inlineStr">
        <is>
          <t>US / Canada</t>
        </is>
      </c>
      <c r="D837" s="12" t="n">
        <v>45992</v>
      </c>
      <c r="E837" s="13" t="n">
        <v>27.1</v>
      </c>
      <c r="F837" s="14" t="n">
        <v>2249300</v>
      </c>
      <c r="G837" t="n">
        <v>6</v>
      </c>
      <c r="H837" s="12" t="n">
        <v>46174</v>
      </c>
      <c r="I837" s="12" t="n">
        <v>46174</v>
      </c>
      <c r="J837" t="b">
        <v>0</v>
      </c>
      <c r="K837" s="13" t="n">
        <v>0</v>
      </c>
    </row>
    <row r="838">
      <c r="A838" t="inlineStr">
        <is>
          <t>NX-00834</t>
        </is>
      </c>
      <c r="B838" t="inlineStr">
        <is>
          <t>North America</t>
        </is>
      </c>
      <c r="C838" t="inlineStr">
        <is>
          <t>US / Canada</t>
        </is>
      </c>
      <c r="D838" s="12" t="n">
        <v>45992</v>
      </c>
      <c r="E838" s="13" t="n">
        <v>8.4</v>
      </c>
      <c r="F838" s="14" t="n">
        <v>697200</v>
      </c>
      <c r="G838" t="n">
        <v>7</v>
      </c>
      <c r="H838" s="12" t="n">
        <v>46204</v>
      </c>
      <c r="I838" s="12" t="n">
        <v>46204</v>
      </c>
      <c r="J838" t="b">
        <v>0</v>
      </c>
      <c r="K838" s="13" t="n">
        <v>0.01</v>
      </c>
    </row>
    <row r="839">
      <c r="A839" t="inlineStr">
        <is>
          <t>NX-00835</t>
        </is>
      </c>
      <c r="B839" t="inlineStr">
        <is>
          <t>EMEA</t>
        </is>
      </c>
      <c r="C839" t="inlineStr">
        <is>
          <t>Europe</t>
        </is>
      </c>
      <c r="D839" s="12" t="n">
        <v>45992</v>
      </c>
      <c r="E839" s="13" t="n">
        <v>5.4</v>
      </c>
      <c r="F839" s="14" t="n">
        <v>475200.0000000001</v>
      </c>
      <c r="G839" t="n">
        <v>5</v>
      </c>
      <c r="H839" s="12" t="n">
        <v>46143</v>
      </c>
      <c r="I839" s="12" t="n">
        <v>46143</v>
      </c>
      <c r="J839" t="b">
        <v>0</v>
      </c>
      <c r="K839" s="13" t="n">
        <v>0</v>
      </c>
    </row>
    <row r="840">
      <c r="A840" t="inlineStr">
        <is>
          <t>NX-00836</t>
        </is>
      </c>
      <c r="B840" t="inlineStr">
        <is>
          <t>EMEA</t>
        </is>
      </c>
      <c r="C840" t="inlineStr">
        <is>
          <t>Europe</t>
        </is>
      </c>
      <c r="D840" s="12" t="n">
        <v>45992</v>
      </c>
      <c r="E840" s="13" t="n">
        <v>29.3</v>
      </c>
      <c r="F840" s="14" t="n">
        <v>2578400</v>
      </c>
      <c r="G840" t="n">
        <v>9</v>
      </c>
      <c r="H840" s="12" t="n">
        <v>46266</v>
      </c>
      <c r="I840" s="12" t="n">
        <v>46266</v>
      </c>
      <c r="J840" t="b">
        <v>0</v>
      </c>
      <c r="K840" s="13" t="n">
        <v>0.05</v>
      </c>
    </row>
    <row r="841">
      <c r="A841" t="inlineStr">
        <is>
          <t>NX-00837</t>
        </is>
      </c>
      <c r="B841" t="inlineStr">
        <is>
          <t>EMEA</t>
        </is>
      </c>
      <c r="C841" t="inlineStr">
        <is>
          <t>Europe</t>
        </is>
      </c>
      <c r="D841" s="12" t="n">
        <v>45992</v>
      </c>
      <c r="E841" s="13" t="n">
        <v>10.9</v>
      </c>
      <c r="F841" s="14" t="n">
        <v>959200</v>
      </c>
      <c r="G841" t="n">
        <v>11</v>
      </c>
      <c r="H841" s="12" t="n">
        <v>46327</v>
      </c>
      <c r="I841" s="12" t="n">
        <v>46357</v>
      </c>
      <c r="J841" t="b">
        <v>0</v>
      </c>
      <c r="K841" s="13" t="n">
        <v>0.54</v>
      </c>
    </row>
    <row r="842">
      <c r="A842" t="inlineStr">
        <is>
          <t>NX-00838</t>
        </is>
      </c>
      <c r="B842" t="inlineStr">
        <is>
          <t>EMEA</t>
        </is>
      </c>
      <c r="C842" t="inlineStr">
        <is>
          <t>Europe</t>
        </is>
      </c>
      <c r="D842" s="12" t="n">
        <v>45992</v>
      </c>
      <c r="E842" s="13" t="n">
        <v>11.9</v>
      </c>
      <c r="F842" s="14" t="n">
        <v>1047200</v>
      </c>
      <c r="G842" t="n">
        <v>5</v>
      </c>
      <c r="H842" s="12" t="n">
        <v>46143</v>
      </c>
      <c r="I842" s="12" t="n">
        <v>46143</v>
      </c>
      <c r="J842" t="b">
        <v>0</v>
      </c>
      <c r="K842" s="13" t="n">
        <v>0</v>
      </c>
    </row>
    <row r="843">
      <c r="A843" t="inlineStr">
        <is>
          <t>NX-00839</t>
        </is>
      </c>
      <c r="B843" t="inlineStr">
        <is>
          <t>EMEA</t>
        </is>
      </c>
      <c r="C843" t="inlineStr">
        <is>
          <t>Europe</t>
        </is>
      </c>
      <c r="D843" s="12" t="n">
        <v>45992</v>
      </c>
      <c r="E843" s="13" t="n">
        <v>17.6</v>
      </c>
      <c r="F843" s="14" t="n">
        <v>1548800</v>
      </c>
      <c r="G843" t="n">
        <v>6</v>
      </c>
      <c r="H843" s="12" t="n">
        <v>46174</v>
      </c>
      <c r="I843" s="12" t="n">
        <v>46174</v>
      </c>
      <c r="J843" t="b">
        <v>0</v>
      </c>
      <c r="K843" s="13" t="n">
        <v>0</v>
      </c>
    </row>
    <row r="844">
      <c r="A844" t="inlineStr">
        <is>
          <t>NX-00840</t>
        </is>
      </c>
      <c r="B844" t="inlineStr">
        <is>
          <t>EMEA</t>
        </is>
      </c>
      <c r="C844" t="inlineStr">
        <is>
          <t>MENA</t>
        </is>
      </c>
      <c r="D844" s="12" t="n">
        <v>45992</v>
      </c>
      <c r="E844" s="13" t="n">
        <v>12.8</v>
      </c>
      <c r="F844" s="14" t="n">
        <v>1036800</v>
      </c>
      <c r="G844" t="n">
        <v>5</v>
      </c>
      <c r="H844" s="12" t="n">
        <v>46143</v>
      </c>
      <c r="I844" s="12" t="n">
        <v>46296</v>
      </c>
      <c r="J844" t="b">
        <v>0</v>
      </c>
      <c r="K844" s="13" t="n">
        <v>4.56</v>
      </c>
    </row>
    <row r="845">
      <c r="A845" t="inlineStr">
        <is>
          <t>NX-00841</t>
        </is>
      </c>
      <c r="B845" t="inlineStr">
        <is>
          <t>EMEA</t>
        </is>
      </c>
      <c r="C845" t="inlineStr">
        <is>
          <t>MENA</t>
        </is>
      </c>
      <c r="D845" s="12" t="n">
        <v>45992</v>
      </c>
      <c r="E845" s="13" t="n">
        <v>19.8</v>
      </c>
      <c r="F845" s="14" t="n">
        <v>1603800</v>
      </c>
      <c r="G845" t="n">
        <v>10</v>
      </c>
      <c r="H845" s="12" t="n">
        <v>46296</v>
      </c>
      <c r="I845" s="12" t="n">
        <v>46357</v>
      </c>
      <c r="J845" t="b">
        <v>0</v>
      </c>
      <c r="K845" s="13" t="n">
        <v>2.05</v>
      </c>
    </row>
    <row r="846">
      <c r="A846" t="inlineStr">
        <is>
          <t>NX-00842</t>
        </is>
      </c>
      <c r="B846" t="inlineStr">
        <is>
          <t>EMEA</t>
        </is>
      </c>
      <c r="C846" t="inlineStr">
        <is>
          <t>MENA</t>
        </is>
      </c>
      <c r="D846" s="12" t="n">
        <v>45992</v>
      </c>
      <c r="E846" s="13" t="n">
        <v>5.8</v>
      </c>
      <c r="F846" s="14" t="n">
        <v>469800</v>
      </c>
      <c r="G846" t="n">
        <v>8</v>
      </c>
      <c r="H846" s="12" t="n">
        <v>46235</v>
      </c>
      <c r="I846" s="12" t="n">
        <v>46266</v>
      </c>
      <c r="J846" t="b">
        <v>0</v>
      </c>
      <c r="K846" s="13" t="n">
        <v>0.83</v>
      </c>
    </row>
    <row r="847">
      <c r="A847" t="inlineStr">
        <is>
          <t>NX-00843</t>
        </is>
      </c>
      <c r="B847" t="inlineStr">
        <is>
          <t>APAC</t>
        </is>
      </c>
      <c r="C847" t="inlineStr">
        <is>
          <t>India</t>
        </is>
      </c>
      <c r="D847" s="12" t="n">
        <v>45992</v>
      </c>
      <c r="E847" s="13" t="n">
        <v>3.5</v>
      </c>
      <c r="F847" s="14" t="n">
        <v>248500</v>
      </c>
      <c r="G847" t="n">
        <v>10</v>
      </c>
      <c r="H847" s="12" t="n">
        <v>46296</v>
      </c>
      <c r="I847" s="12" t="n">
        <v>46600</v>
      </c>
      <c r="J847" t="b">
        <v>0</v>
      </c>
      <c r="K847" s="13" t="n">
        <v>10.21</v>
      </c>
    </row>
    <row r="848">
      <c r="A848" t="inlineStr">
        <is>
          <t>NX-00844</t>
        </is>
      </c>
      <c r="B848" t="inlineStr">
        <is>
          <t>APAC</t>
        </is>
      </c>
      <c r="C848" t="inlineStr">
        <is>
          <t>India</t>
        </is>
      </c>
      <c r="D848" s="12" t="n">
        <v>45992</v>
      </c>
      <c r="E848" s="13" t="n">
        <v>14.8</v>
      </c>
      <c r="F848" s="14" t="n">
        <v>1050800</v>
      </c>
      <c r="G848" t="n">
        <v>5</v>
      </c>
      <c r="H848" s="12" t="n">
        <v>46143</v>
      </c>
      <c r="I848" s="12" t="n">
        <v>46692</v>
      </c>
      <c r="J848" t="b">
        <v>0</v>
      </c>
      <c r="K848" s="13" t="n">
        <v>18.43</v>
      </c>
    </row>
    <row r="849">
      <c r="A849" t="inlineStr">
        <is>
          <t>NX-00845</t>
        </is>
      </c>
      <c r="B849" t="inlineStr">
        <is>
          <t>LATAM</t>
        </is>
      </c>
      <c r="C849" t="inlineStr">
        <is>
          <t>LATAM</t>
        </is>
      </c>
      <c r="D849" s="12" t="n">
        <v>45992</v>
      </c>
      <c r="E849" s="13" t="n">
        <v>5.1</v>
      </c>
      <c r="F849" s="14" t="n">
        <v>402900</v>
      </c>
      <c r="G849" t="n">
        <v>5</v>
      </c>
      <c r="H849" s="12" t="n">
        <v>46143</v>
      </c>
      <c r="I849" s="12" t="n">
        <v>46143</v>
      </c>
      <c r="J849" t="b">
        <v>0</v>
      </c>
      <c r="K849" s="13" t="n">
        <v>0</v>
      </c>
    </row>
    <row r="850">
      <c r="A850" t="inlineStr">
        <is>
          <t>NX-00846</t>
        </is>
      </c>
      <c r="B850" t="inlineStr">
        <is>
          <t>LATAM</t>
        </is>
      </c>
      <c r="C850" t="inlineStr">
        <is>
          <t>LATAM</t>
        </is>
      </c>
      <c r="D850" s="12" t="n">
        <v>45992</v>
      </c>
      <c r="E850" s="13" t="n">
        <v>9.9</v>
      </c>
      <c r="F850" s="14" t="n">
        <v>782100</v>
      </c>
      <c r="G850" t="n">
        <v>5</v>
      </c>
      <c r="H850" s="12" t="n">
        <v>46143</v>
      </c>
      <c r="I850" s="12" t="n">
        <v>46235</v>
      </c>
      <c r="J850" t="b">
        <v>0</v>
      </c>
      <c r="K850" s="13" t="n">
        <v>3.32</v>
      </c>
    </row>
    <row r="851">
      <c r="A851" t="inlineStr">
        <is>
          <t>NX-00847</t>
        </is>
      </c>
      <c r="B851" t="inlineStr">
        <is>
          <t>LATAM</t>
        </is>
      </c>
      <c r="C851" t="inlineStr">
        <is>
          <t>LATAM</t>
        </is>
      </c>
      <c r="D851" s="12" t="n">
        <v>45992</v>
      </c>
      <c r="E851" s="13" t="n">
        <v>57.1</v>
      </c>
      <c r="F851" s="14" t="n">
        <v>4510900</v>
      </c>
      <c r="G851" t="n">
        <v>7</v>
      </c>
      <c r="H851" s="12" t="n">
        <v>46204</v>
      </c>
      <c r="I851" s="12" t="n">
        <v>46235</v>
      </c>
      <c r="J851" t="b">
        <v>0</v>
      </c>
      <c r="K851" s="13" t="n">
        <v>1.03</v>
      </c>
    </row>
    <row r="852">
      <c r="A852" t="inlineStr">
        <is>
          <t>NX-00848</t>
        </is>
      </c>
      <c r="B852" t="inlineStr">
        <is>
          <t>LATAM</t>
        </is>
      </c>
      <c r="C852" t="inlineStr">
        <is>
          <t>LATAM</t>
        </is>
      </c>
      <c r="D852" s="12" t="n">
        <v>45992</v>
      </c>
      <c r="E852" s="13" t="n">
        <v>65.59999999999999</v>
      </c>
      <c r="F852" s="14" t="n">
        <v>5182400</v>
      </c>
      <c r="G852" t="n">
        <v>9</v>
      </c>
      <c r="H852" s="12" t="n">
        <v>46266</v>
      </c>
      <c r="I852" s="12" t="n">
        <v>46357</v>
      </c>
      <c r="J852" t="b">
        <v>0</v>
      </c>
      <c r="K852" s="13" t="n">
        <v>2.91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52"/>
  <sheetViews>
    <sheetView showGridLines="0" workbookViewId="0">
      <pane ySplit="4" topLeftCell="A5" activePane="bottomLeft" state="frozen"/>
      <selection pane="bottomLeft" activeCell="A1" sqref="A1"/>
    </sheetView>
  </sheetViews>
  <sheetFormatPr baseColWidth="8" defaultRowHeight="15"/>
  <cols>
    <col width="12" customWidth="1" min="1" max="1"/>
    <col width="15" customWidth="1" min="2" max="2"/>
    <col width="15" customWidth="1" min="3" max="3"/>
    <col width="9" customWidth="1" min="4" max="4"/>
    <col width="14" customWidth="1" min="5" max="5"/>
    <col width="16" customWidth="1" min="6" max="6"/>
    <col width="18" customWidth="1" min="7" max="7"/>
    <col width="18" customWidth="1" min="8" max="8"/>
    <col width="12" customWidth="1" min="9" max="9"/>
    <col width="18" customWidth="1" min="10" max="10"/>
    <col width="13" customWidth="1" min="11" max="11"/>
    <col width="15" customWidth="1" min="12" max="12"/>
  </cols>
  <sheetData>
    <row r="1">
      <c r="A1" s="1" t="inlineStr">
        <is>
          <t>Engineered fields</t>
        </is>
      </c>
    </row>
    <row r="3">
      <c r="F3" s="15">
        <f> order_value x material rate</f>
        <v/>
      </c>
      <c r="J3" s="15">
        <f> whole months between expected and actual, a check on the supplied slip</f>
        <v/>
      </c>
    </row>
    <row r="4" ht="30" customHeight="1">
      <c r="A4" s="3" t="inlineStr">
        <is>
          <t>order_id</t>
        </is>
      </c>
      <c r="B4" s="3" t="inlineStr">
        <is>
          <t>region</t>
        </is>
      </c>
      <c r="C4" s="3" t="inlineStr">
        <is>
          <t>market</t>
        </is>
      </c>
      <c r="D4" s="3" t="inlineStr">
        <is>
          <t>mw</t>
        </is>
      </c>
      <c r="E4" s="3" t="inlineStr">
        <is>
          <t>order_value</t>
        </is>
      </c>
      <c r="F4" s="3" t="inlineStr">
        <is>
          <t>material_committed</t>
        </is>
      </c>
      <c r="G4" s="3" t="inlineStr">
        <is>
          <t>expected_conversion</t>
        </is>
      </c>
      <c r="H4" s="3" t="inlineStr">
        <is>
          <t>actual_conversion</t>
        </is>
      </c>
      <c r="I4" s="3" t="inlineStr">
        <is>
          <t>slip_months</t>
        </is>
      </c>
      <c r="J4" s="3" t="inlineStr">
        <is>
          <t>slip_check_from_dates</t>
        </is>
      </c>
      <c r="K4" s="3" t="inlineStr">
        <is>
          <t>status</t>
        </is>
      </c>
      <c r="L4" s="3" t="inlineStr">
        <is>
          <t>material_at_risk</t>
        </is>
      </c>
    </row>
    <row r="5">
      <c r="A5">
        <f>'Raw Orders'!A5</f>
        <v/>
      </c>
      <c r="B5">
        <f>'Raw Orders'!B5</f>
        <v/>
      </c>
      <c r="C5">
        <f>'Raw Orders'!C5</f>
        <v/>
      </c>
      <c r="D5" s="13">
        <f>'Raw Orders'!E5</f>
        <v/>
      </c>
      <c r="E5" s="14">
        <f>'Raw Orders'!F5</f>
        <v/>
      </c>
      <c r="F5" s="14">
        <f>'Raw Orders'!F5*0.5</f>
        <v/>
      </c>
      <c r="G5" s="12">
        <f>'Raw Orders'!H5</f>
        <v/>
      </c>
      <c r="H5" s="12">
        <f>'Raw Orders'!I5</f>
        <v/>
      </c>
      <c r="I5" s="13">
        <f>'Raw Orders'!K5</f>
        <v/>
      </c>
      <c r="J5" s="13">
        <f>IF('Raw Orders'!J5,"",(YEAR('Raw Orders'!I5)-YEAR('Raw Orders'!H5))*12+MONTH('Raw Orders'!I5)-MONTH('Raw Orders'!H5))</f>
        <v/>
      </c>
      <c r="K5">
        <f>IF('Raw Orders'!J5,"Cancelled",IF('Raw Orders'!K5&gt;=2,"Slipped","On plan"))</f>
        <v/>
      </c>
      <c r="L5" s="14">
        <f>IF(K5="On plan",0,F5)</f>
        <v/>
      </c>
    </row>
    <row r="6">
      <c r="A6">
        <f>'Raw Orders'!A6</f>
        <v/>
      </c>
      <c r="B6">
        <f>'Raw Orders'!B6</f>
        <v/>
      </c>
      <c r="C6">
        <f>'Raw Orders'!C6</f>
        <v/>
      </c>
      <c r="D6" s="13">
        <f>'Raw Orders'!E6</f>
        <v/>
      </c>
      <c r="E6" s="14">
        <f>'Raw Orders'!F6</f>
        <v/>
      </c>
      <c r="F6" s="14">
        <f>'Raw Orders'!F6*0.5</f>
        <v/>
      </c>
      <c r="G6" s="12">
        <f>'Raw Orders'!H6</f>
        <v/>
      </c>
      <c r="H6" s="12">
        <f>'Raw Orders'!I6</f>
        <v/>
      </c>
      <c r="I6" s="13">
        <f>'Raw Orders'!K6</f>
        <v/>
      </c>
      <c r="J6" s="13">
        <f>IF('Raw Orders'!J6,"",(YEAR('Raw Orders'!I6)-YEAR('Raw Orders'!H6))*12+MONTH('Raw Orders'!I6)-MONTH('Raw Orders'!H6))</f>
        <v/>
      </c>
      <c r="K6">
        <f>IF('Raw Orders'!J6,"Cancelled",IF('Raw Orders'!K6&gt;=2,"Slipped","On plan"))</f>
        <v/>
      </c>
      <c r="L6" s="14">
        <f>IF(K6="On plan",0,F6)</f>
        <v/>
      </c>
    </row>
    <row r="7">
      <c r="A7">
        <f>'Raw Orders'!A7</f>
        <v/>
      </c>
      <c r="B7">
        <f>'Raw Orders'!B7</f>
        <v/>
      </c>
      <c r="C7">
        <f>'Raw Orders'!C7</f>
        <v/>
      </c>
      <c r="D7" s="13">
        <f>'Raw Orders'!E7</f>
        <v/>
      </c>
      <c r="E7" s="14">
        <f>'Raw Orders'!F7</f>
        <v/>
      </c>
      <c r="F7" s="14">
        <f>'Raw Orders'!F7*0.5</f>
        <v/>
      </c>
      <c r="G7" s="12">
        <f>'Raw Orders'!H7</f>
        <v/>
      </c>
      <c r="H7" s="12">
        <f>'Raw Orders'!I7</f>
        <v/>
      </c>
      <c r="I7" s="13">
        <f>'Raw Orders'!K7</f>
        <v/>
      </c>
      <c r="J7" s="13">
        <f>IF('Raw Orders'!J7,"",(YEAR('Raw Orders'!I7)-YEAR('Raw Orders'!H7))*12+MONTH('Raw Orders'!I7)-MONTH('Raw Orders'!H7))</f>
        <v/>
      </c>
      <c r="K7">
        <f>IF('Raw Orders'!J7,"Cancelled",IF('Raw Orders'!K7&gt;=2,"Slipped","On plan"))</f>
        <v/>
      </c>
      <c r="L7" s="14">
        <f>IF(K7="On plan",0,F7)</f>
        <v/>
      </c>
    </row>
    <row r="8">
      <c r="A8">
        <f>'Raw Orders'!A8</f>
        <v/>
      </c>
      <c r="B8">
        <f>'Raw Orders'!B8</f>
        <v/>
      </c>
      <c r="C8">
        <f>'Raw Orders'!C8</f>
        <v/>
      </c>
      <c r="D8" s="13">
        <f>'Raw Orders'!E8</f>
        <v/>
      </c>
      <c r="E8" s="14">
        <f>'Raw Orders'!F8</f>
        <v/>
      </c>
      <c r="F8" s="14">
        <f>'Raw Orders'!F8*0.5</f>
        <v/>
      </c>
      <c r="G8" s="12">
        <f>'Raw Orders'!H8</f>
        <v/>
      </c>
      <c r="H8" s="12">
        <f>'Raw Orders'!I8</f>
        <v/>
      </c>
      <c r="I8" s="13">
        <f>'Raw Orders'!K8</f>
        <v/>
      </c>
      <c r="J8" s="13">
        <f>IF('Raw Orders'!J8,"",(YEAR('Raw Orders'!I8)-YEAR('Raw Orders'!H8))*12+MONTH('Raw Orders'!I8)-MONTH('Raw Orders'!H8))</f>
        <v/>
      </c>
      <c r="K8">
        <f>IF('Raw Orders'!J8,"Cancelled",IF('Raw Orders'!K8&gt;=2,"Slipped","On plan"))</f>
        <v/>
      </c>
      <c r="L8" s="14">
        <f>IF(K8="On plan",0,F8)</f>
        <v/>
      </c>
    </row>
    <row r="9">
      <c r="A9">
        <f>'Raw Orders'!A9</f>
        <v/>
      </c>
      <c r="B9">
        <f>'Raw Orders'!B9</f>
        <v/>
      </c>
      <c r="C9">
        <f>'Raw Orders'!C9</f>
        <v/>
      </c>
      <c r="D9" s="13">
        <f>'Raw Orders'!E9</f>
        <v/>
      </c>
      <c r="E9" s="14">
        <f>'Raw Orders'!F9</f>
        <v/>
      </c>
      <c r="F9" s="14">
        <f>'Raw Orders'!F9*0.5</f>
        <v/>
      </c>
      <c r="G9" s="12">
        <f>'Raw Orders'!H9</f>
        <v/>
      </c>
      <c r="H9" s="12">
        <f>'Raw Orders'!I9</f>
        <v/>
      </c>
      <c r="I9" s="13">
        <f>'Raw Orders'!K9</f>
        <v/>
      </c>
      <c r="J9" s="13">
        <f>IF('Raw Orders'!J9,"",(YEAR('Raw Orders'!I9)-YEAR('Raw Orders'!H9))*12+MONTH('Raw Orders'!I9)-MONTH('Raw Orders'!H9))</f>
        <v/>
      </c>
      <c r="K9">
        <f>IF('Raw Orders'!J9,"Cancelled",IF('Raw Orders'!K9&gt;=2,"Slipped","On plan"))</f>
        <v/>
      </c>
      <c r="L9" s="14">
        <f>IF(K9="On plan",0,F9)</f>
        <v/>
      </c>
    </row>
    <row r="10">
      <c r="A10">
        <f>'Raw Orders'!A10</f>
        <v/>
      </c>
      <c r="B10">
        <f>'Raw Orders'!B10</f>
        <v/>
      </c>
      <c r="C10">
        <f>'Raw Orders'!C10</f>
        <v/>
      </c>
      <c r="D10" s="13">
        <f>'Raw Orders'!E10</f>
        <v/>
      </c>
      <c r="E10" s="14">
        <f>'Raw Orders'!F10</f>
        <v/>
      </c>
      <c r="F10" s="14">
        <f>'Raw Orders'!F10*0.5</f>
        <v/>
      </c>
      <c r="G10" s="12">
        <f>'Raw Orders'!H10</f>
        <v/>
      </c>
      <c r="H10" s="12">
        <f>'Raw Orders'!I10</f>
        <v/>
      </c>
      <c r="I10" s="13">
        <f>'Raw Orders'!K10</f>
        <v/>
      </c>
      <c r="J10" s="13">
        <f>IF('Raw Orders'!J10,"",(YEAR('Raw Orders'!I10)-YEAR('Raw Orders'!H10))*12+MONTH('Raw Orders'!I10)-MONTH('Raw Orders'!H10))</f>
        <v/>
      </c>
      <c r="K10">
        <f>IF('Raw Orders'!J10,"Cancelled",IF('Raw Orders'!K10&gt;=2,"Slipped","On plan"))</f>
        <v/>
      </c>
      <c r="L10" s="14">
        <f>IF(K10="On plan",0,F10)</f>
        <v/>
      </c>
    </row>
    <row r="11">
      <c r="A11">
        <f>'Raw Orders'!A11</f>
        <v/>
      </c>
      <c r="B11">
        <f>'Raw Orders'!B11</f>
        <v/>
      </c>
      <c r="C11">
        <f>'Raw Orders'!C11</f>
        <v/>
      </c>
      <c r="D11" s="13">
        <f>'Raw Orders'!E11</f>
        <v/>
      </c>
      <c r="E11" s="14">
        <f>'Raw Orders'!F11</f>
        <v/>
      </c>
      <c r="F11" s="14">
        <f>'Raw Orders'!F11*0.5</f>
        <v/>
      </c>
      <c r="G11" s="12">
        <f>'Raw Orders'!H11</f>
        <v/>
      </c>
      <c r="H11" s="12">
        <f>'Raw Orders'!I11</f>
        <v/>
      </c>
      <c r="I11" s="13">
        <f>'Raw Orders'!K11</f>
        <v/>
      </c>
      <c r="J11" s="13">
        <f>IF('Raw Orders'!J11,"",(YEAR('Raw Orders'!I11)-YEAR('Raw Orders'!H11))*12+MONTH('Raw Orders'!I11)-MONTH('Raw Orders'!H11))</f>
        <v/>
      </c>
      <c r="K11">
        <f>IF('Raw Orders'!J11,"Cancelled",IF('Raw Orders'!K11&gt;=2,"Slipped","On plan"))</f>
        <v/>
      </c>
      <c r="L11" s="14">
        <f>IF(K11="On plan",0,F11)</f>
        <v/>
      </c>
    </row>
    <row r="12">
      <c r="A12">
        <f>'Raw Orders'!A12</f>
        <v/>
      </c>
      <c r="B12">
        <f>'Raw Orders'!B12</f>
        <v/>
      </c>
      <c r="C12">
        <f>'Raw Orders'!C12</f>
        <v/>
      </c>
      <c r="D12" s="13">
        <f>'Raw Orders'!E12</f>
        <v/>
      </c>
      <c r="E12" s="14">
        <f>'Raw Orders'!F12</f>
        <v/>
      </c>
      <c r="F12" s="14">
        <f>'Raw Orders'!F12*0.5</f>
        <v/>
      </c>
      <c r="G12" s="12">
        <f>'Raw Orders'!H12</f>
        <v/>
      </c>
      <c r="H12" s="12">
        <f>'Raw Orders'!I12</f>
        <v/>
      </c>
      <c r="I12" s="13">
        <f>'Raw Orders'!K12</f>
        <v/>
      </c>
      <c r="J12" s="13">
        <f>IF('Raw Orders'!J12,"",(YEAR('Raw Orders'!I12)-YEAR('Raw Orders'!H12))*12+MONTH('Raw Orders'!I12)-MONTH('Raw Orders'!H12))</f>
        <v/>
      </c>
      <c r="K12">
        <f>IF('Raw Orders'!J12,"Cancelled",IF('Raw Orders'!K12&gt;=2,"Slipped","On plan"))</f>
        <v/>
      </c>
      <c r="L12" s="14">
        <f>IF(K12="On plan",0,F12)</f>
        <v/>
      </c>
    </row>
    <row r="13">
      <c r="A13">
        <f>'Raw Orders'!A13</f>
        <v/>
      </c>
      <c r="B13">
        <f>'Raw Orders'!B13</f>
        <v/>
      </c>
      <c r="C13">
        <f>'Raw Orders'!C13</f>
        <v/>
      </c>
      <c r="D13" s="13">
        <f>'Raw Orders'!E13</f>
        <v/>
      </c>
      <c r="E13" s="14">
        <f>'Raw Orders'!F13</f>
        <v/>
      </c>
      <c r="F13" s="14">
        <f>'Raw Orders'!F13*0.5</f>
        <v/>
      </c>
      <c r="G13" s="12">
        <f>'Raw Orders'!H13</f>
        <v/>
      </c>
      <c r="H13" s="12">
        <f>'Raw Orders'!I13</f>
        <v/>
      </c>
      <c r="I13" s="13">
        <f>'Raw Orders'!K13</f>
        <v/>
      </c>
      <c r="J13" s="13">
        <f>IF('Raw Orders'!J13,"",(YEAR('Raw Orders'!I13)-YEAR('Raw Orders'!H13))*12+MONTH('Raw Orders'!I13)-MONTH('Raw Orders'!H13))</f>
        <v/>
      </c>
      <c r="K13">
        <f>IF('Raw Orders'!J13,"Cancelled",IF('Raw Orders'!K13&gt;=2,"Slipped","On plan"))</f>
        <v/>
      </c>
      <c r="L13" s="14">
        <f>IF(K13="On plan",0,F13)</f>
        <v/>
      </c>
    </row>
    <row r="14">
      <c r="A14">
        <f>'Raw Orders'!A14</f>
        <v/>
      </c>
      <c r="B14">
        <f>'Raw Orders'!B14</f>
        <v/>
      </c>
      <c r="C14">
        <f>'Raw Orders'!C14</f>
        <v/>
      </c>
      <c r="D14" s="13">
        <f>'Raw Orders'!E14</f>
        <v/>
      </c>
      <c r="E14" s="14">
        <f>'Raw Orders'!F14</f>
        <v/>
      </c>
      <c r="F14" s="14">
        <f>'Raw Orders'!F14*0.5</f>
        <v/>
      </c>
      <c r="G14" s="12">
        <f>'Raw Orders'!H14</f>
        <v/>
      </c>
      <c r="H14" s="12">
        <f>'Raw Orders'!I14</f>
        <v/>
      </c>
      <c r="I14" s="13">
        <f>'Raw Orders'!K14</f>
        <v/>
      </c>
      <c r="J14" s="13">
        <f>IF('Raw Orders'!J14,"",(YEAR('Raw Orders'!I14)-YEAR('Raw Orders'!H14))*12+MONTH('Raw Orders'!I14)-MONTH('Raw Orders'!H14))</f>
        <v/>
      </c>
      <c r="K14">
        <f>IF('Raw Orders'!J14,"Cancelled",IF('Raw Orders'!K14&gt;=2,"Slipped","On plan"))</f>
        <v/>
      </c>
      <c r="L14" s="14">
        <f>IF(K14="On plan",0,F14)</f>
        <v/>
      </c>
    </row>
    <row r="15">
      <c r="A15">
        <f>'Raw Orders'!A15</f>
        <v/>
      </c>
      <c r="B15">
        <f>'Raw Orders'!B15</f>
        <v/>
      </c>
      <c r="C15">
        <f>'Raw Orders'!C15</f>
        <v/>
      </c>
      <c r="D15" s="13">
        <f>'Raw Orders'!E15</f>
        <v/>
      </c>
      <c r="E15" s="14">
        <f>'Raw Orders'!F15</f>
        <v/>
      </c>
      <c r="F15" s="14">
        <f>'Raw Orders'!F15*0.5</f>
        <v/>
      </c>
      <c r="G15" s="12">
        <f>'Raw Orders'!H15</f>
        <v/>
      </c>
      <c r="H15" s="12">
        <f>'Raw Orders'!I15</f>
        <v/>
      </c>
      <c r="I15" s="13">
        <f>'Raw Orders'!K15</f>
        <v/>
      </c>
      <c r="J15" s="13">
        <f>IF('Raw Orders'!J15,"",(YEAR('Raw Orders'!I15)-YEAR('Raw Orders'!H15))*12+MONTH('Raw Orders'!I15)-MONTH('Raw Orders'!H15))</f>
        <v/>
      </c>
      <c r="K15">
        <f>IF('Raw Orders'!J15,"Cancelled",IF('Raw Orders'!K15&gt;=2,"Slipped","On plan"))</f>
        <v/>
      </c>
      <c r="L15" s="14">
        <f>IF(K15="On plan",0,F15)</f>
        <v/>
      </c>
    </row>
    <row r="16">
      <c r="A16">
        <f>'Raw Orders'!A16</f>
        <v/>
      </c>
      <c r="B16">
        <f>'Raw Orders'!B16</f>
        <v/>
      </c>
      <c r="C16">
        <f>'Raw Orders'!C16</f>
        <v/>
      </c>
      <c r="D16" s="13">
        <f>'Raw Orders'!E16</f>
        <v/>
      </c>
      <c r="E16" s="14">
        <f>'Raw Orders'!F16</f>
        <v/>
      </c>
      <c r="F16" s="14">
        <f>'Raw Orders'!F16*0.5</f>
        <v/>
      </c>
      <c r="G16" s="12">
        <f>'Raw Orders'!H16</f>
        <v/>
      </c>
      <c r="H16" s="12">
        <f>'Raw Orders'!I16</f>
        <v/>
      </c>
      <c r="I16" s="13">
        <f>'Raw Orders'!K16</f>
        <v/>
      </c>
      <c r="J16" s="13">
        <f>IF('Raw Orders'!J16,"",(YEAR('Raw Orders'!I16)-YEAR('Raw Orders'!H16))*12+MONTH('Raw Orders'!I16)-MONTH('Raw Orders'!H16))</f>
        <v/>
      </c>
      <c r="K16">
        <f>IF('Raw Orders'!J16,"Cancelled",IF('Raw Orders'!K16&gt;=2,"Slipped","On plan"))</f>
        <v/>
      </c>
      <c r="L16" s="14">
        <f>IF(K16="On plan",0,F16)</f>
        <v/>
      </c>
    </row>
    <row r="17">
      <c r="A17">
        <f>'Raw Orders'!A17</f>
        <v/>
      </c>
      <c r="B17">
        <f>'Raw Orders'!B17</f>
        <v/>
      </c>
      <c r="C17">
        <f>'Raw Orders'!C17</f>
        <v/>
      </c>
      <c r="D17" s="13">
        <f>'Raw Orders'!E17</f>
        <v/>
      </c>
      <c r="E17" s="14">
        <f>'Raw Orders'!F17</f>
        <v/>
      </c>
      <c r="F17" s="14">
        <f>'Raw Orders'!F17*0.5</f>
        <v/>
      </c>
      <c r="G17" s="12">
        <f>'Raw Orders'!H17</f>
        <v/>
      </c>
      <c r="H17" s="12">
        <f>'Raw Orders'!I17</f>
        <v/>
      </c>
      <c r="I17" s="13">
        <f>'Raw Orders'!K17</f>
        <v/>
      </c>
      <c r="J17" s="13">
        <f>IF('Raw Orders'!J17,"",(YEAR('Raw Orders'!I17)-YEAR('Raw Orders'!H17))*12+MONTH('Raw Orders'!I17)-MONTH('Raw Orders'!H17))</f>
        <v/>
      </c>
      <c r="K17">
        <f>IF('Raw Orders'!J17,"Cancelled",IF('Raw Orders'!K17&gt;=2,"Slipped","On plan"))</f>
        <v/>
      </c>
      <c r="L17" s="14">
        <f>IF(K17="On plan",0,F17)</f>
        <v/>
      </c>
    </row>
    <row r="18">
      <c r="A18">
        <f>'Raw Orders'!A18</f>
        <v/>
      </c>
      <c r="B18">
        <f>'Raw Orders'!B18</f>
        <v/>
      </c>
      <c r="C18">
        <f>'Raw Orders'!C18</f>
        <v/>
      </c>
      <c r="D18" s="13">
        <f>'Raw Orders'!E18</f>
        <v/>
      </c>
      <c r="E18" s="14">
        <f>'Raw Orders'!F18</f>
        <v/>
      </c>
      <c r="F18" s="14">
        <f>'Raw Orders'!F18*0.5</f>
        <v/>
      </c>
      <c r="G18" s="12">
        <f>'Raw Orders'!H18</f>
        <v/>
      </c>
      <c r="H18" s="12">
        <f>'Raw Orders'!I18</f>
        <v/>
      </c>
      <c r="I18" s="13">
        <f>'Raw Orders'!K18</f>
        <v/>
      </c>
      <c r="J18" s="13">
        <f>IF('Raw Orders'!J18,"",(YEAR('Raw Orders'!I18)-YEAR('Raw Orders'!H18))*12+MONTH('Raw Orders'!I18)-MONTH('Raw Orders'!H18))</f>
        <v/>
      </c>
      <c r="K18">
        <f>IF('Raw Orders'!J18,"Cancelled",IF('Raw Orders'!K18&gt;=2,"Slipped","On plan"))</f>
        <v/>
      </c>
      <c r="L18" s="14">
        <f>IF(K18="On plan",0,F18)</f>
        <v/>
      </c>
    </row>
    <row r="19">
      <c r="A19">
        <f>'Raw Orders'!A19</f>
        <v/>
      </c>
      <c r="B19">
        <f>'Raw Orders'!B19</f>
        <v/>
      </c>
      <c r="C19">
        <f>'Raw Orders'!C19</f>
        <v/>
      </c>
      <c r="D19" s="13">
        <f>'Raw Orders'!E19</f>
        <v/>
      </c>
      <c r="E19" s="14">
        <f>'Raw Orders'!F19</f>
        <v/>
      </c>
      <c r="F19" s="14">
        <f>'Raw Orders'!F19*0.5</f>
        <v/>
      </c>
      <c r="G19" s="12">
        <f>'Raw Orders'!H19</f>
        <v/>
      </c>
      <c r="H19" s="12">
        <f>'Raw Orders'!I19</f>
        <v/>
      </c>
      <c r="I19" s="13">
        <f>'Raw Orders'!K19</f>
        <v/>
      </c>
      <c r="J19" s="13">
        <f>IF('Raw Orders'!J19,"",(YEAR('Raw Orders'!I19)-YEAR('Raw Orders'!H19))*12+MONTH('Raw Orders'!I19)-MONTH('Raw Orders'!H19))</f>
        <v/>
      </c>
      <c r="K19">
        <f>IF('Raw Orders'!J19,"Cancelled",IF('Raw Orders'!K19&gt;=2,"Slipped","On plan"))</f>
        <v/>
      </c>
      <c r="L19" s="14">
        <f>IF(K19="On plan",0,F19)</f>
        <v/>
      </c>
    </row>
    <row r="20">
      <c r="A20">
        <f>'Raw Orders'!A20</f>
        <v/>
      </c>
      <c r="B20">
        <f>'Raw Orders'!B20</f>
        <v/>
      </c>
      <c r="C20">
        <f>'Raw Orders'!C20</f>
        <v/>
      </c>
      <c r="D20" s="13">
        <f>'Raw Orders'!E20</f>
        <v/>
      </c>
      <c r="E20" s="14">
        <f>'Raw Orders'!F20</f>
        <v/>
      </c>
      <c r="F20" s="14">
        <f>'Raw Orders'!F20*0.5</f>
        <v/>
      </c>
      <c r="G20" s="12">
        <f>'Raw Orders'!H20</f>
        <v/>
      </c>
      <c r="H20" s="12">
        <f>'Raw Orders'!I20</f>
        <v/>
      </c>
      <c r="I20" s="13">
        <f>'Raw Orders'!K20</f>
        <v/>
      </c>
      <c r="J20" s="13">
        <f>IF('Raw Orders'!J20,"",(YEAR('Raw Orders'!I20)-YEAR('Raw Orders'!H20))*12+MONTH('Raw Orders'!I20)-MONTH('Raw Orders'!H20))</f>
        <v/>
      </c>
      <c r="K20">
        <f>IF('Raw Orders'!J20,"Cancelled",IF('Raw Orders'!K20&gt;=2,"Slipped","On plan"))</f>
        <v/>
      </c>
      <c r="L20" s="14">
        <f>IF(K20="On plan",0,F20)</f>
        <v/>
      </c>
    </row>
    <row r="21">
      <c r="A21">
        <f>'Raw Orders'!A21</f>
        <v/>
      </c>
      <c r="B21">
        <f>'Raw Orders'!B21</f>
        <v/>
      </c>
      <c r="C21">
        <f>'Raw Orders'!C21</f>
        <v/>
      </c>
      <c r="D21" s="13">
        <f>'Raw Orders'!E21</f>
        <v/>
      </c>
      <c r="E21" s="14">
        <f>'Raw Orders'!F21</f>
        <v/>
      </c>
      <c r="F21" s="14">
        <f>'Raw Orders'!F21*0.5</f>
        <v/>
      </c>
      <c r="G21" s="12">
        <f>'Raw Orders'!H21</f>
        <v/>
      </c>
      <c r="H21" s="12">
        <f>'Raw Orders'!I21</f>
        <v/>
      </c>
      <c r="I21" s="13">
        <f>'Raw Orders'!K21</f>
        <v/>
      </c>
      <c r="J21" s="13">
        <f>IF('Raw Orders'!J21,"",(YEAR('Raw Orders'!I21)-YEAR('Raw Orders'!H21))*12+MONTH('Raw Orders'!I21)-MONTH('Raw Orders'!H21))</f>
        <v/>
      </c>
      <c r="K21">
        <f>IF('Raw Orders'!J21,"Cancelled",IF('Raw Orders'!K21&gt;=2,"Slipped","On plan"))</f>
        <v/>
      </c>
      <c r="L21" s="14">
        <f>IF(K21="On plan",0,F21)</f>
        <v/>
      </c>
    </row>
    <row r="22">
      <c r="A22">
        <f>'Raw Orders'!A22</f>
        <v/>
      </c>
      <c r="B22">
        <f>'Raw Orders'!B22</f>
        <v/>
      </c>
      <c r="C22">
        <f>'Raw Orders'!C22</f>
        <v/>
      </c>
      <c r="D22" s="13">
        <f>'Raw Orders'!E22</f>
        <v/>
      </c>
      <c r="E22" s="14">
        <f>'Raw Orders'!F22</f>
        <v/>
      </c>
      <c r="F22" s="14">
        <f>'Raw Orders'!F22*0.5</f>
        <v/>
      </c>
      <c r="G22" s="12">
        <f>'Raw Orders'!H22</f>
        <v/>
      </c>
      <c r="H22" s="12">
        <f>'Raw Orders'!I22</f>
        <v/>
      </c>
      <c r="I22" s="13">
        <f>'Raw Orders'!K22</f>
        <v/>
      </c>
      <c r="J22" s="13">
        <f>IF('Raw Orders'!J22,"",(YEAR('Raw Orders'!I22)-YEAR('Raw Orders'!H22))*12+MONTH('Raw Orders'!I22)-MONTH('Raw Orders'!H22))</f>
        <v/>
      </c>
      <c r="K22">
        <f>IF('Raw Orders'!J22,"Cancelled",IF('Raw Orders'!K22&gt;=2,"Slipped","On plan"))</f>
        <v/>
      </c>
      <c r="L22" s="14">
        <f>IF(K22="On plan",0,F22)</f>
        <v/>
      </c>
    </row>
    <row r="23">
      <c r="A23">
        <f>'Raw Orders'!A23</f>
        <v/>
      </c>
      <c r="B23">
        <f>'Raw Orders'!B23</f>
        <v/>
      </c>
      <c r="C23">
        <f>'Raw Orders'!C23</f>
        <v/>
      </c>
      <c r="D23" s="13">
        <f>'Raw Orders'!E23</f>
        <v/>
      </c>
      <c r="E23" s="14">
        <f>'Raw Orders'!F23</f>
        <v/>
      </c>
      <c r="F23" s="14">
        <f>'Raw Orders'!F23*0.5</f>
        <v/>
      </c>
      <c r="G23" s="12">
        <f>'Raw Orders'!H23</f>
        <v/>
      </c>
      <c r="H23" s="12">
        <f>'Raw Orders'!I23</f>
        <v/>
      </c>
      <c r="I23" s="13">
        <f>'Raw Orders'!K23</f>
        <v/>
      </c>
      <c r="J23" s="13">
        <f>IF('Raw Orders'!J23,"",(YEAR('Raw Orders'!I23)-YEAR('Raw Orders'!H23))*12+MONTH('Raw Orders'!I23)-MONTH('Raw Orders'!H23))</f>
        <v/>
      </c>
      <c r="K23">
        <f>IF('Raw Orders'!J23,"Cancelled",IF('Raw Orders'!K23&gt;=2,"Slipped","On plan"))</f>
        <v/>
      </c>
      <c r="L23" s="14">
        <f>IF(K23="On plan",0,F23)</f>
        <v/>
      </c>
    </row>
    <row r="24">
      <c r="A24">
        <f>'Raw Orders'!A24</f>
        <v/>
      </c>
      <c r="B24">
        <f>'Raw Orders'!B24</f>
        <v/>
      </c>
      <c r="C24">
        <f>'Raw Orders'!C24</f>
        <v/>
      </c>
      <c r="D24" s="13">
        <f>'Raw Orders'!E24</f>
        <v/>
      </c>
      <c r="E24" s="14">
        <f>'Raw Orders'!F24</f>
        <v/>
      </c>
      <c r="F24" s="14">
        <f>'Raw Orders'!F24*0.5</f>
        <v/>
      </c>
      <c r="G24" s="12">
        <f>'Raw Orders'!H24</f>
        <v/>
      </c>
      <c r="H24" s="12">
        <f>'Raw Orders'!I24</f>
        <v/>
      </c>
      <c r="I24" s="13">
        <f>'Raw Orders'!K24</f>
        <v/>
      </c>
      <c r="J24" s="13">
        <f>IF('Raw Orders'!J24,"",(YEAR('Raw Orders'!I24)-YEAR('Raw Orders'!H24))*12+MONTH('Raw Orders'!I24)-MONTH('Raw Orders'!H24))</f>
        <v/>
      </c>
      <c r="K24">
        <f>IF('Raw Orders'!J24,"Cancelled",IF('Raw Orders'!K24&gt;=2,"Slipped","On plan"))</f>
        <v/>
      </c>
      <c r="L24" s="14">
        <f>IF(K24="On plan",0,F24)</f>
        <v/>
      </c>
    </row>
    <row r="25">
      <c r="A25">
        <f>'Raw Orders'!A25</f>
        <v/>
      </c>
      <c r="B25">
        <f>'Raw Orders'!B25</f>
        <v/>
      </c>
      <c r="C25">
        <f>'Raw Orders'!C25</f>
        <v/>
      </c>
      <c r="D25" s="13">
        <f>'Raw Orders'!E25</f>
        <v/>
      </c>
      <c r="E25" s="14">
        <f>'Raw Orders'!F25</f>
        <v/>
      </c>
      <c r="F25" s="14">
        <f>'Raw Orders'!F25*0.5</f>
        <v/>
      </c>
      <c r="G25" s="12">
        <f>'Raw Orders'!H25</f>
        <v/>
      </c>
      <c r="H25" s="12">
        <f>'Raw Orders'!I25</f>
        <v/>
      </c>
      <c r="I25" s="13">
        <f>'Raw Orders'!K25</f>
        <v/>
      </c>
      <c r="J25" s="13">
        <f>IF('Raw Orders'!J25,"",(YEAR('Raw Orders'!I25)-YEAR('Raw Orders'!H25))*12+MONTH('Raw Orders'!I25)-MONTH('Raw Orders'!H25))</f>
        <v/>
      </c>
      <c r="K25">
        <f>IF('Raw Orders'!J25,"Cancelled",IF('Raw Orders'!K25&gt;=2,"Slipped","On plan"))</f>
        <v/>
      </c>
      <c r="L25" s="14">
        <f>IF(K25="On plan",0,F25)</f>
        <v/>
      </c>
    </row>
    <row r="26">
      <c r="A26">
        <f>'Raw Orders'!A26</f>
        <v/>
      </c>
      <c r="B26">
        <f>'Raw Orders'!B26</f>
        <v/>
      </c>
      <c r="C26">
        <f>'Raw Orders'!C26</f>
        <v/>
      </c>
      <c r="D26" s="13">
        <f>'Raw Orders'!E26</f>
        <v/>
      </c>
      <c r="E26" s="14">
        <f>'Raw Orders'!F26</f>
        <v/>
      </c>
      <c r="F26" s="14">
        <f>'Raw Orders'!F26*0.5</f>
        <v/>
      </c>
      <c r="G26" s="12">
        <f>'Raw Orders'!H26</f>
        <v/>
      </c>
      <c r="H26" s="12">
        <f>'Raw Orders'!I26</f>
        <v/>
      </c>
      <c r="I26" s="13">
        <f>'Raw Orders'!K26</f>
        <v/>
      </c>
      <c r="J26" s="13">
        <f>IF('Raw Orders'!J26,"",(YEAR('Raw Orders'!I26)-YEAR('Raw Orders'!H26))*12+MONTH('Raw Orders'!I26)-MONTH('Raw Orders'!H26))</f>
        <v/>
      </c>
      <c r="K26">
        <f>IF('Raw Orders'!J26,"Cancelled",IF('Raw Orders'!K26&gt;=2,"Slipped","On plan"))</f>
        <v/>
      </c>
      <c r="L26" s="14">
        <f>IF(K26="On plan",0,F26)</f>
        <v/>
      </c>
    </row>
    <row r="27">
      <c r="A27">
        <f>'Raw Orders'!A27</f>
        <v/>
      </c>
      <c r="B27">
        <f>'Raw Orders'!B27</f>
        <v/>
      </c>
      <c r="C27">
        <f>'Raw Orders'!C27</f>
        <v/>
      </c>
      <c r="D27" s="13">
        <f>'Raw Orders'!E27</f>
        <v/>
      </c>
      <c r="E27" s="14">
        <f>'Raw Orders'!F27</f>
        <v/>
      </c>
      <c r="F27" s="14">
        <f>'Raw Orders'!F27*0.5</f>
        <v/>
      </c>
      <c r="G27" s="12">
        <f>'Raw Orders'!H27</f>
        <v/>
      </c>
      <c r="H27" s="12">
        <f>'Raw Orders'!I27</f>
        <v/>
      </c>
      <c r="I27" s="13">
        <f>'Raw Orders'!K27</f>
        <v/>
      </c>
      <c r="J27" s="13">
        <f>IF('Raw Orders'!J27,"",(YEAR('Raw Orders'!I27)-YEAR('Raw Orders'!H27))*12+MONTH('Raw Orders'!I27)-MONTH('Raw Orders'!H27))</f>
        <v/>
      </c>
      <c r="K27">
        <f>IF('Raw Orders'!J27,"Cancelled",IF('Raw Orders'!K27&gt;=2,"Slipped","On plan"))</f>
        <v/>
      </c>
      <c r="L27" s="14">
        <f>IF(K27="On plan",0,F27)</f>
        <v/>
      </c>
    </row>
    <row r="28">
      <c r="A28">
        <f>'Raw Orders'!A28</f>
        <v/>
      </c>
      <c r="B28">
        <f>'Raw Orders'!B28</f>
        <v/>
      </c>
      <c r="C28">
        <f>'Raw Orders'!C28</f>
        <v/>
      </c>
      <c r="D28" s="13">
        <f>'Raw Orders'!E28</f>
        <v/>
      </c>
      <c r="E28" s="14">
        <f>'Raw Orders'!F28</f>
        <v/>
      </c>
      <c r="F28" s="14">
        <f>'Raw Orders'!F28*0.5</f>
        <v/>
      </c>
      <c r="G28" s="12">
        <f>'Raw Orders'!H28</f>
        <v/>
      </c>
      <c r="H28" s="12">
        <f>'Raw Orders'!I28</f>
        <v/>
      </c>
      <c r="I28" s="13">
        <f>'Raw Orders'!K28</f>
        <v/>
      </c>
      <c r="J28" s="13">
        <f>IF('Raw Orders'!J28,"",(YEAR('Raw Orders'!I28)-YEAR('Raw Orders'!H28))*12+MONTH('Raw Orders'!I28)-MONTH('Raw Orders'!H28))</f>
        <v/>
      </c>
      <c r="K28">
        <f>IF('Raw Orders'!J28,"Cancelled",IF('Raw Orders'!K28&gt;=2,"Slipped","On plan"))</f>
        <v/>
      </c>
      <c r="L28" s="14">
        <f>IF(K28="On plan",0,F28)</f>
        <v/>
      </c>
    </row>
    <row r="29">
      <c r="A29">
        <f>'Raw Orders'!A29</f>
        <v/>
      </c>
      <c r="B29">
        <f>'Raw Orders'!B29</f>
        <v/>
      </c>
      <c r="C29">
        <f>'Raw Orders'!C29</f>
        <v/>
      </c>
      <c r="D29" s="13">
        <f>'Raw Orders'!E29</f>
        <v/>
      </c>
      <c r="E29" s="14">
        <f>'Raw Orders'!F29</f>
        <v/>
      </c>
      <c r="F29" s="14">
        <f>'Raw Orders'!F29*0.5</f>
        <v/>
      </c>
      <c r="G29" s="12">
        <f>'Raw Orders'!H29</f>
        <v/>
      </c>
      <c r="H29" s="12">
        <f>'Raw Orders'!I29</f>
        <v/>
      </c>
      <c r="I29" s="13">
        <f>'Raw Orders'!K29</f>
        <v/>
      </c>
      <c r="J29" s="13">
        <f>IF('Raw Orders'!J29,"",(YEAR('Raw Orders'!I29)-YEAR('Raw Orders'!H29))*12+MONTH('Raw Orders'!I29)-MONTH('Raw Orders'!H29))</f>
        <v/>
      </c>
      <c r="K29">
        <f>IF('Raw Orders'!J29,"Cancelled",IF('Raw Orders'!K29&gt;=2,"Slipped","On plan"))</f>
        <v/>
      </c>
      <c r="L29" s="14">
        <f>IF(K29="On plan",0,F29)</f>
        <v/>
      </c>
    </row>
    <row r="30">
      <c r="A30">
        <f>'Raw Orders'!A30</f>
        <v/>
      </c>
      <c r="B30">
        <f>'Raw Orders'!B30</f>
        <v/>
      </c>
      <c r="C30">
        <f>'Raw Orders'!C30</f>
        <v/>
      </c>
      <c r="D30" s="13">
        <f>'Raw Orders'!E30</f>
        <v/>
      </c>
      <c r="E30" s="14">
        <f>'Raw Orders'!F30</f>
        <v/>
      </c>
      <c r="F30" s="14">
        <f>'Raw Orders'!F30*0.5</f>
        <v/>
      </c>
      <c r="G30" s="12">
        <f>'Raw Orders'!H30</f>
        <v/>
      </c>
      <c r="H30" s="12">
        <f>'Raw Orders'!I30</f>
        <v/>
      </c>
      <c r="I30" s="13">
        <f>'Raw Orders'!K30</f>
        <v/>
      </c>
      <c r="J30" s="13">
        <f>IF('Raw Orders'!J30,"",(YEAR('Raw Orders'!I30)-YEAR('Raw Orders'!H30))*12+MONTH('Raw Orders'!I30)-MONTH('Raw Orders'!H30))</f>
        <v/>
      </c>
      <c r="K30">
        <f>IF('Raw Orders'!J30,"Cancelled",IF('Raw Orders'!K30&gt;=2,"Slipped","On plan"))</f>
        <v/>
      </c>
      <c r="L30" s="14">
        <f>IF(K30="On plan",0,F30)</f>
        <v/>
      </c>
    </row>
    <row r="31">
      <c r="A31">
        <f>'Raw Orders'!A31</f>
        <v/>
      </c>
      <c r="B31">
        <f>'Raw Orders'!B31</f>
        <v/>
      </c>
      <c r="C31">
        <f>'Raw Orders'!C31</f>
        <v/>
      </c>
      <c r="D31" s="13">
        <f>'Raw Orders'!E31</f>
        <v/>
      </c>
      <c r="E31" s="14">
        <f>'Raw Orders'!F31</f>
        <v/>
      </c>
      <c r="F31" s="14">
        <f>'Raw Orders'!F31*0.5</f>
        <v/>
      </c>
      <c r="G31" s="12">
        <f>'Raw Orders'!H31</f>
        <v/>
      </c>
      <c r="H31" s="12">
        <f>'Raw Orders'!I31</f>
        <v/>
      </c>
      <c r="I31" s="13">
        <f>'Raw Orders'!K31</f>
        <v/>
      </c>
      <c r="J31" s="13">
        <f>IF('Raw Orders'!J31,"",(YEAR('Raw Orders'!I31)-YEAR('Raw Orders'!H31))*12+MONTH('Raw Orders'!I31)-MONTH('Raw Orders'!H31))</f>
        <v/>
      </c>
      <c r="K31">
        <f>IF('Raw Orders'!J31,"Cancelled",IF('Raw Orders'!K31&gt;=2,"Slipped","On plan"))</f>
        <v/>
      </c>
      <c r="L31" s="14">
        <f>IF(K31="On plan",0,F31)</f>
        <v/>
      </c>
    </row>
    <row r="32">
      <c r="A32">
        <f>'Raw Orders'!A32</f>
        <v/>
      </c>
      <c r="B32">
        <f>'Raw Orders'!B32</f>
        <v/>
      </c>
      <c r="C32">
        <f>'Raw Orders'!C32</f>
        <v/>
      </c>
      <c r="D32" s="13">
        <f>'Raw Orders'!E32</f>
        <v/>
      </c>
      <c r="E32" s="14">
        <f>'Raw Orders'!F32</f>
        <v/>
      </c>
      <c r="F32" s="14">
        <f>'Raw Orders'!F32*0.5</f>
        <v/>
      </c>
      <c r="G32" s="12">
        <f>'Raw Orders'!H32</f>
        <v/>
      </c>
      <c r="H32" s="12">
        <f>'Raw Orders'!I32</f>
        <v/>
      </c>
      <c r="I32" s="13">
        <f>'Raw Orders'!K32</f>
        <v/>
      </c>
      <c r="J32" s="13">
        <f>IF('Raw Orders'!J32,"",(YEAR('Raw Orders'!I32)-YEAR('Raw Orders'!H32))*12+MONTH('Raw Orders'!I32)-MONTH('Raw Orders'!H32))</f>
        <v/>
      </c>
      <c r="K32">
        <f>IF('Raw Orders'!J32,"Cancelled",IF('Raw Orders'!K32&gt;=2,"Slipped","On plan"))</f>
        <v/>
      </c>
      <c r="L32" s="14">
        <f>IF(K32="On plan",0,F32)</f>
        <v/>
      </c>
    </row>
    <row r="33">
      <c r="A33">
        <f>'Raw Orders'!A33</f>
        <v/>
      </c>
      <c r="B33">
        <f>'Raw Orders'!B33</f>
        <v/>
      </c>
      <c r="C33">
        <f>'Raw Orders'!C33</f>
        <v/>
      </c>
      <c r="D33" s="13">
        <f>'Raw Orders'!E33</f>
        <v/>
      </c>
      <c r="E33" s="14">
        <f>'Raw Orders'!F33</f>
        <v/>
      </c>
      <c r="F33" s="14">
        <f>'Raw Orders'!F33*0.5</f>
        <v/>
      </c>
      <c r="G33" s="12">
        <f>'Raw Orders'!H33</f>
        <v/>
      </c>
      <c r="H33" s="12">
        <f>'Raw Orders'!I33</f>
        <v/>
      </c>
      <c r="I33" s="13">
        <f>'Raw Orders'!K33</f>
        <v/>
      </c>
      <c r="J33" s="13">
        <f>IF('Raw Orders'!J33,"",(YEAR('Raw Orders'!I33)-YEAR('Raw Orders'!H33))*12+MONTH('Raw Orders'!I33)-MONTH('Raw Orders'!H33))</f>
        <v/>
      </c>
      <c r="K33">
        <f>IF('Raw Orders'!J33,"Cancelled",IF('Raw Orders'!K33&gt;=2,"Slipped","On plan"))</f>
        <v/>
      </c>
      <c r="L33" s="14">
        <f>IF(K33="On plan",0,F33)</f>
        <v/>
      </c>
    </row>
    <row r="34">
      <c r="A34">
        <f>'Raw Orders'!A34</f>
        <v/>
      </c>
      <c r="B34">
        <f>'Raw Orders'!B34</f>
        <v/>
      </c>
      <c r="C34">
        <f>'Raw Orders'!C34</f>
        <v/>
      </c>
      <c r="D34" s="13">
        <f>'Raw Orders'!E34</f>
        <v/>
      </c>
      <c r="E34" s="14">
        <f>'Raw Orders'!F34</f>
        <v/>
      </c>
      <c r="F34" s="14">
        <f>'Raw Orders'!F34*0.5</f>
        <v/>
      </c>
      <c r="G34" s="12">
        <f>'Raw Orders'!H34</f>
        <v/>
      </c>
      <c r="H34" s="12">
        <f>'Raw Orders'!I34</f>
        <v/>
      </c>
      <c r="I34" s="13">
        <f>'Raw Orders'!K34</f>
        <v/>
      </c>
      <c r="J34" s="13">
        <f>IF('Raw Orders'!J34,"",(YEAR('Raw Orders'!I34)-YEAR('Raw Orders'!H34))*12+MONTH('Raw Orders'!I34)-MONTH('Raw Orders'!H34))</f>
        <v/>
      </c>
      <c r="K34">
        <f>IF('Raw Orders'!J34,"Cancelled",IF('Raw Orders'!K34&gt;=2,"Slipped","On plan"))</f>
        <v/>
      </c>
      <c r="L34" s="14">
        <f>IF(K34="On plan",0,F34)</f>
        <v/>
      </c>
    </row>
    <row r="35">
      <c r="A35">
        <f>'Raw Orders'!A35</f>
        <v/>
      </c>
      <c r="B35">
        <f>'Raw Orders'!B35</f>
        <v/>
      </c>
      <c r="C35">
        <f>'Raw Orders'!C35</f>
        <v/>
      </c>
      <c r="D35" s="13">
        <f>'Raw Orders'!E35</f>
        <v/>
      </c>
      <c r="E35" s="14">
        <f>'Raw Orders'!F35</f>
        <v/>
      </c>
      <c r="F35" s="14">
        <f>'Raw Orders'!F35*0.5</f>
        <v/>
      </c>
      <c r="G35" s="12">
        <f>'Raw Orders'!H35</f>
        <v/>
      </c>
      <c r="H35" s="12">
        <f>'Raw Orders'!I35</f>
        <v/>
      </c>
      <c r="I35" s="13">
        <f>'Raw Orders'!K35</f>
        <v/>
      </c>
      <c r="J35" s="13">
        <f>IF('Raw Orders'!J35,"",(YEAR('Raw Orders'!I35)-YEAR('Raw Orders'!H35))*12+MONTH('Raw Orders'!I35)-MONTH('Raw Orders'!H35))</f>
        <v/>
      </c>
      <c r="K35">
        <f>IF('Raw Orders'!J35,"Cancelled",IF('Raw Orders'!K35&gt;=2,"Slipped","On plan"))</f>
        <v/>
      </c>
      <c r="L35" s="14">
        <f>IF(K35="On plan",0,F35)</f>
        <v/>
      </c>
    </row>
    <row r="36">
      <c r="A36">
        <f>'Raw Orders'!A36</f>
        <v/>
      </c>
      <c r="B36">
        <f>'Raw Orders'!B36</f>
        <v/>
      </c>
      <c r="C36">
        <f>'Raw Orders'!C36</f>
        <v/>
      </c>
      <c r="D36" s="13">
        <f>'Raw Orders'!E36</f>
        <v/>
      </c>
      <c r="E36" s="14">
        <f>'Raw Orders'!F36</f>
        <v/>
      </c>
      <c r="F36" s="14">
        <f>'Raw Orders'!F36*0.5</f>
        <v/>
      </c>
      <c r="G36" s="12">
        <f>'Raw Orders'!H36</f>
        <v/>
      </c>
      <c r="H36" s="12">
        <f>'Raw Orders'!I36</f>
        <v/>
      </c>
      <c r="I36" s="13">
        <f>'Raw Orders'!K36</f>
        <v/>
      </c>
      <c r="J36" s="13">
        <f>IF('Raw Orders'!J36,"",(YEAR('Raw Orders'!I36)-YEAR('Raw Orders'!H36))*12+MONTH('Raw Orders'!I36)-MONTH('Raw Orders'!H36))</f>
        <v/>
      </c>
      <c r="K36">
        <f>IF('Raw Orders'!J36,"Cancelled",IF('Raw Orders'!K36&gt;=2,"Slipped","On plan"))</f>
        <v/>
      </c>
      <c r="L36" s="14">
        <f>IF(K36="On plan",0,F36)</f>
        <v/>
      </c>
    </row>
    <row r="37">
      <c r="A37">
        <f>'Raw Orders'!A37</f>
        <v/>
      </c>
      <c r="B37">
        <f>'Raw Orders'!B37</f>
        <v/>
      </c>
      <c r="C37">
        <f>'Raw Orders'!C37</f>
        <v/>
      </c>
      <c r="D37" s="13">
        <f>'Raw Orders'!E37</f>
        <v/>
      </c>
      <c r="E37" s="14">
        <f>'Raw Orders'!F37</f>
        <v/>
      </c>
      <c r="F37" s="14">
        <f>'Raw Orders'!F37*0.5</f>
        <v/>
      </c>
      <c r="G37" s="12">
        <f>'Raw Orders'!H37</f>
        <v/>
      </c>
      <c r="H37" s="12">
        <f>'Raw Orders'!I37</f>
        <v/>
      </c>
      <c r="I37" s="13">
        <f>'Raw Orders'!K37</f>
        <v/>
      </c>
      <c r="J37" s="13">
        <f>IF('Raw Orders'!J37,"",(YEAR('Raw Orders'!I37)-YEAR('Raw Orders'!H37))*12+MONTH('Raw Orders'!I37)-MONTH('Raw Orders'!H37))</f>
        <v/>
      </c>
      <c r="K37">
        <f>IF('Raw Orders'!J37,"Cancelled",IF('Raw Orders'!K37&gt;=2,"Slipped","On plan"))</f>
        <v/>
      </c>
      <c r="L37" s="14">
        <f>IF(K37="On plan",0,F37)</f>
        <v/>
      </c>
    </row>
    <row r="38">
      <c r="A38">
        <f>'Raw Orders'!A38</f>
        <v/>
      </c>
      <c r="B38">
        <f>'Raw Orders'!B38</f>
        <v/>
      </c>
      <c r="C38">
        <f>'Raw Orders'!C38</f>
        <v/>
      </c>
      <c r="D38" s="13">
        <f>'Raw Orders'!E38</f>
        <v/>
      </c>
      <c r="E38" s="14">
        <f>'Raw Orders'!F38</f>
        <v/>
      </c>
      <c r="F38" s="14">
        <f>'Raw Orders'!F38*0.5</f>
        <v/>
      </c>
      <c r="G38" s="12">
        <f>'Raw Orders'!H38</f>
        <v/>
      </c>
      <c r="H38" s="12">
        <f>'Raw Orders'!I38</f>
        <v/>
      </c>
      <c r="I38" s="13">
        <f>'Raw Orders'!K38</f>
        <v/>
      </c>
      <c r="J38" s="13">
        <f>IF('Raw Orders'!J38,"",(YEAR('Raw Orders'!I38)-YEAR('Raw Orders'!H38))*12+MONTH('Raw Orders'!I38)-MONTH('Raw Orders'!H38))</f>
        <v/>
      </c>
      <c r="K38">
        <f>IF('Raw Orders'!J38,"Cancelled",IF('Raw Orders'!K38&gt;=2,"Slipped","On plan"))</f>
        <v/>
      </c>
      <c r="L38" s="14">
        <f>IF(K38="On plan",0,F38)</f>
        <v/>
      </c>
    </row>
    <row r="39">
      <c r="A39">
        <f>'Raw Orders'!A39</f>
        <v/>
      </c>
      <c r="B39">
        <f>'Raw Orders'!B39</f>
        <v/>
      </c>
      <c r="C39">
        <f>'Raw Orders'!C39</f>
        <v/>
      </c>
      <c r="D39" s="13">
        <f>'Raw Orders'!E39</f>
        <v/>
      </c>
      <c r="E39" s="14">
        <f>'Raw Orders'!F39</f>
        <v/>
      </c>
      <c r="F39" s="14">
        <f>'Raw Orders'!F39*0.5</f>
        <v/>
      </c>
      <c r="G39" s="12">
        <f>'Raw Orders'!H39</f>
        <v/>
      </c>
      <c r="H39" s="12">
        <f>'Raw Orders'!I39</f>
        <v/>
      </c>
      <c r="I39" s="13">
        <f>'Raw Orders'!K39</f>
        <v/>
      </c>
      <c r="J39" s="13">
        <f>IF('Raw Orders'!J39,"",(YEAR('Raw Orders'!I39)-YEAR('Raw Orders'!H39))*12+MONTH('Raw Orders'!I39)-MONTH('Raw Orders'!H39))</f>
        <v/>
      </c>
      <c r="K39">
        <f>IF('Raw Orders'!J39,"Cancelled",IF('Raw Orders'!K39&gt;=2,"Slipped","On plan"))</f>
        <v/>
      </c>
      <c r="L39" s="14">
        <f>IF(K39="On plan",0,F39)</f>
        <v/>
      </c>
    </row>
    <row r="40">
      <c r="A40">
        <f>'Raw Orders'!A40</f>
        <v/>
      </c>
      <c r="B40">
        <f>'Raw Orders'!B40</f>
        <v/>
      </c>
      <c r="C40">
        <f>'Raw Orders'!C40</f>
        <v/>
      </c>
      <c r="D40" s="13">
        <f>'Raw Orders'!E40</f>
        <v/>
      </c>
      <c r="E40" s="14">
        <f>'Raw Orders'!F40</f>
        <v/>
      </c>
      <c r="F40" s="14">
        <f>'Raw Orders'!F40*0.5</f>
        <v/>
      </c>
      <c r="G40" s="12">
        <f>'Raw Orders'!H40</f>
        <v/>
      </c>
      <c r="H40" s="12">
        <f>'Raw Orders'!I40</f>
        <v/>
      </c>
      <c r="I40" s="13">
        <f>'Raw Orders'!K40</f>
        <v/>
      </c>
      <c r="J40" s="13">
        <f>IF('Raw Orders'!J40,"",(YEAR('Raw Orders'!I40)-YEAR('Raw Orders'!H40))*12+MONTH('Raw Orders'!I40)-MONTH('Raw Orders'!H40))</f>
        <v/>
      </c>
      <c r="K40">
        <f>IF('Raw Orders'!J40,"Cancelled",IF('Raw Orders'!K40&gt;=2,"Slipped","On plan"))</f>
        <v/>
      </c>
      <c r="L40" s="14">
        <f>IF(K40="On plan",0,F40)</f>
        <v/>
      </c>
    </row>
    <row r="41">
      <c r="A41">
        <f>'Raw Orders'!A41</f>
        <v/>
      </c>
      <c r="B41">
        <f>'Raw Orders'!B41</f>
        <v/>
      </c>
      <c r="C41">
        <f>'Raw Orders'!C41</f>
        <v/>
      </c>
      <c r="D41" s="13">
        <f>'Raw Orders'!E41</f>
        <v/>
      </c>
      <c r="E41" s="14">
        <f>'Raw Orders'!F41</f>
        <v/>
      </c>
      <c r="F41" s="14">
        <f>'Raw Orders'!F41*0.5</f>
        <v/>
      </c>
      <c r="G41" s="12">
        <f>'Raw Orders'!H41</f>
        <v/>
      </c>
      <c r="H41" s="12">
        <f>'Raw Orders'!I41</f>
        <v/>
      </c>
      <c r="I41" s="13">
        <f>'Raw Orders'!K41</f>
        <v/>
      </c>
      <c r="J41" s="13">
        <f>IF('Raw Orders'!J41,"",(YEAR('Raw Orders'!I41)-YEAR('Raw Orders'!H41))*12+MONTH('Raw Orders'!I41)-MONTH('Raw Orders'!H41))</f>
        <v/>
      </c>
      <c r="K41">
        <f>IF('Raw Orders'!J41,"Cancelled",IF('Raw Orders'!K41&gt;=2,"Slipped","On plan"))</f>
        <v/>
      </c>
      <c r="L41" s="14">
        <f>IF(K41="On plan",0,F41)</f>
        <v/>
      </c>
    </row>
    <row r="42">
      <c r="A42">
        <f>'Raw Orders'!A42</f>
        <v/>
      </c>
      <c r="B42">
        <f>'Raw Orders'!B42</f>
        <v/>
      </c>
      <c r="C42">
        <f>'Raw Orders'!C42</f>
        <v/>
      </c>
      <c r="D42" s="13">
        <f>'Raw Orders'!E42</f>
        <v/>
      </c>
      <c r="E42" s="14">
        <f>'Raw Orders'!F42</f>
        <v/>
      </c>
      <c r="F42" s="14">
        <f>'Raw Orders'!F42*0.5</f>
        <v/>
      </c>
      <c r="G42" s="12">
        <f>'Raw Orders'!H42</f>
        <v/>
      </c>
      <c r="H42" s="12">
        <f>'Raw Orders'!I42</f>
        <v/>
      </c>
      <c r="I42" s="13">
        <f>'Raw Orders'!K42</f>
        <v/>
      </c>
      <c r="J42" s="13">
        <f>IF('Raw Orders'!J42,"",(YEAR('Raw Orders'!I42)-YEAR('Raw Orders'!H42))*12+MONTH('Raw Orders'!I42)-MONTH('Raw Orders'!H42))</f>
        <v/>
      </c>
      <c r="K42">
        <f>IF('Raw Orders'!J42,"Cancelled",IF('Raw Orders'!K42&gt;=2,"Slipped","On plan"))</f>
        <v/>
      </c>
      <c r="L42" s="14">
        <f>IF(K42="On plan",0,F42)</f>
        <v/>
      </c>
    </row>
    <row r="43">
      <c r="A43">
        <f>'Raw Orders'!A43</f>
        <v/>
      </c>
      <c r="B43">
        <f>'Raw Orders'!B43</f>
        <v/>
      </c>
      <c r="C43">
        <f>'Raw Orders'!C43</f>
        <v/>
      </c>
      <c r="D43" s="13">
        <f>'Raw Orders'!E43</f>
        <v/>
      </c>
      <c r="E43" s="14">
        <f>'Raw Orders'!F43</f>
        <v/>
      </c>
      <c r="F43" s="14">
        <f>'Raw Orders'!F43*0.5</f>
        <v/>
      </c>
      <c r="G43" s="12">
        <f>'Raw Orders'!H43</f>
        <v/>
      </c>
      <c r="H43" s="12">
        <f>'Raw Orders'!I43</f>
        <v/>
      </c>
      <c r="I43" s="13">
        <f>'Raw Orders'!K43</f>
        <v/>
      </c>
      <c r="J43" s="13">
        <f>IF('Raw Orders'!J43,"",(YEAR('Raw Orders'!I43)-YEAR('Raw Orders'!H43))*12+MONTH('Raw Orders'!I43)-MONTH('Raw Orders'!H43))</f>
        <v/>
      </c>
      <c r="K43">
        <f>IF('Raw Orders'!J43,"Cancelled",IF('Raw Orders'!K43&gt;=2,"Slipped","On plan"))</f>
        <v/>
      </c>
      <c r="L43" s="14">
        <f>IF(K43="On plan",0,F43)</f>
        <v/>
      </c>
    </row>
    <row r="44">
      <c r="A44">
        <f>'Raw Orders'!A44</f>
        <v/>
      </c>
      <c r="B44">
        <f>'Raw Orders'!B44</f>
        <v/>
      </c>
      <c r="C44">
        <f>'Raw Orders'!C44</f>
        <v/>
      </c>
      <c r="D44" s="13">
        <f>'Raw Orders'!E44</f>
        <v/>
      </c>
      <c r="E44" s="14">
        <f>'Raw Orders'!F44</f>
        <v/>
      </c>
      <c r="F44" s="14">
        <f>'Raw Orders'!F44*0.5</f>
        <v/>
      </c>
      <c r="G44" s="12">
        <f>'Raw Orders'!H44</f>
        <v/>
      </c>
      <c r="H44" s="12">
        <f>'Raw Orders'!I44</f>
        <v/>
      </c>
      <c r="I44" s="13">
        <f>'Raw Orders'!K44</f>
        <v/>
      </c>
      <c r="J44" s="13">
        <f>IF('Raw Orders'!J44,"",(YEAR('Raw Orders'!I44)-YEAR('Raw Orders'!H44))*12+MONTH('Raw Orders'!I44)-MONTH('Raw Orders'!H44))</f>
        <v/>
      </c>
      <c r="K44">
        <f>IF('Raw Orders'!J44,"Cancelled",IF('Raw Orders'!K44&gt;=2,"Slipped","On plan"))</f>
        <v/>
      </c>
      <c r="L44" s="14">
        <f>IF(K44="On plan",0,F44)</f>
        <v/>
      </c>
    </row>
    <row r="45">
      <c r="A45">
        <f>'Raw Orders'!A45</f>
        <v/>
      </c>
      <c r="B45">
        <f>'Raw Orders'!B45</f>
        <v/>
      </c>
      <c r="C45">
        <f>'Raw Orders'!C45</f>
        <v/>
      </c>
      <c r="D45" s="13">
        <f>'Raw Orders'!E45</f>
        <v/>
      </c>
      <c r="E45" s="14">
        <f>'Raw Orders'!F45</f>
        <v/>
      </c>
      <c r="F45" s="14">
        <f>'Raw Orders'!F45*0.5</f>
        <v/>
      </c>
      <c r="G45" s="12">
        <f>'Raw Orders'!H45</f>
        <v/>
      </c>
      <c r="H45" s="12">
        <f>'Raw Orders'!I45</f>
        <v/>
      </c>
      <c r="I45" s="13">
        <f>'Raw Orders'!K45</f>
        <v/>
      </c>
      <c r="J45" s="13">
        <f>IF('Raw Orders'!J45,"",(YEAR('Raw Orders'!I45)-YEAR('Raw Orders'!H45))*12+MONTH('Raw Orders'!I45)-MONTH('Raw Orders'!H45))</f>
        <v/>
      </c>
      <c r="K45">
        <f>IF('Raw Orders'!J45,"Cancelled",IF('Raw Orders'!K45&gt;=2,"Slipped","On plan"))</f>
        <v/>
      </c>
      <c r="L45" s="14">
        <f>IF(K45="On plan",0,F45)</f>
        <v/>
      </c>
    </row>
    <row r="46">
      <c r="A46">
        <f>'Raw Orders'!A46</f>
        <v/>
      </c>
      <c r="B46">
        <f>'Raw Orders'!B46</f>
        <v/>
      </c>
      <c r="C46">
        <f>'Raw Orders'!C46</f>
        <v/>
      </c>
      <c r="D46" s="13">
        <f>'Raw Orders'!E46</f>
        <v/>
      </c>
      <c r="E46" s="14">
        <f>'Raw Orders'!F46</f>
        <v/>
      </c>
      <c r="F46" s="14">
        <f>'Raw Orders'!F46*0.5</f>
        <v/>
      </c>
      <c r="G46" s="12">
        <f>'Raw Orders'!H46</f>
        <v/>
      </c>
      <c r="H46" s="12">
        <f>'Raw Orders'!I46</f>
        <v/>
      </c>
      <c r="I46" s="13">
        <f>'Raw Orders'!K46</f>
        <v/>
      </c>
      <c r="J46" s="13">
        <f>IF('Raw Orders'!J46,"",(YEAR('Raw Orders'!I46)-YEAR('Raw Orders'!H46))*12+MONTH('Raw Orders'!I46)-MONTH('Raw Orders'!H46))</f>
        <v/>
      </c>
      <c r="K46">
        <f>IF('Raw Orders'!J46,"Cancelled",IF('Raw Orders'!K46&gt;=2,"Slipped","On plan"))</f>
        <v/>
      </c>
      <c r="L46" s="14">
        <f>IF(K46="On plan",0,F46)</f>
        <v/>
      </c>
    </row>
    <row r="47">
      <c r="A47">
        <f>'Raw Orders'!A47</f>
        <v/>
      </c>
      <c r="B47">
        <f>'Raw Orders'!B47</f>
        <v/>
      </c>
      <c r="C47">
        <f>'Raw Orders'!C47</f>
        <v/>
      </c>
      <c r="D47" s="13">
        <f>'Raw Orders'!E47</f>
        <v/>
      </c>
      <c r="E47" s="14">
        <f>'Raw Orders'!F47</f>
        <v/>
      </c>
      <c r="F47" s="14">
        <f>'Raw Orders'!F47*0.5</f>
        <v/>
      </c>
      <c r="G47" s="12">
        <f>'Raw Orders'!H47</f>
        <v/>
      </c>
      <c r="H47" s="12">
        <f>'Raw Orders'!I47</f>
        <v/>
      </c>
      <c r="I47" s="13">
        <f>'Raw Orders'!K47</f>
        <v/>
      </c>
      <c r="J47" s="13">
        <f>IF('Raw Orders'!J47,"",(YEAR('Raw Orders'!I47)-YEAR('Raw Orders'!H47))*12+MONTH('Raw Orders'!I47)-MONTH('Raw Orders'!H47))</f>
        <v/>
      </c>
      <c r="K47">
        <f>IF('Raw Orders'!J47,"Cancelled",IF('Raw Orders'!K47&gt;=2,"Slipped","On plan"))</f>
        <v/>
      </c>
      <c r="L47" s="14">
        <f>IF(K47="On plan",0,F47)</f>
        <v/>
      </c>
    </row>
    <row r="48">
      <c r="A48">
        <f>'Raw Orders'!A48</f>
        <v/>
      </c>
      <c r="B48">
        <f>'Raw Orders'!B48</f>
        <v/>
      </c>
      <c r="C48">
        <f>'Raw Orders'!C48</f>
        <v/>
      </c>
      <c r="D48" s="13">
        <f>'Raw Orders'!E48</f>
        <v/>
      </c>
      <c r="E48" s="14">
        <f>'Raw Orders'!F48</f>
        <v/>
      </c>
      <c r="F48" s="14">
        <f>'Raw Orders'!F48*0.5</f>
        <v/>
      </c>
      <c r="G48" s="12">
        <f>'Raw Orders'!H48</f>
        <v/>
      </c>
      <c r="H48" s="12">
        <f>'Raw Orders'!I48</f>
        <v/>
      </c>
      <c r="I48" s="13">
        <f>'Raw Orders'!K48</f>
        <v/>
      </c>
      <c r="J48" s="13">
        <f>IF('Raw Orders'!J48,"",(YEAR('Raw Orders'!I48)-YEAR('Raw Orders'!H48))*12+MONTH('Raw Orders'!I48)-MONTH('Raw Orders'!H48))</f>
        <v/>
      </c>
      <c r="K48">
        <f>IF('Raw Orders'!J48,"Cancelled",IF('Raw Orders'!K48&gt;=2,"Slipped","On plan"))</f>
        <v/>
      </c>
      <c r="L48" s="14">
        <f>IF(K48="On plan",0,F48)</f>
        <v/>
      </c>
    </row>
    <row r="49">
      <c r="A49">
        <f>'Raw Orders'!A49</f>
        <v/>
      </c>
      <c r="B49">
        <f>'Raw Orders'!B49</f>
        <v/>
      </c>
      <c r="C49">
        <f>'Raw Orders'!C49</f>
        <v/>
      </c>
      <c r="D49" s="13">
        <f>'Raw Orders'!E49</f>
        <v/>
      </c>
      <c r="E49" s="14">
        <f>'Raw Orders'!F49</f>
        <v/>
      </c>
      <c r="F49" s="14">
        <f>'Raw Orders'!F49*0.5</f>
        <v/>
      </c>
      <c r="G49" s="12">
        <f>'Raw Orders'!H49</f>
        <v/>
      </c>
      <c r="H49" s="12">
        <f>'Raw Orders'!I49</f>
        <v/>
      </c>
      <c r="I49" s="13">
        <f>'Raw Orders'!K49</f>
        <v/>
      </c>
      <c r="J49" s="13">
        <f>IF('Raw Orders'!J49,"",(YEAR('Raw Orders'!I49)-YEAR('Raw Orders'!H49))*12+MONTH('Raw Orders'!I49)-MONTH('Raw Orders'!H49))</f>
        <v/>
      </c>
      <c r="K49">
        <f>IF('Raw Orders'!J49,"Cancelled",IF('Raw Orders'!K49&gt;=2,"Slipped","On plan"))</f>
        <v/>
      </c>
      <c r="L49" s="14">
        <f>IF(K49="On plan",0,F49)</f>
        <v/>
      </c>
    </row>
    <row r="50">
      <c r="A50">
        <f>'Raw Orders'!A50</f>
        <v/>
      </c>
      <c r="B50">
        <f>'Raw Orders'!B50</f>
        <v/>
      </c>
      <c r="C50">
        <f>'Raw Orders'!C50</f>
        <v/>
      </c>
      <c r="D50" s="13">
        <f>'Raw Orders'!E50</f>
        <v/>
      </c>
      <c r="E50" s="14">
        <f>'Raw Orders'!F50</f>
        <v/>
      </c>
      <c r="F50" s="14">
        <f>'Raw Orders'!F50*0.5</f>
        <v/>
      </c>
      <c r="G50" s="12">
        <f>'Raw Orders'!H50</f>
        <v/>
      </c>
      <c r="H50" s="12">
        <f>'Raw Orders'!I50</f>
        <v/>
      </c>
      <c r="I50" s="13">
        <f>'Raw Orders'!K50</f>
        <v/>
      </c>
      <c r="J50" s="13">
        <f>IF('Raw Orders'!J50,"",(YEAR('Raw Orders'!I50)-YEAR('Raw Orders'!H50))*12+MONTH('Raw Orders'!I50)-MONTH('Raw Orders'!H50))</f>
        <v/>
      </c>
      <c r="K50">
        <f>IF('Raw Orders'!J50,"Cancelled",IF('Raw Orders'!K50&gt;=2,"Slipped","On plan"))</f>
        <v/>
      </c>
      <c r="L50" s="14">
        <f>IF(K50="On plan",0,F50)</f>
        <v/>
      </c>
    </row>
    <row r="51">
      <c r="A51">
        <f>'Raw Orders'!A51</f>
        <v/>
      </c>
      <c r="B51">
        <f>'Raw Orders'!B51</f>
        <v/>
      </c>
      <c r="C51">
        <f>'Raw Orders'!C51</f>
        <v/>
      </c>
      <c r="D51" s="13">
        <f>'Raw Orders'!E51</f>
        <v/>
      </c>
      <c r="E51" s="14">
        <f>'Raw Orders'!F51</f>
        <v/>
      </c>
      <c r="F51" s="14">
        <f>'Raw Orders'!F51*0.5</f>
        <v/>
      </c>
      <c r="G51" s="12">
        <f>'Raw Orders'!H51</f>
        <v/>
      </c>
      <c r="H51" s="12">
        <f>'Raw Orders'!I51</f>
        <v/>
      </c>
      <c r="I51" s="13">
        <f>'Raw Orders'!K51</f>
        <v/>
      </c>
      <c r="J51" s="13">
        <f>IF('Raw Orders'!J51,"",(YEAR('Raw Orders'!I51)-YEAR('Raw Orders'!H51))*12+MONTH('Raw Orders'!I51)-MONTH('Raw Orders'!H51))</f>
        <v/>
      </c>
      <c r="K51">
        <f>IF('Raw Orders'!J51,"Cancelled",IF('Raw Orders'!K51&gt;=2,"Slipped","On plan"))</f>
        <v/>
      </c>
      <c r="L51" s="14">
        <f>IF(K51="On plan",0,F51)</f>
        <v/>
      </c>
    </row>
    <row r="52">
      <c r="A52">
        <f>'Raw Orders'!A52</f>
        <v/>
      </c>
      <c r="B52">
        <f>'Raw Orders'!B52</f>
        <v/>
      </c>
      <c r="C52">
        <f>'Raw Orders'!C52</f>
        <v/>
      </c>
      <c r="D52" s="13">
        <f>'Raw Orders'!E52</f>
        <v/>
      </c>
      <c r="E52" s="14">
        <f>'Raw Orders'!F52</f>
        <v/>
      </c>
      <c r="F52" s="14">
        <f>'Raw Orders'!F52*0.5</f>
        <v/>
      </c>
      <c r="G52" s="12">
        <f>'Raw Orders'!H52</f>
        <v/>
      </c>
      <c r="H52" s="12">
        <f>'Raw Orders'!I52</f>
        <v/>
      </c>
      <c r="I52" s="13">
        <f>'Raw Orders'!K52</f>
        <v/>
      </c>
      <c r="J52" s="13">
        <f>IF('Raw Orders'!J52,"",(YEAR('Raw Orders'!I52)-YEAR('Raw Orders'!H52))*12+MONTH('Raw Orders'!I52)-MONTH('Raw Orders'!H52))</f>
        <v/>
      </c>
      <c r="K52">
        <f>IF('Raw Orders'!J52,"Cancelled",IF('Raw Orders'!K52&gt;=2,"Slipped","On plan"))</f>
        <v/>
      </c>
      <c r="L52" s="14">
        <f>IF(K52="On plan",0,F52)</f>
        <v/>
      </c>
    </row>
    <row r="53">
      <c r="A53">
        <f>'Raw Orders'!A53</f>
        <v/>
      </c>
      <c r="B53">
        <f>'Raw Orders'!B53</f>
        <v/>
      </c>
      <c r="C53">
        <f>'Raw Orders'!C53</f>
        <v/>
      </c>
      <c r="D53" s="13">
        <f>'Raw Orders'!E53</f>
        <v/>
      </c>
      <c r="E53" s="14">
        <f>'Raw Orders'!F53</f>
        <v/>
      </c>
      <c r="F53" s="14">
        <f>'Raw Orders'!F53*0.5</f>
        <v/>
      </c>
      <c r="G53" s="12">
        <f>'Raw Orders'!H53</f>
        <v/>
      </c>
      <c r="H53" s="12">
        <f>'Raw Orders'!I53</f>
        <v/>
      </c>
      <c r="I53" s="13">
        <f>'Raw Orders'!K53</f>
        <v/>
      </c>
      <c r="J53" s="13">
        <f>IF('Raw Orders'!J53,"",(YEAR('Raw Orders'!I53)-YEAR('Raw Orders'!H53))*12+MONTH('Raw Orders'!I53)-MONTH('Raw Orders'!H53))</f>
        <v/>
      </c>
      <c r="K53">
        <f>IF('Raw Orders'!J53,"Cancelled",IF('Raw Orders'!K53&gt;=2,"Slipped","On plan"))</f>
        <v/>
      </c>
      <c r="L53" s="14">
        <f>IF(K53="On plan",0,F53)</f>
        <v/>
      </c>
    </row>
    <row r="54">
      <c r="A54">
        <f>'Raw Orders'!A54</f>
        <v/>
      </c>
      <c r="B54">
        <f>'Raw Orders'!B54</f>
        <v/>
      </c>
      <c r="C54">
        <f>'Raw Orders'!C54</f>
        <v/>
      </c>
      <c r="D54" s="13">
        <f>'Raw Orders'!E54</f>
        <v/>
      </c>
      <c r="E54" s="14">
        <f>'Raw Orders'!F54</f>
        <v/>
      </c>
      <c r="F54" s="14">
        <f>'Raw Orders'!F54*0.5</f>
        <v/>
      </c>
      <c r="G54" s="12">
        <f>'Raw Orders'!H54</f>
        <v/>
      </c>
      <c r="H54" s="12">
        <f>'Raw Orders'!I54</f>
        <v/>
      </c>
      <c r="I54" s="13">
        <f>'Raw Orders'!K54</f>
        <v/>
      </c>
      <c r="J54" s="13">
        <f>IF('Raw Orders'!J54,"",(YEAR('Raw Orders'!I54)-YEAR('Raw Orders'!H54))*12+MONTH('Raw Orders'!I54)-MONTH('Raw Orders'!H54))</f>
        <v/>
      </c>
      <c r="K54">
        <f>IF('Raw Orders'!J54,"Cancelled",IF('Raw Orders'!K54&gt;=2,"Slipped","On plan"))</f>
        <v/>
      </c>
      <c r="L54" s="14">
        <f>IF(K54="On plan",0,F54)</f>
        <v/>
      </c>
    </row>
    <row r="55">
      <c r="A55">
        <f>'Raw Orders'!A55</f>
        <v/>
      </c>
      <c r="B55">
        <f>'Raw Orders'!B55</f>
        <v/>
      </c>
      <c r="C55">
        <f>'Raw Orders'!C55</f>
        <v/>
      </c>
      <c r="D55" s="13">
        <f>'Raw Orders'!E55</f>
        <v/>
      </c>
      <c r="E55" s="14">
        <f>'Raw Orders'!F55</f>
        <v/>
      </c>
      <c r="F55" s="14">
        <f>'Raw Orders'!F55*0.5</f>
        <v/>
      </c>
      <c r="G55" s="12">
        <f>'Raw Orders'!H55</f>
        <v/>
      </c>
      <c r="H55" s="12">
        <f>'Raw Orders'!I55</f>
        <v/>
      </c>
      <c r="I55" s="13">
        <f>'Raw Orders'!K55</f>
        <v/>
      </c>
      <c r="J55" s="13">
        <f>IF('Raw Orders'!J55,"",(YEAR('Raw Orders'!I55)-YEAR('Raw Orders'!H55))*12+MONTH('Raw Orders'!I55)-MONTH('Raw Orders'!H55))</f>
        <v/>
      </c>
      <c r="K55">
        <f>IF('Raw Orders'!J55,"Cancelled",IF('Raw Orders'!K55&gt;=2,"Slipped","On plan"))</f>
        <v/>
      </c>
      <c r="L55" s="14">
        <f>IF(K55="On plan",0,F55)</f>
        <v/>
      </c>
    </row>
    <row r="56">
      <c r="A56">
        <f>'Raw Orders'!A56</f>
        <v/>
      </c>
      <c r="B56">
        <f>'Raw Orders'!B56</f>
        <v/>
      </c>
      <c r="C56">
        <f>'Raw Orders'!C56</f>
        <v/>
      </c>
      <c r="D56" s="13">
        <f>'Raw Orders'!E56</f>
        <v/>
      </c>
      <c r="E56" s="14">
        <f>'Raw Orders'!F56</f>
        <v/>
      </c>
      <c r="F56" s="14">
        <f>'Raw Orders'!F56*0.5</f>
        <v/>
      </c>
      <c r="G56" s="12">
        <f>'Raw Orders'!H56</f>
        <v/>
      </c>
      <c r="H56" s="12">
        <f>'Raw Orders'!I56</f>
        <v/>
      </c>
      <c r="I56" s="13">
        <f>'Raw Orders'!K56</f>
        <v/>
      </c>
      <c r="J56" s="13">
        <f>IF('Raw Orders'!J56,"",(YEAR('Raw Orders'!I56)-YEAR('Raw Orders'!H56))*12+MONTH('Raw Orders'!I56)-MONTH('Raw Orders'!H56))</f>
        <v/>
      </c>
      <c r="K56">
        <f>IF('Raw Orders'!J56,"Cancelled",IF('Raw Orders'!K56&gt;=2,"Slipped","On plan"))</f>
        <v/>
      </c>
      <c r="L56" s="14">
        <f>IF(K56="On plan",0,F56)</f>
        <v/>
      </c>
    </row>
    <row r="57">
      <c r="A57">
        <f>'Raw Orders'!A57</f>
        <v/>
      </c>
      <c r="B57">
        <f>'Raw Orders'!B57</f>
        <v/>
      </c>
      <c r="C57">
        <f>'Raw Orders'!C57</f>
        <v/>
      </c>
      <c r="D57" s="13">
        <f>'Raw Orders'!E57</f>
        <v/>
      </c>
      <c r="E57" s="14">
        <f>'Raw Orders'!F57</f>
        <v/>
      </c>
      <c r="F57" s="14">
        <f>'Raw Orders'!F57*0.5</f>
        <v/>
      </c>
      <c r="G57" s="12">
        <f>'Raw Orders'!H57</f>
        <v/>
      </c>
      <c r="H57" s="12">
        <f>'Raw Orders'!I57</f>
        <v/>
      </c>
      <c r="I57" s="13">
        <f>'Raw Orders'!K57</f>
        <v/>
      </c>
      <c r="J57" s="13">
        <f>IF('Raw Orders'!J57,"",(YEAR('Raw Orders'!I57)-YEAR('Raw Orders'!H57))*12+MONTH('Raw Orders'!I57)-MONTH('Raw Orders'!H57))</f>
        <v/>
      </c>
      <c r="K57">
        <f>IF('Raw Orders'!J57,"Cancelled",IF('Raw Orders'!K57&gt;=2,"Slipped","On plan"))</f>
        <v/>
      </c>
      <c r="L57" s="14">
        <f>IF(K57="On plan",0,F57)</f>
        <v/>
      </c>
    </row>
    <row r="58">
      <c r="A58">
        <f>'Raw Orders'!A58</f>
        <v/>
      </c>
      <c r="B58">
        <f>'Raw Orders'!B58</f>
        <v/>
      </c>
      <c r="C58">
        <f>'Raw Orders'!C58</f>
        <v/>
      </c>
      <c r="D58" s="13">
        <f>'Raw Orders'!E58</f>
        <v/>
      </c>
      <c r="E58" s="14">
        <f>'Raw Orders'!F58</f>
        <v/>
      </c>
      <c r="F58" s="14">
        <f>'Raw Orders'!F58*0.5</f>
        <v/>
      </c>
      <c r="G58" s="12">
        <f>'Raw Orders'!H58</f>
        <v/>
      </c>
      <c r="H58" s="12">
        <f>'Raw Orders'!I58</f>
        <v/>
      </c>
      <c r="I58" s="13">
        <f>'Raw Orders'!K58</f>
        <v/>
      </c>
      <c r="J58" s="13">
        <f>IF('Raw Orders'!J58,"",(YEAR('Raw Orders'!I58)-YEAR('Raw Orders'!H58))*12+MONTH('Raw Orders'!I58)-MONTH('Raw Orders'!H58))</f>
        <v/>
      </c>
      <c r="K58">
        <f>IF('Raw Orders'!J58,"Cancelled",IF('Raw Orders'!K58&gt;=2,"Slipped","On plan"))</f>
        <v/>
      </c>
      <c r="L58" s="14">
        <f>IF(K58="On plan",0,F58)</f>
        <v/>
      </c>
    </row>
    <row r="59">
      <c r="A59">
        <f>'Raw Orders'!A59</f>
        <v/>
      </c>
      <c r="B59">
        <f>'Raw Orders'!B59</f>
        <v/>
      </c>
      <c r="C59">
        <f>'Raw Orders'!C59</f>
        <v/>
      </c>
      <c r="D59" s="13">
        <f>'Raw Orders'!E59</f>
        <v/>
      </c>
      <c r="E59" s="14">
        <f>'Raw Orders'!F59</f>
        <v/>
      </c>
      <c r="F59" s="14">
        <f>'Raw Orders'!F59*0.5</f>
        <v/>
      </c>
      <c r="G59" s="12">
        <f>'Raw Orders'!H59</f>
        <v/>
      </c>
      <c r="H59" s="12">
        <f>'Raw Orders'!I59</f>
        <v/>
      </c>
      <c r="I59" s="13">
        <f>'Raw Orders'!K59</f>
        <v/>
      </c>
      <c r="J59" s="13">
        <f>IF('Raw Orders'!J59,"",(YEAR('Raw Orders'!I59)-YEAR('Raw Orders'!H59))*12+MONTH('Raw Orders'!I59)-MONTH('Raw Orders'!H59))</f>
        <v/>
      </c>
      <c r="K59">
        <f>IF('Raw Orders'!J59,"Cancelled",IF('Raw Orders'!K59&gt;=2,"Slipped","On plan"))</f>
        <v/>
      </c>
      <c r="L59" s="14">
        <f>IF(K59="On plan",0,F59)</f>
        <v/>
      </c>
    </row>
    <row r="60">
      <c r="A60">
        <f>'Raw Orders'!A60</f>
        <v/>
      </c>
      <c r="B60">
        <f>'Raw Orders'!B60</f>
        <v/>
      </c>
      <c r="C60">
        <f>'Raw Orders'!C60</f>
        <v/>
      </c>
      <c r="D60" s="13">
        <f>'Raw Orders'!E60</f>
        <v/>
      </c>
      <c r="E60" s="14">
        <f>'Raw Orders'!F60</f>
        <v/>
      </c>
      <c r="F60" s="14">
        <f>'Raw Orders'!F60*0.5</f>
        <v/>
      </c>
      <c r="G60" s="12">
        <f>'Raw Orders'!H60</f>
        <v/>
      </c>
      <c r="H60" s="12">
        <f>'Raw Orders'!I60</f>
        <v/>
      </c>
      <c r="I60" s="13">
        <f>'Raw Orders'!K60</f>
        <v/>
      </c>
      <c r="J60" s="13">
        <f>IF('Raw Orders'!J60,"",(YEAR('Raw Orders'!I60)-YEAR('Raw Orders'!H60))*12+MONTH('Raw Orders'!I60)-MONTH('Raw Orders'!H60))</f>
        <v/>
      </c>
      <c r="K60">
        <f>IF('Raw Orders'!J60,"Cancelled",IF('Raw Orders'!K60&gt;=2,"Slipped","On plan"))</f>
        <v/>
      </c>
      <c r="L60" s="14">
        <f>IF(K60="On plan",0,F60)</f>
        <v/>
      </c>
    </row>
    <row r="61">
      <c r="A61">
        <f>'Raw Orders'!A61</f>
        <v/>
      </c>
      <c r="B61">
        <f>'Raw Orders'!B61</f>
        <v/>
      </c>
      <c r="C61">
        <f>'Raw Orders'!C61</f>
        <v/>
      </c>
      <c r="D61" s="13">
        <f>'Raw Orders'!E61</f>
        <v/>
      </c>
      <c r="E61" s="14">
        <f>'Raw Orders'!F61</f>
        <v/>
      </c>
      <c r="F61" s="14">
        <f>'Raw Orders'!F61*0.5</f>
        <v/>
      </c>
      <c r="G61" s="12">
        <f>'Raw Orders'!H61</f>
        <v/>
      </c>
      <c r="H61" s="12">
        <f>'Raw Orders'!I61</f>
        <v/>
      </c>
      <c r="I61" s="13">
        <f>'Raw Orders'!K61</f>
        <v/>
      </c>
      <c r="J61" s="13">
        <f>IF('Raw Orders'!J61,"",(YEAR('Raw Orders'!I61)-YEAR('Raw Orders'!H61))*12+MONTH('Raw Orders'!I61)-MONTH('Raw Orders'!H61))</f>
        <v/>
      </c>
      <c r="K61">
        <f>IF('Raw Orders'!J61,"Cancelled",IF('Raw Orders'!K61&gt;=2,"Slipped","On plan"))</f>
        <v/>
      </c>
      <c r="L61" s="14">
        <f>IF(K61="On plan",0,F61)</f>
        <v/>
      </c>
    </row>
    <row r="62">
      <c r="A62">
        <f>'Raw Orders'!A62</f>
        <v/>
      </c>
      <c r="B62">
        <f>'Raw Orders'!B62</f>
        <v/>
      </c>
      <c r="C62">
        <f>'Raw Orders'!C62</f>
        <v/>
      </c>
      <c r="D62" s="13">
        <f>'Raw Orders'!E62</f>
        <v/>
      </c>
      <c r="E62" s="14">
        <f>'Raw Orders'!F62</f>
        <v/>
      </c>
      <c r="F62" s="14">
        <f>'Raw Orders'!F62*0.5</f>
        <v/>
      </c>
      <c r="G62" s="12">
        <f>'Raw Orders'!H62</f>
        <v/>
      </c>
      <c r="H62" s="12">
        <f>'Raw Orders'!I62</f>
        <v/>
      </c>
      <c r="I62" s="13">
        <f>'Raw Orders'!K62</f>
        <v/>
      </c>
      <c r="J62" s="13">
        <f>IF('Raw Orders'!J62,"",(YEAR('Raw Orders'!I62)-YEAR('Raw Orders'!H62))*12+MONTH('Raw Orders'!I62)-MONTH('Raw Orders'!H62))</f>
        <v/>
      </c>
      <c r="K62">
        <f>IF('Raw Orders'!J62,"Cancelled",IF('Raw Orders'!K62&gt;=2,"Slipped","On plan"))</f>
        <v/>
      </c>
      <c r="L62" s="14">
        <f>IF(K62="On plan",0,F62)</f>
        <v/>
      </c>
    </row>
    <row r="63">
      <c r="A63">
        <f>'Raw Orders'!A63</f>
        <v/>
      </c>
      <c r="B63">
        <f>'Raw Orders'!B63</f>
        <v/>
      </c>
      <c r="C63">
        <f>'Raw Orders'!C63</f>
        <v/>
      </c>
      <c r="D63" s="13">
        <f>'Raw Orders'!E63</f>
        <v/>
      </c>
      <c r="E63" s="14">
        <f>'Raw Orders'!F63</f>
        <v/>
      </c>
      <c r="F63" s="14">
        <f>'Raw Orders'!F63*0.5</f>
        <v/>
      </c>
      <c r="G63" s="12">
        <f>'Raw Orders'!H63</f>
        <v/>
      </c>
      <c r="H63" s="12">
        <f>'Raw Orders'!I63</f>
        <v/>
      </c>
      <c r="I63" s="13">
        <f>'Raw Orders'!K63</f>
        <v/>
      </c>
      <c r="J63" s="13">
        <f>IF('Raw Orders'!J63,"",(YEAR('Raw Orders'!I63)-YEAR('Raw Orders'!H63))*12+MONTH('Raw Orders'!I63)-MONTH('Raw Orders'!H63))</f>
        <v/>
      </c>
      <c r="K63">
        <f>IF('Raw Orders'!J63,"Cancelled",IF('Raw Orders'!K63&gt;=2,"Slipped","On plan"))</f>
        <v/>
      </c>
      <c r="L63" s="14">
        <f>IF(K63="On plan",0,F63)</f>
        <v/>
      </c>
    </row>
    <row r="64">
      <c r="A64">
        <f>'Raw Orders'!A64</f>
        <v/>
      </c>
      <c r="B64">
        <f>'Raw Orders'!B64</f>
        <v/>
      </c>
      <c r="C64">
        <f>'Raw Orders'!C64</f>
        <v/>
      </c>
      <c r="D64" s="13">
        <f>'Raw Orders'!E64</f>
        <v/>
      </c>
      <c r="E64" s="14">
        <f>'Raw Orders'!F64</f>
        <v/>
      </c>
      <c r="F64" s="14">
        <f>'Raw Orders'!F64*0.5</f>
        <v/>
      </c>
      <c r="G64" s="12">
        <f>'Raw Orders'!H64</f>
        <v/>
      </c>
      <c r="H64" s="12">
        <f>'Raw Orders'!I64</f>
        <v/>
      </c>
      <c r="I64" s="13">
        <f>'Raw Orders'!K64</f>
        <v/>
      </c>
      <c r="J64" s="13">
        <f>IF('Raw Orders'!J64,"",(YEAR('Raw Orders'!I64)-YEAR('Raw Orders'!H64))*12+MONTH('Raw Orders'!I64)-MONTH('Raw Orders'!H64))</f>
        <v/>
      </c>
      <c r="K64">
        <f>IF('Raw Orders'!J64,"Cancelled",IF('Raw Orders'!K64&gt;=2,"Slipped","On plan"))</f>
        <v/>
      </c>
      <c r="L64" s="14">
        <f>IF(K64="On plan",0,F64)</f>
        <v/>
      </c>
    </row>
    <row r="65">
      <c r="A65">
        <f>'Raw Orders'!A65</f>
        <v/>
      </c>
      <c r="B65">
        <f>'Raw Orders'!B65</f>
        <v/>
      </c>
      <c r="C65">
        <f>'Raw Orders'!C65</f>
        <v/>
      </c>
      <c r="D65" s="13">
        <f>'Raw Orders'!E65</f>
        <v/>
      </c>
      <c r="E65" s="14">
        <f>'Raw Orders'!F65</f>
        <v/>
      </c>
      <c r="F65" s="14">
        <f>'Raw Orders'!F65*0.5</f>
        <v/>
      </c>
      <c r="G65" s="12">
        <f>'Raw Orders'!H65</f>
        <v/>
      </c>
      <c r="H65" s="12">
        <f>'Raw Orders'!I65</f>
        <v/>
      </c>
      <c r="I65" s="13">
        <f>'Raw Orders'!K65</f>
        <v/>
      </c>
      <c r="J65" s="13">
        <f>IF('Raw Orders'!J65,"",(YEAR('Raw Orders'!I65)-YEAR('Raw Orders'!H65))*12+MONTH('Raw Orders'!I65)-MONTH('Raw Orders'!H65))</f>
        <v/>
      </c>
      <c r="K65">
        <f>IF('Raw Orders'!J65,"Cancelled",IF('Raw Orders'!K65&gt;=2,"Slipped","On plan"))</f>
        <v/>
      </c>
      <c r="L65" s="14">
        <f>IF(K65="On plan",0,F65)</f>
        <v/>
      </c>
    </row>
    <row r="66">
      <c r="A66">
        <f>'Raw Orders'!A66</f>
        <v/>
      </c>
      <c r="B66">
        <f>'Raw Orders'!B66</f>
        <v/>
      </c>
      <c r="C66">
        <f>'Raw Orders'!C66</f>
        <v/>
      </c>
      <c r="D66" s="13">
        <f>'Raw Orders'!E66</f>
        <v/>
      </c>
      <c r="E66" s="14">
        <f>'Raw Orders'!F66</f>
        <v/>
      </c>
      <c r="F66" s="14">
        <f>'Raw Orders'!F66*0.5</f>
        <v/>
      </c>
      <c r="G66" s="12">
        <f>'Raw Orders'!H66</f>
        <v/>
      </c>
      <c r="H66" s="12">
        <f>'Raw Orders'!I66</f>
        <v/>
      </c>
      <c r="I66" s="13">
        <f>'Raw Orders'!K66</f>
        <v/>
      </c>
      <c r="J66" s="13">
        <f>IF('Raw Orders'!J66,"",(YEAR('Raw Orders'!I66)-YEAR('Raw Orders'!H66))*12+MONTH('Raw Orders'!I66)-MONTH('Raw Orders'!H66))</f>
        <v/>
      </c>
      <c r="K66">
        <f>IF('Raw Orders'!J66,"Cancelled",IF('Raw Orders'!K66&gt;=2,"Slipped","On plan"))</f>
        <v/>
      </c>
      <c r="L66" s="14">
        <f>IF(K66="On plan",0,F66)</f>
        <v/>
      </c>
    </row>
    <row r="67">
      <c r="A67">
        <f>'Raw Orders'!A67</f>
        <v/>
      </c>
      <c r="B67">
        <f>'Raw Orders'!B67</f>
        <v/>
      </c>
      <c r="C67">
        <f>'Raw Orders'!C67</f>
        <v/>
      </c>
      <c r="D67" s="13">
        <f>'Raw Orders'!E67</f>
        <v/>
      </c>
      <c r="E67" s="14">
        <f>'Raw Orders'!F67</f>
        <v/>
      </c>
      <c r="F67" s="14">
        <f>'Raw Orders'!F67*0.5</f>
        <v/>
      </c>
      <c r="G67" s="12">
        <f>'Raw Orders'!H67</f>
        <v/>
      </c>
      <c r="H67" s="12">
        <f>'Raw Orders'!I67</f>
        <v/>
      </c>
      <c r="I67" s="13">
        <f>'Raw Orders'!K67</f>
        <v/>
      </c>
      <c r="J67" s="13">
        <f>IF('Raw Orders'!J67,"",(YEAR('Raw Orders'!I67)-YEAR('Raw Orders'!H67))*12+MONTH('Raw Orders'!I67)-MONTH('Raw Orders'!H67))</f>
        <v/>
      </c>
      <c r="K67">
        <f>IF('Raw Orders'!J67,"Cancelled",IF('Raw Orders'!K67&gt;=2,"Slipped","On plan"))</f>
        <v/>
      </c>
      <c r="L67" s="14">
        <f>IF(K67="On plan",0,F67)</f>
        <v/>
      </c>
    </row>
    <row r="68">
      <c r="A68">
        <f>'Raw Orders'!A68</f>
        <v/>
      </c>
      <c r="B68">
        <f>'Raw Orders'!B68</f>
        <v/>
      </c>
      <c r="C68">
        <f>'Raw Orders'!C68</f>
        <v/>
      </c>
      <c r="D68" s="13">
        <f>'Raw Orders'!E68</f>
        <v/>
      </c>
      <c r="E68" s="14">
        <f>'Raw Orders'!F68</f>
        <v/>
      </c>
      <c r="F68" s="14">
        <f>'Raw Orders'!F68*0.5</f>
        <v/>
      </c>
      <c r="G68" s="12">
        <f>'Raw Orders'!H68</f>
        <v/>
      </c>
      <c r="H68" s="12">
        <f>'Raw Orders'!I68</f>
        <v/>
      </c>
      <c r="I68" s="13">
        <f>'Raw Orders'!K68</f>
        <v/>
      </c>
      <c r="J68" s="13">
        <f>IF('Raw Orders'!J68,"",(YEAR('Raw Orders'!I68)-YEAR('Raw Orders'!H68))*12+MONTH('Raw Orders'!I68)-MONTH('Raw Orders'!H68))</f>
        <v/>
      </c>
      <c r="K68">
        <f>IF('Raw Orders'!J68,"Cancelled",IF('Raw Orders'!K68&gt;=2,"Slipped","On plan"))</f>
        <v/>
      </c>
      <c r="L68" s="14">
        <f>IF(K68="On plan",0,F68)</f>
        <v/>
      </c>
    </row>
    <row r="69">
      <c r="A69">
        <f>'Raw Orders'!A69</f>
        <v/>
      </c>
      <c r="B69">
        <f>'Raw Orders'!B69</f>
        <v/>
      </c>
      <c r="C69">
        <f>'Raw Orders'!C69</f>
        <v/>
      </c>
      <c r="D69" s="13">
        <f>'Raw Orders'!E69</f>
        <v/>
      </c>
      <c r="E69" s="14">
        <f>'Raw Orders'!F69</f>
        <v/>
      </c>
      <c r="F69" s="14">
        <f>'Raw Orders'!F69*0.5</f>
        <v/>
      </c>
      <c r="G69" s="12">
        <f>'Raw Orders'!H69</f>
        <v/>
      </c>
      <c r="H69" s="12">
        <f>'Raw Orders'!I69</f>
        <v/>
      </c>
      <c r="I69" s="13">
        <f>'Raw Orders'!K69</f>
        <v/>
      </c>
      <c r="J69" s="13">
        <f>IF('Raw Orders'!J69,"",(YEAR('Raw Orders'!I69)-YEAR('Raw Orders'!H69))*12+MONTH('Raw Orders'!I69)-MONTH('Raw Orders'!H69))</f>
        <v/>
      </c>
      <c r="K69">
        <f>IF('Raw Orders'!J69,"Cancelled",IF('Raw Orders'!K69&gt;=2,"Slipped","On plan"))</f>
        <v/>
      </c>
      <c r="L69" s="14">
        <f>IF(K69="On plan",0,F69)</f>
        <v/>
      </c>
    </row>
    <row r="70">
      <c r="A70">
        <f>'Raw Orders'!A70</f>
        <v/>
      </c>
      <c r="B70">
        <f>'Raw Orders'!B70</f>
        <v/>
      </c>
      <c r="C70">
        <f>'Raw Orders'!C70</f>
        <v/>
      </c>
      <c r="D70" s="13">
        <f>'Raw Orders'!E70</f>
        <v/>
      </c>
      <c r="E70" s="14">
        <f>'Raw Orders'!F70</f>
        <v/>
      </c>
      <c r="F70" s="14">
        <f>'Raw Orders'!F70*0.5</f>
        <v/>
      </c>
      <c r="G70" s="12">
        <f>'Raw Orders'!H70</f>
        <v/>
      </c>
      <c r="H70" s="12">
        <f>'Raw Orders'!I70</f>
        <v/>
      </c>
      <c r="I70" s="13">
        <f>'Raw Orders'!K70</f>
        <v/>
      </c>
      <c r="J70" s="13">
        <f>IF('Raw Orders'!J70,"",(YEAR('Raw Orders'!I70)-YEAR('Raw Orders'!H70))*12+MONTH('Raw Orders'!I70)-MONTH('Raw Orders'!H70))</f>
        <v/>
      </c>
      <c r="K70">
        <f>IF('Raw Orders'!J70,"Cancelled",IF('Raw Orders'!K70&gt;=2,"Slipped","On plan"))</f>
        <v/>
      </c>
      <c r="L70" s="14">
        <f>IF(K70="On plan",0,F70)</f>
        <v/>
      </c>
    </row>
    <row r="71">
      <c r="A71">
        <f>'Raw Orders'!A71</f>
        <v/>
      </c>
      <c r="B71">
        <f>'Raw Orders'!B71</f>
        <v/>
      </c>
      <c r="C71">
        <f>'Raw Orders'!C71</f>
        <v/>
      </c>
      <c r="D71" s="13">
        <f>'Raw Orders'!E71</f>
        <v/>
      </c>
      <c r="E71" s="14">
        <f>'Raw Orders'!F71</f>
        <v/>
      </c>
      <c r="F71" s="14">
        <f>'Raw Orders'!F71*0.5</f>
        <v/>
      </c>
      <c r="G71" s="12">
        <f>'Raw Orders'!H71</f>
        <v/>
      </c>
      <c r="H71" s="12">
        <f>'Raw Orders'!I71</f>
        <v/>
      </c>
      <c r="I71" s="13">
        <f>'Raw Orders'!K71</f>
        <v/>
      </c>
      <c r="J71" s="13">
        <f>IF('Raw Orders'!J71,"",(YEAR('Raw Orders'!I71)-YEAR('Raw Orders'!H71))*12+MONTH('Raw Orders'!I71)-MONTH('Raw Orders'!H71))</f>
        <v/>
      </c>
      <c r="K71">
        <f>IF('Raw Orders'!J71,"Cancelled",IF('Raw Orders'!K71&gt;=2,"Slipped","On plan"))</f>
        <v/>
      </c>
      <c r="L71" s="14">
        <f>IF(K71="On plan",0,F71)</f>
        <v/>
      </c>
    </row>
    <row r="72">
      <c r="A72">
        <f>'Raw Orders'!A72</f>
        <v/>
      </c>
      <c r="B72">
        <f>'Raw Orders'!B72</f>
        <v/>
      </c>
      <c r="C72">
        <f>'Raw Orders'!C72</f>
        <v/>
      </c>
      <c r="D72" s="13">
        <f>'Raw Orders'!E72</f>
        <v/>
      </c>
      <c r="E72" s="14">
        <f>'Raw Orders'!F72</f>
        <v/>
      </c>
      <c r="F72" s="14">
        <f>'Raw Orders'!F72*0.5</f>
        <v/>
      </c>
      <c r="G72" s="12">
        <f>'Raw Orders'!H72</f>
        <v/>
      </c>
      <c r="H72" s="12">
        <f>'Raw Orders'!I72</f>
        <v/>
      </c>
      <c r="I72" s="13">
        <f>'Raw Orders'!K72</f>
        <v/>
      </c>
      <c r="J72" s="13">
        <f>IF('Raw Orders'!J72,"",(YEAR('Raw Orders'!I72)-YEAR('Raw Orders'!H72))*12+MONTH('Raw Orders'!I72)-MONTH('Raw Orders'!H72))</f>
        <v/>
      </c>
      <c r="K72">
        <f>IF('Raw Orders'!J72,"Cancelled",IF('Raw Orders'!K72&gt;=2,"Slipped","On plan"))</f>
        <v/>
      </c>
      <c r="L72" s="14">
        <f>IF(K72="On plan",0,F72)</f>
        <v/>
      </c>
    </row>
    <row r="73">
      <c r="A73">
        <f>'Raw Orders'!A73</f>
        <v/>
      </c>
      <c r="B73">
        <f>'Raw Orders'!B73</f>
        <v/>
      </c>
      <c r="C73">
        <f>'Raw Orders'!C73</f>
        <v/>
      </c>
      <c r="D73" s="13">
        <f>'Raw Orders'!E73</f>
        <v/>
      </c>
      <c r="E73" s="14">
        <f>'Raw Orders'!F73</f>
        <v/>
      </c>
      <c r="F73" s="14">
        <f>'Raw Orders'!F73*0.5</f>
        <v/>
      </c>
      <c r="G73" s="12">
        <f>'Raw Orders'!H73</f>
        <v/>
      </c>
      <c r="H73" s="12">
        <f>'Raw Orders'!I73</f>
        <v/>
      </c>
      <c r="I73" s="13">
        <f>'Raw Orders'!K73</f>
        <v/>
      </c>
      <c r="J73" s="13">
        <f>IF('Raw Orders'!J73,"",(YEAR('Raw Orders'!I73)-YEAR('Raw Orders'!H73))*12+MONTH('Raw Orders'!I73)-MONTH('Raw Orders'!H73))</f>
        <v/>
      </c>
      <c r="K73">
        <f>IF('Raw Orders'!J73,"Cancelled",IF('Raw Orders'!K73&gt;=2,"Slipped","On plan"))</f>
        <v/>
      </c>
      <c r="L73" s="14">
        <f>IF(K73="On plan",0,F73)</f>
        <v/>
      </c>
    </row>
    <row r="74">
      <c r="A74">
        <f>'Raw Orders'!A74</f>
        <v/>
      </c>
      <c r="B74">
        <f>'Raw Orders'!B74</f>
        <v/>
      </c>
      <c r="C74">
        <f>'Raw Orders'!C74</f>
        <v/>
      </c>
      <c r="D74" s="13">
        <f>'Raw Orders'!E74</f>
        <v/>
      </c>
      <c r="E74" s="14">
        <f>'Raw Orders'!F74</f>
        <v/>
      </c>
      <c r="F74" s="14">
        <f>'Raw Orders'!F74*0.5</f>
        <v/>
      </c>
      <c r="G74" s="12">
        <f>'Raw Orders'!H74</f>
        <v/>
      </c>
      <c r="H74" s="12">
        <f>'Raw Orders'!I74</f>
        <v/>
      </c>
      <c r="I74" s="13">
        <f>'Raw Orders'!K74</f>
        <v/>
      </c>
      <c r="J74" s="13">
        <f>IF('Raw Orders'!J74,"",(YEAR('Raw Orders'!I74)-YEAR('Raw Orders'!H74))*12+MONTH('Raw Orders'!I74)-MONTH('Raw Orders'!H74))</f>
        <v/>
      </c>
      <c r="K74">
        <f>IF('Raw Orders'!J74,"Cancelled",IF('Raw Orders'!K74&gt;=2,"Slipped","On plan"))</f>
        <v/>
      </c>
      <c r="L74" s="14">
        <f>IF(K74="On plan",0,F74)</f>
        <v/>
      </c>
    </row>
    <row r="75">
      <c r="A75">
        <f>'Raw Orders'!A75</f>
        <v/>
      </c>
      <c r="B75">
        <f>'Raw Orders'!B75</f>
        <v/>
      </c>
      <c r="C75">
        <f>'Raw Orders'!C75</f>
        <v/>
      </c>
      <c r="D75" s="13">
        <f>'Raw Orders'!E75</f>
        <v/>
      </c>
      <c r="E75" s="14">
        <f>'Raw Orders'!F75</f>
        <v/>
      </c>
      <c r="F75" s="14">
        <f>'Raw Orders'!F75*0.5</f>
        <v/>
      </c>
      <c r="G75" s="12">
        <f>'Raw Orders'!H75</f>
        <v/>
      </c>
      <c r="H75" s="12">
        <f>'Raw Orders'!I75</f>
        <v/>
      </c>
      <c r="I75" s="13">
        <f>'Raw Orders'!K75</f>
        <v/>
      </c>
      <c r="J75" s="13">
        <f>IF('Raw Orders'!J75,"",(YEAR('Raw Orders'!I75)-YEAR('Raw Orders'!H75))*12+MONTH('Raw Orders'!I75)-MONTH('Raw Orders'!H75))</f>
        <v/>
      </c>
      <c r="K75">
        <f>IF('Raw Orders'!J75,"Cancelled",IF('Raw Orders'!K75&gt;=2,"Slipped","On plan"))</f>
        <v/>
      </c>
      <c r="L75" s="14">
        <f>IF(K75="On plan",0,F75)</f>
        <v/>
      </c>
    </row>
    <row r="76">
      <c r="A76">
        <f>'Raw Orders'!A76</f>
        <v/>
      </c>
      <c r="B76">
        <f>'Raw Orders'!B76</f>
        <v/>
      </c>
      <c r="C76">
        <f>'Raw Orders'!C76</f>
        <v/>
      </c>
      <c r="D76" s="13">
        <f>'Raw Orders'!E76</f>
        <v/>
      </c>
      <c r="E76" s="14">
        <f>'Raw Orders'!F76</f>
        <v/>
      </c>
      <c r="F76" s="14">
        <f>'Raw Orders'!F76*0.5</f>
        <v/>
      </c>
      <c r="G76" s="12">
        <f>'Raw Orders'!H76</f>
        <v/>
      </c>
      <c r="H76" s="12">
        <f>'Raw Orders'!I76</f>
        <v/>
      </c>
      <c r="I76" s="13">
        <f>'Raw Orders'!K76</f>
        <v/>
      </c>
      <c r="J76" s="13">
        <f>IF('Raw Orders'!J76,"",(YEAR('Raw Orders'!I76)-YEAR('Raw Orders'!H76))*12+MONTH('Raw Orders'!I76)-MONTH('Raw Orders'!H76))</f>
        <v/>
      </c>
      <c r="K76">
        <f>IF('Raw Orders'!J76,"Cancelled",IF('Raw Orders'!K76&gt;=2,"Slipped","On plan"))</f>
        <v/>
      </c>
      <c r="L76" s="14">
        <f>IF(K76="On plan",0,F76)</f>
        <v/>
      </c>
    </row>
    <row r="77">
      <c r="A77">
        <f>'Raw Orders'!A77</f>
        <v/>
      </c>
      <c r="B77">
        <f>'Raw Orders'!B77</f>
        <v/>
      </c>
      <c r="C77">
        <f>'Raw Orders'!C77</f>
        <v/>
      </c>
      <c r="D77" s="13">
        <f>'Raw Orders'!E77</f>
        <v/>
      </c>
      <c r="E77" s="14">
        <f>'Raw Orders'!F77</f>
        <v/>
      </c>
      <c r="F77" s="14">
        <f>'Raw Orders'!F77*0.5</f>
        <v/>
      </c>
      <c r="G77" s="12">
        <f>'Raw Orders'!H77</f>
        <v/>
      </c>
      <c r="H77" s="12">
        <f>'Raw Orders'!I77</f>
        <v/>
      </c>
      <c r="I77" s="13">
        <f>'Raw Orders'!K77</f>
        <v/>
      </c>
      <c r="J77" s="13">
        <f>IF('Raw Orders'!J77,"",(YEAR('Raw Orders'!I77)-YEAR('Raw Orders'!H77))*12+MONTH('Raw Orders'!I77)-MONTH('Raw Orders'!H77))</f>
        <v/>
      </c>
      <c r="K77">
        <f>IF('Raw Orders'!J77,"Cancelled",IF('Raw Orders'!K77&gt;=2,"Slipped","On plan"))</f>
        <v/>
      </c>
      <c r="L77" s="14">
        <f>IF(K77="On plan",0,F77)</f>
        <v/>
      </c>
    </row>
    <row r="78">
      <c r="A78">
        <f>'Raw Orders'!A78</f>
        <v/>
      </c>
      <c r="B78">
        <f>'Raw Orders'!B78</f>
        <v/>
      </c>
      <c r="C78">
        <f>'Raw Orders'!C78</f>
        <v/>
      </c>
      <c r="D78" s="13">
        <f>'Raw Orders'!E78</f>
        <v/>
      </c>
      <c r="E78" s="14">
        <f>'Raw Orders'!F78</f>
        <v/>
      </c>
      <c r="F78" s="14">
        <f>'Raw Orders'!F78*0.5</f>
        <v/>
      </c>
      <c r="G78" s="12">
        <f>'Raw Orders'!H78</f>
        <v/>
      </c>
      <c r="H78" s="12">
        <f>'Raw Orders'!I78</f>
        <v/>
      </c>
      <c r="I78" s="13">
        <f>'Raw Orders'!K78</f>
        <v/>
      </c>
      <c r="J78" s="13">
        <f>IF('Raw Orders'!J78,"",(YEAR('Raw Orders'!I78)-YEAR('Raw Orders'!H78))*12+MONTH('Raw Orders'!I78)-MONTH('Raw Orders'!H78))</f>
        <v/>
      </c>
      <c r="K78">
        <f>IF('Raw Orders'!J78,"Cancelled",IF('Raw Orders'!K78&gt;=2,"Slipped","On plan"))</f>
        <v/>
      </c>
      <c r="L78" s="14">
        <f>IF(K78="On plan",0,F78)</f>
        <v/>
      </c>
    </row>
    <row r="79">
      <c r="A79">
        <f>'Raw Orders'!A79</f>
        <v/>
      </c>
      <c r="B79">
        <f>'Raw Orders'!B79</f>
        <v/>
      </c>
      <c r="C79">
        <f>'Raw Orders'!C79</f>
        <v/>
      </c>
      <c r="D79" s="13">
        <f>'Raw Orders'!E79</f>
        <v/>
      </c>
      <c r="E79" s="14">
        <f>'Raw Orders'!F79</f>
        <v/>
      </c>
      <c r="F79" s="14">
        <f>'Raw Orders'!F79*0.5</f>
        <v/>
      </c>
      <c r="G79" s="12">
        <f>'Raw Orders'!H79</f>
        <v/>
      </c>
      <c r="H79" s="12">
        <f>'Raw Orders'!I79</f>
        <v/>
      </c>
      <c r="I79" s="13">
        <f>'Raw Orders'!K79</f>
        <v/>
      </c>
      <c r="J79" s="13">
        <f>IF('Raw Orders'!J79,"",(YEAR('Raw Orders'!I79)-YEAR('Raw Orders'!H79))*12+MONTH('Raw Orders'!I79)-MONTH('Raw Orders'!H79))</f>
        <v/>
      </c>
      <c r="K79">
        <f>IF('Raw Orders'!J79,"Cancelled",IF('Raw Orders'!K79&gt;=2,"Slipped","On plan"))</f>
        <v/>
      </c>
      <c r="L79" s="14">
        <f>IF(K79="On plan",0,F79)</f>
        <v/>
      </c>
    </row>
    <row r="80">
      <c r="A80">
        <f>'Raw Orders'!A80</f>
        <v/>
      </c>
      <c r="B80">
        <f>'Raw Orders'!B80</f>
        <v/>
      </c>
      <c r="C80">
        <f>'Raw Orders'!C80</f>
        <v/>
      </c>
      <c r="D80" s="13">
        <f>'Raw Orders'!E80</f>
        <v/>
      </c>
      <c r="E80" s="14">
        <f>'Raw Orders'!F80</f>
        <v/>
      </c>
      <c r="F80" s="14">
        <f>'Raw Orders'!F80*0.5</f>
        <v/>
      </c>
      <c r="G80" s="12">
        <f>'Raw Orders'!H80</f>
        <v/>
      </c>
      <c r="H80" s="12">
        <f>'Raw Orders'!I80</f>
        <v/>
      </c>
      <c r="I80" s="13">
        <f>'Raw Orders'!K80</f>
        <v/>
      </c>
      <c r="J80" s="13">
        <f>IF('Raw Orders'!J80,"",(YEAR('Raw Orders'!I80)-YEAR('Raw Orders'!H80))*12+MONTH('Raw Orders'!I80)-MONTH('Raw Orders'!H80))</f>
        <v/>
      </c>
      <c r="K80">
        <f>IF('Raw Orders'!J80,"Cancelled",IF('Raw Orders'!K80&gt;=2,"Slipped","On plan"))</f>
        <v/>
      </c>
      <c r="L80" s="14">
        <f>IF(K80="On plan",0,F80)</f>
        <v/>
      </c>
    </row>
    <row r="81">
      <c r="A81">
        <f>'Raw Orders'!A81</f>
        <v/>
      </c>
      <c r="B81">
        <f>'Raw Orders'!B81</f>
        <v/>
      </c>
      <c r="C81">
        <f>'Raw Orders'!C81</f>
        <v/>
      </c>
      <c r="D81" s="13">
        <f>'Raw Orders'!E81</f>
        <v/>
      </c>
      <c r="E81" s="14">
        <f>'Raw Orders'!F81</f>
        <v/>
      </c>
      <c r="F81" s="14">
        <f>'Raw Orders'!F81*0.5</f>
        <v/>
      </c>
      <c r="G81" s="12">
        <f>'Raw Orders'!H81</f>
        <v/>
      </c>
      <c r="H81" s="12">
        <f>'Raw Orders'!I81</f>
        <v/>
      </c>
      <c r="I81" s="13">
        <f>'Raw Orders'!K81</f>
        <v/>
      </c>
      <c r="J81" s="13">
        <f>IF('Raw Orders'!J81,"",(YEAR('Raw Orders'!I81)-YEAR('Raw Orders'!H81))*12+MONTH('Raw Orders'!I81)-MONTH('Raw Orders'!H81))</f>
        <v/>
      </c>
      <c r="K81">
        <f>IF('Raw Orders'!J81,"Cancelled",IF('Raw Orders'!K81&gt;=2,"Slipped","On plan"))</f>
        <v/>
      </c>
      <c r="L81" s="14">
        <f>IF(K81="On plan",0,F81)</f>
        <v/>
      </c>
    </row>
    <row r="82">
      <c r="A82">
        <f>'Raw Orders'!A82</f>
        <v/>
      </c>
      <c r="B82">
        <f>'Raw Orders'!B82</f>
        <v/>
      </c>
      <c r="C82">
        <f>'Raw Orders'!C82</f>
        <v/>
      </c>
      <c r="D82" s="13">
        <f>'Raw Orders'!E82</f>
        <v/>
      </c>
      <c r="E82" s="14">
        <f>'Raw Orders'!F82</f>
        <v/>
      </c>
      <c r="F82" s="14">
        <f>'Raw Orders'!F82*0.5</f>
        <v/>
      </c>
      <c r="G82" s="12">
        <f>'Raw Orders'!H82</f>
        <v/>
      </c>
      <c r="H82" s="12">
        <f>'Raw Orders'!I82</f>
        <v/>
      </c>
      <c r="I82" s="13">
        <f>'Raw Orders'!K82</f>
        <v/>
      </c>
      <c r="J82" s="13">
        <f>IF('Raw Orders'!J82,"",(YEAR('Raw Orders'!I82)-YEAR('Raw Orders'!H82))*12+MONTH('Raw Orders'!I82)-MONTH('Raw Orders'!H82))</f>
        <v/>
      </c>
      <c r="K82">
        <f>IF('Raw Orders'!J82,"Cancelled",IF('Raw Orders'!K82&gt;=2,"Slipped","On plan"))</f>
        <v/>
      </c>
      <c r="L82" s="14">
        <f>IF(K82="On plan",0,F82)</f>
        <v/>
      </c>
    </row>
    <row r="83">
      <c r="A83">
        <f>'Raw Orders'!A83</f>
        <v/>
      </c>
      <c r="B83">
        <f>'Raw Orders'!B83</f>
        <v/>
      </c>
      <c r="C83">
        <f>'Raw Orders'!C83</f>
        <v/>
      </c>
      <c r="D83" s="13">
        <f>'Raw Orders'!E83</f>
        <v/>
      </c>
      <c r="E83" s="14">
        <f>'Raw Orders'!F83</f>
        <v/>
      </c>
      <c r="F83" s="14">
        <f>'Raw Orders'!F83*0.5</f>
        <v/>
      </c>
      <c r="G83" s="12">
        <f>'Raw Orders'!H83</f>
        <v/>
      </c>
      <c r="H83" s="12">
        <f>'Raw Orders'!I83</f>
        <v/>
      </c>
      <c r="I83" s="13">
        <f>'Raw Orders'!K83</f>
        <v/>
      </c>
      <c r="J83" s="13">
        <f>IF('Raw Orders'!J83,"",(YEAR('Raw Orders'!I83)-YEAR('Raw Orders'!H83))*12+MONTH('Raw Orders'!I83)-MONTH('Raw Orders'!H83))</f>
        <v/>
      </c>
      <c r="K83">
        <f>IF('Raw Orders'!J83,"Cancelled",IF('Raw Orders'!K83&gt;=2,"Slipped","On plan"))</f>
        <v/>
      </c>
      <c r="L83" s="14">
        <f>IF(K83="On plan",0,F83)</f>
        <v/>
      </c>
    </row>
    <row r="84">
      <c r="A84">
        <f>'Raw Orders'!A84</f>
        <v/>
      </c>
      <c r="B84">
        <f>'Raw Orders'!B84</f>
        <v/>
      </c>
      <c r="C84">
        <f>'Raw Orders'!C84</f>
        <v/>
      </c>
      <c r="D84" s="13">
        <f>'Raw Orders'!E84</f>
        <v/>
      </c>
      <c r="E84" s="14">
        <f>'Raw Orders'!F84</f>
        <v/>
      </c>
      <c r="F84" s="14">
        <f>'Raw Orders'!F84*0.5</f>
        <v/>
      </c>
      <c r="G84" s="12">
        <f>'Raw Orders'!H84</f>
        <v/>
      </c>
      <c r="H84" s="12">
        <f>'Raw Orders'!I84</f>
        <v/>
      </c>
      <c r="I84" s="13">
        <f>'Raw Orders'!K84</f>
        <v/>
      </c>
      <c r="J84" s="13">
        <f>IF('Raw Orders'!J84,"",(YEAR('Raw Orders'!I84)-YEAR('Raw Orders'!H84))*12+MONTH('Raw Orders'!I84)-MONTH('Raw Orders'!H84))</f>
        <v/>
      </c>
      <c r="K84">
        <f>IF('Raw Orders'!J84,"Cancelled",IF('Raw Orders'!K84&gt;=2,"Slipped","On plan"))</f>
        <v/>
      </c>
      <c r="L84" s="14">
        <f>IF(K84="On plan",0,F84)</f>
        <v/>
      </c>
    </row>
    <row r="85">
      <c r="A85">
        <f>'Raw Orders'!A85</f>
        <v/>
      </c>
      <c r="B85">
        <f>'Raw Orders'!B85</f>
        <v/>
      </c>
      <c r="C85">
        <f>'Raw Orders'!C85</f>
        <v/>
      </c>
      <c r="D85" s="13">
        <f>'Raw Orders'!E85</f>
        <v/>
      </c>
      <c r="E85" s="14">
        <f>'Raw Orders'!F85</f>
        <v/>
      </c>
      <c r="F85" s="14">
        <f>'Raw Orders'!F85*0.5</f>
        <v/>
      </c>
      <c r="G85" s="12">
        <f>'Raw Orders'!H85</f>
        <v/>
      </c>
      <c r="H85" s="12">
        <f>'Raw Orders'!I85</f>
        <v/>
      </c>
      <c r="I85" s="13">
        <f>'Raw Orders'!K85</f>
        <v/>
      </c>
      <c r="J85" s="13">
        <f>IF('Raw Orders'!J85,"",(YEAR('Raw Orders'!I85)-YEAR('Raw Orders'!H85))*12+MONTH('Raw Orders'!I85)-MONTH('Raw Orders'!H85))</f>
        <v/>
      </c>
      <c r="K85">
        <f>IF('Raw Orders'!J85,"Cancelled",IF('Raw Orders'!K85&gt;=2,"Slipped","On plan"))</f>
        <v/>
      </c>
      <c r="L85" s="14">
        <f>IF(K85="On plan",0,F85)</f>
        <v/>
      </c>
    </row>
    <row r="86">
      <c r="A86">
        <f>'Raw Orders'!A86</f>
        <v/>
      </c>
      <c r="B86">
        <f>'Raw Orders'!B86</f>
        <v/>
      </c>
      <c r="C86">
        <f>'Raw Orders'!C86</f>
        <v/>
      </c>
      <c r="D86" s="13">
        <f>'Raw Orders'!E86</f>
        <v/>
      </c>
      <c r="E86" s="14">
        <f>'Raw Orders'!F86</f>
        <v/>
      </c>
      <c r="F86" s="14">
        <f>'Raw Orders'!F86*0.5</f>
        <v/>
      </c>
      <c r="G86" s="12">
        <f>'Raw Orders'!H86</f>
        <v/>
      </c>
      <c r="H86" s="12">
        <f>'Raw Orders'!I86</f>
        <v/>
      </c>
      <c r="I86" s="13">
        <f>'Raw Orders'!K86</f>
        <v/>
      </c>
      <c r="J86" s="13">
        <f>IF('Raw Orders'!J86,"",(YEAR('Raw Orders'!I86)-YEAR('Raw Orders'!H86))*12+MONTH('Raw Orders'!I86)-MONTH('Raw Orders'!H86))</f>
        <v/>
      </c>
      <c r="K86">
        <f>IF('Raw Orders'!J86,"Cancelled",IF('Raw Orders'!K86&gt;=2,"Slipped","On plan"))</f>
        <v/>
      </c>
      <c r="L86" s="14">
        <f>IF(K86="On plan",0,F86)</f>
        <v/>
      </c>
    </row>
    <row r="87">
      <c r="A87">
        <f>'Raw Orders'!A87</f>
        <v/>
      </c>
      <c r="B87">
        <f>'Raw Orders'!B87</f>
        <v/>
      </c>
      <c r="C87">
        <f>'Raw Orders'!C87</f>
        <v/>
      </c>
      <c r="D87" s="13">
        <f>'Raw Orders'!E87</f>
        <v/>
      </c>
      <c r="E87" s="14">
        <f>'Raw Orders'!F87</f>
        <v/>
      </c>
      <c r="F87" s="14">
        <f>'Raw Orders'!F87*0.5</f>
        <v/>
      </c>
      <c r="G87" s="12">
        <f>'Raw Orders'!H87</f>
        <v/>
      </c>
      <c r="H87" s="12">
        <f>'Raw Orders'!I87</f>
        <v/>
      </c>
      <c r="I87" s="13">
        <f>'Raw Orders'!K87</f>
        <v/>
      </c>
      <c r="J87" s="13">
        <f>IF('Raw Orders'!J87,"",(YEAR('Raw Orders'!I87)-YEAR('Raw Orders'!H87))*12+MONTH('Raw Orders'!I87)-MONTH('Raw Orders'!H87))</f>
        <v/>
      </c>
      <c r="K87">
        <f>IF('Raw Orders'!J87,"Cancelled",IF('Raw Orders'!K87&gt;=2,"Slipped","On plan"))</f>
        <v/>
      </c>
      <c r="L87" s="14">
        <f>IF(K87="On plan",0,F87)</f>
        <v/>
      </c>
    </row>
    <row r="88">
      <c r="A88">
        <f>'Raw Orders'!A88</f>
        <v/>
      </c>
      <c r="B88">
        <f>'Raw Orders'!B88</f>
        <v/>
      </c>
      <c r="C88">
        <f>'Raw Orders'!C88</f>
        <v/>
      </c>
      <c r="D88" s="13">
        <f>'Raw Orders'!E88</f>
        <v/>
      </c>
      <c r="E88" s="14">
        <f>'Raw Orders'!F88</f>
        <v/>
      </c>
      <c r="F88" s="14">
        <f>'Raw Orders'!F88*0.5</f>
        <v/>
      </c>
      <c r="G88" s="12">
        <f>'Raw Orders'!H88</f>
        <v/>
      </c>
      <c r="H88" s="12">
        <f>'Raw Orders'!I88</f>
        <v/>
      </c>
      <c r="I88" s="13">
        <f>'Raw Orders'!K88</f>
        <v/>
      </c>
      <c r="J88" s="13">
        <f>IF('Raw Orders'!J88,"",(YEAR('Raw Orders'!I88)-YEAR('Raw Orders'!H88))*12+MONTH('Raw Orders'!I88)-MONTH('Raw Orders'!H88))</f>
        <v/>
      </c>
      <c r="K88">
        <f>IF('Raw Orders'!J88,"Cancelled",IF('Raw Orders'!K88&gt;=2,"Slipped","On plan"))</f>
        <v/>
      </c>
      <c r="L88" s="14">
        <f>IF(K88="On plan",0,F88)</f>
        <v/>
      </c>
    </row>
    <row r="89">
      <c r="A89">
        <f>'Raw Orders'!A89</f>
        <v/>
      </c>
      <c r="B89">
        <f>'Raw Orders'!B89</f>
        <v/>
      </c>
      <c r="C89">
        <f>'Raw Orders'!C89</f>
        <v/>
      </c>
      <c r="D89" s="13">
        <f>'Raw Orders'!E89</f>
        <v/>
      </c>
      <c r="E89" s="14">
        <f>'Raw Orders'!F89</f>
        <v/>
      </c>
      <c r="F89" s="14">
        <f>'Raw Orders'!F89*0.5</f>
        <v/>
      </c>
      <c r="G89" s="12">
        <f>'Raw Orders'!H89</f>
        <v/>
      </c>
      <c r="H89" s="12">
        <f>'Raw Orders'!I89</f>
        <v/>
      </c>
      <c r="I89" s="13">
        <f>'Raw Orders'!K89</f>
        <v/>
      </c>
      <c r="J89" s="13">
        <f>IF('Raw Orders'!J89,"",(YEAR('Raw Orders'!I89)-YEAR('Raw Orders'!H89))*12+MONTH('Raw Orders'!I89)-MONTH('Raw Orders'!H89))</f>
        <v/>
      </c>
      <c r="K89">
        <f>IF('Raw Orders'!J89,"Cancelled",IF('Raw Orders'!K89&gt;=2,"Slipped","On plan"))</f>
        <v/>
      </c>
      <c r="L89" s="14">
        <f>IF(K89="On plan",0,F89)</f>
        <v/>
      </c>
    </row>
    <row r="90">
      <c r="A90">
        <f>'Raw Orders'!A90</f>
        <v/>
      </c>
      <c r="B90">
        <f>'Raw Orders'!B90</f>
        <v/>
      </c>
      <c r="C90">
        <f>'Raw Orders'!C90</f>
        <v/>
      </c>
      <c r="D90" s="13">
        <f>'Raw Orders'!E90</f>
        <v/>
      </c>
      <c r="E90" s="14">
        <f>'Raw Orders'!F90</f>
        <v/>
      </c>
      <c r="F90" s="14">
        <f>'Raw Orders'!F90*0.5</f>
        <v/>
      </c>
      <c r="G90" s="12">
        <f>'Raw Orders'!H90</f>
        <v/>
      </c>
      <c r="H90" s="12">
        <f>'Raw Orders'!I90</f>
        <v/>
      </c>
      <c r="I90" s="13">
        <f>'Raw Orders'!K90</f>
        <v/>
      </c>
      <c r="J90" s="13">
        <f>IF('Raw Orders'!J90,"",(YEAR('Raw Orders'!I90)-YEAR('Raw Orders'!H90))*12+MONTH('Raw Orders'!I90)-MONTH('Raw Orders'!H90))</f>
        <v/>
      </c>
      <c r="K90">
        <f>IF('Raw Orders'!J90,"Cancelled",IF('Raw Orders'!K90&gt;=2,"Slipped","On plan"))</f>
        <v/>
      </c>
      <c r="L90" s="14">
        <f>IF(K90="On plan",0,F90)</f>
        <v/>
      </c>
    </row>
    <row r="91">
      <c r="A91">
        <f>'Raw Orders'!A91</f>
        <v/>
      </c>
      <c r="B91">
        <f>'Raw Orders'!B91</f>
        <v/>
      </c>
      <c r="C91">
        <f>'Raw Orders'!C91</f>
        <v/>
      </c>
      <c r="D91" s="13">
        <f>'Raw Orders'!E91</f>
        <v/>
      </c>
      <c r="E91" s="14">
        <f>'Raw Orders'!F91</f>
        <v/>
      </c>
      <c r="F91" s="14">
        <f>'Raw Orders'!F91*0.5</f>
        <v/>
      </c>
      <c r="G91" s="12">
        <f>'Raw Orders'!H91</f>
        <v/>
      </c>
      <c r="H91" s="12">
        <f>'Raw Orders'!I91</f>
        <v/>
      </c>
      <c r="I91" s="13">
        <f>'Raw Orders'!K91</f>
        <v/>
      </c>
      <c r="J91" s="13">
        <f>IF('Raw Orders'!J91,"",(YEAR('Raw Orders'!I91)-YEAR('Raw Orders'!H91))*12+MONTH('Raw Orders'!I91)-MONTH('Raw Orders'!H91))</f>
        <v/>
      </c>
      <c r="K91">
        <f>IF('Raw Orders'!J91,"Cancelled",IF('Raw Orders'!K91&gt;=2,"Slipped","On plan"))</f>
        <v/>
      </c>
      <c r="L91" s="14">
        <f>IF(K91="On plan",0,F91)</f>
        <v/>
      </c>
    </row>
    <row r="92">
      <c r="A92">
        <f>'Raw Orders'!A92</f>
        <v/>
      </c>
      <c r="B92">
        <f>'Raw Orders'!B92</f>
        <v/>
      </c>
      <c r="C92">
        <f>'Raw Orders'!C92</f>
        <v/>
      </c>
      <c r="D92" s="13">
        <f>'Raw Orders'!E92</f>
        <v/>
      </c>
      <c r="E92" s="14">
        <f>'Raw Orders'!F92</f>
        <v/>
      </c>
      <c r="F92" s="14">
        <f>'Raw Orders'!F92*0.5</f>
        <v/>
      </c>
      <c r="G92" s="12">
        <f>'Raw Orders'!H92</f>
        <v/>
      </c>
      <c r="H92" s="12">
        <f>'Raw Orders'!I92</f>
        <v/>
      </c>
      <c r="I92" s="13">
        <f>'Raw Orders'!K92</f>
        <v/>
      </c>
      <c r="J92" s="13">
        <f>IF('Raw Orders'!J92,"",(YEAR('Raw Orders'!I92)-YEAR('Raw Orders'!H92))*12+MONTH('Raw Orders'!I92)-MONTH('Raw Orders'!H92))</f>
        <v/>
      </c>
      <c r="K92">
        <f>IF('Raw Orders'!J92,"Cancelled",IF('Raw Orders'!K92&gt;=2,"Slipped","On plan"))</f>
        <v/>
      </c>
      <c r="L92" s="14">
        <f>IF(K92="On plan",0,F92)</f>
        <v/>
      </c>
    </row>
    <row r="93">
      <c r="A93">
        <f>'Raw Orders'!A93</f>
        <v/>
      </c>
      <c r="B93">
        <f>'Raw Orders'!B93</f>
        <v/>
      </c>
      <c r="C93">
        <f>'Raw Orders'!C93</f>
        <v/>
      </c>
      <c r="D93" s="13">
        <f>'Raw Orders'!E93</f>
        <v/>
      </c>
      <c r="E93" s="14">
        <f>'Raw Orders'!F93</f>
        <v/>
      </c>
      <c r="F93" s="14">
        <f>'Raw Orders'!F93*0.5</f>
        <v/>
      </c>
      <c r="G93" s="12">
        <f>'Raw Orders'!H93</f>
        <v/>
      </c>
      <c r="H93" s="12">
        <f>'Raw Orders'!I93</f>
        <v/>
      </c>
      <c r="I93" s="13">
        <f>'Raw Orders'!K93</f>
        <v/>
      </c>
      <c r="J93" s="13">
        <f>IF('Raw Orders'!J93,"",(YEAR('Raw Orders'!I93)-YEAR('Raw Orders'!H93))*12+MONTH('Raw Orders'!I93)-MONTH('Raw Orders'!H93))</f>
        <v/>
      </c>
      <c r="K93">
        <f>IF('Raw Orders'!J93,"Cancelled",IF('Raw Orders'!K93&gt;=2,"Slipped","On plan"))</f>
        <v/>
      </c>
      <c r="L93" s="14">
        <f>IF(K93="On plan",0,F93)</f>
        <v/>
      </c>
    </row>
    <row r="94">
      <c r="A94">
        <f>'Raw Orders'!A94</f>
        <v/>
      </c>
      <c r="B94">
        <f>'Raw Orders'!B94</f>
        <v/>
      </c>
      <c r="C94">
        <f>'Raw Orders'!C94</f>
        <v/>
      </c>
      <c r="D94" s="13">
        <f>'Raw Orders'!E94</f>
        <v/>
      </c>
      <c r="E94" s="14">
        <f>'Raw Orders'!F94</f>
        <v/>
      </c>
      <c r="F94" s="14">
        <f>'Raw Orders'!F94*0.5</f>
        <v/>
      </c>
      <c r="G94" s="12">
        <f>'Raw Orders'!H94</f>
        <v/>
      </c>
      <c r="H94" s="12">
        <f>'Raw Orders'!I94</f>
        <v/>
      </c>
      <c r="I94" s="13">
        <f>'Raw Orders'!K94</f>
        <v/>
      </c>
      <c r="J94" s="13">
        <f>IF('Raw Orders'!J94,"",(YEAR('Raw Orders'!I94)-YEAR('Raw Orders'!H94))*12+MONTH('Raw Orders'!I94)-MONTH('Raw Orders'!H94))</f>
        <v/>
      </c>
      <c r="K94">
        <f>IF('Raw Orders'!J94,"Cancelled",IF('Raw Orders'!K94&gt;=2,"Slipped","On plan"))</f>
        <v/>
      </c>
      <c r="L94" s="14">
        <f>IF(K94="On plan",0,F94)</f>
        <v/>
      </c>
    </row>
    <row r="95">
      <c r="A95">
        <f>'Raw Orders'!A95</f>
        <v/>
      </c>
      <c r="B95">
        <f>'Raw Orders'!B95</f>
        <v/>
      </c>
      <c r="C95">
        <f>'Raw Orders'!C95</f>
        <v/>
      </c>
      <c r="D95" s="13">
        <f>'Raw Orders'!E95</f>
        <v/>
      </c>
      <c r="E95" s="14">
        <f>'Raw Orders'!F95</f>
        <v/>
      </c>
      <c r="F95" s="14">
        <f>'Raw Orders'!F95*0.5</f>
        <v/>
      </c>
      <c r="G95" s="12">
        <f>'Raw Orders'!H95</f>
        <v/>
      </c>
      <c r="H95" s="12">
        <f>'Raw Orders'!I95</f>
        <v/>
      </c>
      <c r="I95" s="13">
        <f>'Raw Orders'!K95</f>
        <v/>
      </c>
      <c r="J95" s="13">
        <f>IF('Raw Orders'!J95,"",(YEAR('Raw Orders'!I95)-YEAR('Raw Orders'!H95))*12+MONTH('Raw Orders'!I95)-MONTH('Raw Orders'!H95))</f>
        <v/>
      </c>
      <c r="K95">
        <f>IF('Raw Orders'!J95,"Cancelled",IF('Raw Orders'!K95&gt;=2,"Slipped","On plan"))</f>
        <v/>
      </c>
      <c r="L95" s="14">
        <f>IF(K95="On plan",0,F95)</f>
        <v/>
      </c>
    </row>
    <row r="96">
      <c r="A96">
        <f>'Raw Orders'!A96</f>
        <v/>
      </c>
      <c r="B96">
        <f>'Raw Orders'!B96</f>
        <v/>
      </c>
      <c r="C96">
        <f>'Raw Orders'!C96</f>
        <v/>
      </c>
      <c r="D96" s="13">
        <f>'Raw Orders'!E96</f>
        <v/>
      </c>
      <c r="E96" s="14">
        <f>'Raw Orders'!F96</f>
        <v/>
      </c>
      <c r="F96" s="14">
        <f>'Raw Orders'!F96*0.5</f>
        <v/>
      </c>
      <c r="G96" s="12">
        <f>'Raw Orders'!H96</f>
        <v/>
      </c>
      <c r="H96" s="12">
        <f>'Raw Orders'!I96</f>
        <v/>
      </c>
      <c r="I96" s="13">
        <f>'Raw Orders'!K96</f>
        <v/>
      </c>
      <c r="J96" s="13">
        <f>IF('Raw Orders'!J96,"",(YEAR('Raw Orders'!I96)-YEAR('Raw Orders'!H96))*12+MONTH('Raw Orders'!I96)-MONTH('Raw Orders'!H96))</f>
        <v/>
      </c>
      <c r="K96">
        <f>IF('Raw Orders'!J96,"Cancelled",IF('Raw Orders'!K96&gt;=2,"Slipped","On plan"))</f>
        <v/>
      </c>
      <c r="L96" s="14">
        <f>IF(K96="On plan",0,F96)</f>
        <v/>
      </c>
    </row>
    <row r="97">
      <c r="A97">
        <f>'Raw Orders'!A97</f>
        <v/>
      </c>
      <c r="B97">
        <f>'Raw Orders'!B97</f>
        <v/>
      </c>
      <c r="C97">
        <f>'Raw Orders'!C97</f>
        <v/>
      </c>
      <c r="D97" s="13">
        <f>'Raw Orders'!E97</f>
        <v/>
      </c>
      <c r="E97" s="14">
        <f>'Raw Orders'!F97</f>
        <v/>
      </c>
      <c r="F97" s="14">
        <f>'Raw Orders'!F97*0.5</f>
        <v/>
      </c>
      <c r="G97" s="12">
        <f>'Raw Orders'!H97</f>
        <v/>
      </c>
      <c r="H97" s="12">
        <f>'Raw Orders'!I97</f>
        <v/>
      </c>
      <c r="I97" s="13">
        <f>'Raw Orders'!K97</f>
        <v/>
      </c>
      <c r="J97" s="13">
        <f>IF('Raw Orders'!J97,"",(YEAR('Raw Orders'!I97)-YEAR('Raw Orders'!H97))*12+MONTH('Raw Orders'!I97)-MONTH('Raw Orders'!H97))</f>
        <v/>
      </c>
      <c r="K97">
        <f>IF('Raw Orders'!J97,"Cancelled",IF('Raw Orders'!K97&gt;=2,"Slipped","On plan"))</f>
        <v/>
      </c>
      <c r="L97" s="14">
        <f>IF(K97="On plan",0,F97)</f>
        <v/>
      </c>
    </row>
    <row r="98">
      <c r="A98">
        <f>'Raw Orders'!A98</f>
        <v/>
      </c>
      <c r="B98">
        <f>'Raw Orders'!B98</f>
        <v/>
      </c>
      <c r="C98">
        <f>'Raw Orders'!C98</f>
        <v/>
      </c>
      <c r="D98" s="13">
        <f>'Raw Orders'!E98</f>
        <v/>
      </c>
      <c r="E98" s="14">
        <f>'Raw Orders'!F98</f>
        <v/>
      </c>
      <c r="F98" s="14">
        <f>'Raw Orders'!F98*0.5</f>
        <v/>
      </c>
      <c r="G98" s="12">
        <f>'Raw Orders'!H98</f>
        <v/>
      </c>
      <c r="H98" s="12">
        <f>'Raw Orders'!I98</f>
        <v/>
      </c>
      <c r="I98" s="13">
        <f>'Raw Orders'!K98</f>
        <v/>
      </c>
      <c r="J98" s="13">
        <f>IF('Raw Orders'!J98,"",(YEAR('Raw Orders'!I98)-YEAR('Raw Orders'!H98))*12+MONTH('Raw Orders'!I98)-MONTH('Raw Orders'!H98))</f>
        <v/>
      </c>
      <c r="K98">
        <f>IF('Raw Orders'!J98,"Cancelled",IF('Raw Orders'!K98&gt;=2,"Slipped","On plan"))</f>
        <v/>
      </c>
      <c r="L98" s="14">
        <f>IF(K98="On plan",0,F98)</f>
        <v/>
      </c>
    </row>
    <row r="99">
      <c r="A99">
        <f>'Raw Orders'!A99</f>
        <v/>
      </c>
      <c r="B99">
        <f>'Raw Orders'!B99</f>
        <v/>
      </c>
      <c r="C99">
        <f>'Raw Orders'!C99</f>
        <v/>
      </c>
      <c r="D99" s="13">
        <f>'Raw Orders'!E99</f>
        <v/>
      </c>
      <c r="E99" s="14">
        <f>'Raw Orders'!F99</f>
        <v/>
      </c>
      <c r="F99" s="14">
        <f>'Raw Orders'!F99*0.5</f>
        <v/>
      </c>
      <c r="G99" s="12">
        <f>'Raw Orders'!H99</f>
        <v/>
      </c>
      <c r="H99" s="12">
        <f>'Raw Orders'!I99</f>
        <v/>
      </c>
      <c r="I99" s="13">
        <f>'Raw Orders'!K99</f>
        <v/>
      </c>
      <c r="J99" s="13">
        <f>IF('Raw Orders'!J99,"",(YEAR('Raw Orders'!I99)-YEAR('Raw Orders'!H99))*12+MONTH('Raw Orders'!I99)-MONTH('Raw Orders'!H99))</f>
        <v/>
      </c>
      <c r="K99">
        <f>IF('Raw Orders'!J99,"Cancelled",IF('Raw Orders'!K99&gt;=2,"Slipped","On plan"))</f>
        <v/>
      </c>
      <c r="L99" s="14">
        <f>IF(K99="On plan",0,F99)</f>
        <v/>
      </c>
    </row>
    <row r="100">
      <c r="A100">
        <f>'Raw Orders'!A100</f>
        <v/>
      </c>
      <c r="B100">
        <f>'Raw Orders'!B100</f>
        <v/>
      </c>
      <c r="C100">
        <f>'Raw Orders'!C100</f>
        <v/>
      </c>
      <c r="D100" s="13">
        <f>'Raw Orders'!E100</f>
        <v/>
      </c>
      <c r="E100" s="14">
        <f>'Raw Orders'!F100</f>
        <v/>
      </c>
      <c r="F100" s="14">
        <f>'Raw Orders'!F100*0.5</f>
        <v/>
      </c>
      <c r="G100" s="12">
        <f>'Raw Orders'!H100</f>
        <v/>
      </c>
      <c r="H100" s="12">
        <f>'Raw Orders'!I100</f>
        <v/>
      </c>
      <c r="I100" s="13">
        <f>'Raw Orders'!K100</f>
        <v/>
      </c>
      <c r="J100" s="13">
        <f>IF('Raw Orders'!J100,"",(YEAR('Raw Orders'!I100)-YEAR('Raw Orders'!H100))*12+MONTH('Raw Orders'!I100)-MONTH('Raw Orders'!H100))</f>
        <v/>
      </c>
      <c r="K100">
        <f>IF('Raw Orders'!J100,"Cancelled",IF('Raw Orders'!K100&gt;=2,"Slipped","On plan"))</f>
        <v/>
      </c>
      <c r="L100" s="14">
        <f>IF(K100="On plan",0,F100)</f>
        <v/>
      </c>
    </row>
    <row r="101">
      <c r="A101">
        <f>'Raw Orders'!A101</f>
        <v/>
      </c>
      <c r="B101">
        <f>'Raw Orders'!B101</f>
        <v/>
      </c>
      <c r="C101">
        <f>'Raw Orders'!C101</f>
        <v/>
      </c>
      <c r="D101" s="13">
        <f>'Raw Orders'!E101</f>
        <v/>
      </c>
      <c r="E101" s="14">
        <f>'Raw Orders'!F101</f>
        <v/>
      </c>
      <c r="F101" s="14">
        <f>'Raw Orders'!F101*0.5</f>
        <v/>
      </c>
      <c r="G101" s="12">
        <f>'Raw Orders'!H101</f>
        <v/>
      </c>
      <c r="H101" s="12">
        <f>'Raw Orders'!I101</f>
        <v/>
      </c>
      <c r="I101" s="13">
        <f>'Raw Orders'!K101</f>
        <v/>
      </c>
      <c r="J101" s="13">
        <f>IF('Raw Orders'!J101,"",(YEAR('Raw Orders'!I101)-YEAR('Raw Orders'!H101))*12+MONTH('Raw Orders'!I101)-MONTH('Raw Orders'!H101))</f>
        <v/>
      </c>
      <c r="K101">
        <f>IF('Raw Orders'!J101,"Cancelled",IF('Raw Orders'!K101&gt;=2,"Slipped","On plan"))</f>
        <v/>
      </c>
      <c r="L101" s="14">
        <f>IF(K101="On plan",0,F101)</f>
        <v/>
      </c>
    </row>
    <row r="102">
      <c r="A102">
        <f>'Raw Orders'!A102</f>
        <v/>
      </c>
      <c r="B102">
        <f>'Raw Orders'!B102</f>
        <v/>
      </c>
      <c r="C102">
        <f>'Raw Orders'!C102</f>
        <v/>
      </c>
      <c r="D102" s="13">
        <f>'Raw Orders'!E102</f>
        <v/>
      </c>
      <c r="E102" s="14">
        <f>'Raw Orders'!F102</f>
        <v/>
      </c>
      <c r="F102" s="14">
        <f>'Raw Orders'!F102*0.5</f>
        <v/>
      </c>
      <c r="G102" s="12">
        <f>'Raw Orders'!H102</f>
        <v/>
      </c>
      <c r="H102" s="12">
        <f>'Raw Orders'!I102</f>
        <v/>
      </c>
      <c r="I102" s="13">
        <f>'Raw Orders'!K102</f>
        <v/>
      </c>
      <c r="J102" s="13">
        <f>IF('Raw Orders'!J102,"",(YEAR('Raw Orders'!I102)-YEAR('Raw Orders'!H102))*12+MONTH('Raw Orders'!I102)-MONTH('Raw Orders'!H102))</f>
        <v/>
      </c>
      <c r="K102">
        <f>IF('Raw Orders'!J102,"Cancelled",IF('Raw Orders'!K102&gt;=2,"Slipped","On plan"))</f>
        <v/>
      </c>
      <c r="L102" s="14">
        <f>IF(K102="On plan",0,F102)</f>
        <v/>
      </c>
    </row>
    <row r="103">
      <c r="A103">
        <f>'Raw Orders'!A103</f>
        <v/>
      </c>
      <c r="B103">
        <f>'Raw Orders'!B103</f>
        <v/>
      </c>
      <c r="C103">
        <f>'Raw Orders'!C103</f>
        <v/>
      </c>
      <c r="D103" s="13">
        <f>'Raw Orders'!E103</f>
        <v/>
      </c>
      <c r="E103" s="14">
        <f>'Raw Orders'!F103</f>
        <v/>
      </c>
      <c r="F103" s="14">
        <f>'Raw Orders'!F103*0.5</f>
        <v/>
      </c>
      <c r="G103" s="12">
        <f>'Raw Orders'!H103</f>
        <v/>
      </c>
      <c r="H103" s="12">
        <f>'Raw Orders'!I103</f>
        <v/>
      </c>
      <c r="I103" s="13">
        <f>'Raw Orders'!K103</f>
        <v/>
      </c>
      <c r="J103" s="13">
        <f>IF('Raw Orders'!J103,"",(YEAR('Raw Orders'!I103)-YEAR('Raw Orders'!H103))*12+MONTH('Raw Orders'!I103)-MONTH('Raw Orders'!H103))</f>
        <v/>
      </c>
      <c r="K103">
        <f>IF('Raw Orders'!J103,"Cancelled",IF('Raw Orders'!K103&gt;=2,"Slipped","On plan"))</f>
        <v/>
      </c>
      <c r="L103" s="14">
        <f>IF(K103="On plan",0,F103)</f>
        <v/>
      </c>
    </row>
    <row r="104">
      <c r="A104">
        <f>'Raw Orders'!A104</f>
        <v/>
      </c>
      <c r="B104">
        <f>'Raw Orders'!B104</f>
        <v/>
      </c>
      <c r="C104">
        <f>'Raw Orders'!C104</f>
        <v/>
      </c>
      <c r="D104" s="13">
        <f>'Raw Orders'!E104</f>
        <v/>
      </c>
      <c r="E104" s="14">
        <f>'Raw Orders'!F104</f>
        <v/>
      </c>
      <c r="F104" s="14">
        <f>'Raw Orders'!F104*0.5</f>
        <v/>
      </c>
      <c r="G104" s="12">
        <f>'Raw Orders'!H104</f>
        <v/>
      </c>
      <c r="H104" s="12">
        <f>'Raw Orders'!I104</f>
        <v/>
      </c>
      <c r="I104" s="13">
        <f>'Raw Orders'!K104</f>
        <v/>
      </c>
      <c r="J104" s="13">
        <f>IF('Raw Orders'!J104,"",(YEAR('Raw Orders'!I104)-YEAR('Raw Orders'!H104))*12+MONTH('Raw Orders'!I104)-MONTH('Raw Orders'!H104))</f>
        <v/>
      </c>
      <c r="K104">
        <f>IF('Raw Orders'!J104,"Cancelled",IF('Raw Orders'!K104&gt;=2,"Slipped","On plan"))</f>
        <v/>
      </c>
      <c r="L104" s="14">
        <f>IF(K104="On plan",0,F104)</f>
        <v/>
      </c>
    </row>
    <row r="105">
      <c r="A105">
        <f>'Raw Orders'!A105</f>
        <v/>
      </c>
      <c r="B105">
        <f>'Raw Orders'!B105</f>
        <v/>
      </c>
      <c r="C105">
        <f>'Raw Orders'!C105</f>
        <v/>
      </c>
      <c r="D105" s="13">
        <f>'Raw Orders'!E105</f>
        <v/>
      </c>
      <c r="E105" s="14">
        <f>'Raw Orders'!F105</f>
        <v/>
      </c>
      <c r="F105" s="14">
        <f>'Raw Orders'!F105*0.5</f>
        <v/>
      </c>
      <c r="G105" s="12">
        <f>'Raw Orders'!H105</f>
        <v/>
      </c>
      <c r="H105" s="12">
        <f>'Raw Orders'!I105</f>
        <v/>
      </c>
      <c r="I105" s="13">
        <f>'Raw Orders'!K105</f>
        <v/>
      </c>
      <c r="J105" s="13">
        <f>IF('Raw Orders'!J105,"",(YEAR('Raw Orders'!I105)-YEAR('Raw Orders'!H105))*12+MONTH('Raw Orders'!I105)-MONTH('Raw Orders'!H105))</f>
        <v/>
      </c>
      <c r="K105">
        <f>IF('Raw Orders'!J105,"Cancelled",IF('Raw Orders'!K105&gt;=2,"Slipped","On plan"))</f>
        <v/>
      </c>
      <c r="L105" s="14">
        <f>IF(K105="On plan",0,F105)</f>
        <v/>
      </c>
    </row>
    <row r="106">
      <c r="A106">
        <f>'Raw Orders'!A106</f>
        <v/>
      </c>
      <c r="B106">
        <f>'Raw Orders'!B106</f>
        <v/>
      </c>
      <c r="C106">
        <f>'Raw Orders'!C106</f>
        <v/>
      </c>
      <c r="D106" s="13">
        <f>'Raw Orders'!E106</f>
        <v/>
      </c>
      <c r="E106" s="14">
        <f>'Raw Orders'!F106</f>
        <v/>
      </c>
      <c r="F106" s="14">
        <f>'Raw Orders'!F106*0.5</f>
        <v/>
      </c>
      <c r="G106" s="12">
        <f>'Raw Orders'!H106</f>
        <v/>
      </c>
      <c r="H106" s="12">
        <f>'Raw Orders'!I106</f>
        <v/>
      </c>
      <c r="I106" s="13">
        <f>'Raw Orders'!K106</f>
        <v/>
      </c>
      <c r="J106" s="13">
        <f>IF('Raw Orders'!J106,"",(YEAR('Raw Orders'!I106)-YEAR('Raw Orders'!H106))*12+MONTH('Raw Orders'!I106)-MONTH('Raw Orders'!H106))</f>
        <v/>
      </c>
      <c r="K106">
        <f>IF('Raw Orders'!J106,"Cancelled",IF('Raw Orders'!K106&gt;=2,"Slipped","On plan"))</f>
        <v/>
      </c>
      <c r="L106" s="14">
        <f>IF(K106="On plan",0,F106)</f>
        <v/>
      </c>
    </row>
    <row r="107">
      <c r="A107">
        <f>'Raw Orders'!A107</f>
        <v/>
      </c>
      <c r="B107">
        <f>'Raw Orders'!B107</f>
        <v/>
      </c>
      <c r="C107">
        <f>'Raw Orders'!C107</f>
        <v/>
      </c>
      <c r="D107" s="13">
        <f>'Raw Orders'!E107</f>
        <v/>
      </c>
      <c r="E107" s="14">
        <f>'Raw Orders'!F107</f>
        <v/>
      </c>
      <c r="F107" s="14">
        <f>'Raw Orders'!F107*0.5</f>
        <v/>
      </c>
      <c r="G107" s="12">
        <f>'Raw Orders'!H107</f>
        <v/>
      </c>
      <c r="H107" s="12">
        <f>'Raw Orders'!I107</f>
        <v/>
      </c>
      <c r="I107" s="13">
        <f>'Raw Orders'!K107</f>
        <v/>
      </c>
      <c r="J107" s="13">
        <f>IF('Raw Orders'!J107,"",(YEAR('Raw Orders'!I107)-YEAR('Raw Orders'!H107))*12+MONTH('Raw Orders'!I107)-MONTH('Raw Orders'!H107))</f>
        <v/>
      </c>
      <c r="K107">
        <f>IF('Raw Orders'!J107,"Cancelled",IF('Raw Orders'!K107&gt;=2,"Slipped","On plan"))</f>
        <v/>
      </c>
      <c r="L107" s="14">
        <f>IF(K107="On plan",0,F107)</f>
        <v/>
      </c>
    </row>
    <row r="108">
      <c r="A108">
        <f>'Raw Orders'!A108</f>
        <v/>
      </c>
      <c r="B108">
        <f>'Raw Orders'!B108</f>
        <v/>
      </c>
      <c r="C108">
        <f>'Raw Orders'!C108</f>
        <v/>
      </c>
      <c r="D108" s="13">
        <f>'Raw Orders'!E108</f>
        <v/>
      </c>
      <c r="E108" s="14">
        <f>'Raw Orders'!F108</f>
        <v/>
      </c>
      <c r="F108" s="14">
        <f>'Raw Orders'!F108*0.5</f>
        <v/>
      </c>
      <c r="G108" s="12">
        <f>'Raw Orders'!H108</f>
        <v/>
      </c>
      <c r="H108" s="12">
        <f>'Raw Orders'!I108</f>
        <v/>
      </c>
      <c r="I108" s="13">
        <f>'Raw Orders'!K108</f>
        <v/>
      </c>
      <c r="J108" s="13">
        <f>IF('Raw Orders'!J108,"",(YEAR('Raw Orders'!I108)-YEAR('Raw Orders'!H108))*12+MONTH('Raw Orders'!I108)-MONTH('Raw Orders'!H108))</f>
        <v/>
      </c>
      <c r="K108">
        <f>IF('Raw Orders'!J108,"Cancelled",IF('Raw Orders'!K108&gt;=2,"Slipped","On plan"))</f>
        <v/>
      </c>
      <c r="L108" s="14">
        <f>IF(K108="On plan",0,F108)</f>
        <v/>
      </c>
    </row>
    <row r="109">
      <c r="A109">
        <f>'Raw Orders'!A109</f>
        <v/>
      </c>
      <c r="B109">
        <f>'Raw Orders'!B109</f>
        <v/>
      </c>
      <c r="C109">
        <f>'Raw Orders'!C109</f>
        <v/>
      </c>
      <c r="D109" s="13">
        <f>'Raw Orders'!E109</f>
        <v/>
      </c>
      <c r="E109" s="14">
        <f>'Raw Orders'!F109</f>
        <v/>
      </c>
      <c r="F109" s="14">
        <f>'Raw Orders'!F109*0.5</f>
        <v/>
      </c>
      <c r="G109" s="12">
        <f>'Raw Orders'!H109</f>
        <v/>
      </c>
      <c r="H109" s="12">
        <f>'Raw Orders'!I109</f>
        <v/>
      </c>
      <c r="I109" s="13">
        <f>'Raw Orders'!K109</f>
        <v/>
      </c>
      <c r="J109" s="13">
        <f>IF('Raw Orders'!J109,"",(YEAR('Raw Orders'!I109)-YEAR('Raw Orders'!H109))*12+MONTH('Raw Orders'!I109)-MONTH('Raw Orders'!H109))</f>
        <v/>
      </c>
      <c r="K109">
        <f>IF('Raw Orders'!J109,"Cancelled",IF('Raw Orders'!K109&gt;=2,"Slipped","On plan"))</f>
        <v/>
      </c>
      <c r="L109" s="14">
        <f>IF(K109="On plan",0,F109)</f>
        <v/>
      </c>
    </row>
    <row r="110">
      <c r="A110">
        <f>'Raw Orders'!A110</f>
        <v/>
      </c>
      <c r="B110">
        <f>'Raw Orders'!B110</f>
        <v/>
      </c>
      <c r="C110">
        <f>'Raw Orders'!C110</f>
        <v/>
      </c>
      <c r="D110" s="13">
        <f>'Raw Orders'!E110</f>
        <v/>
      </c>
      <c r="E110" s="14">
        <f>'Raw Orders'!F110</f>
        <v/>
      </c>
      <c r="F110" s="14">
        <f>'Raw Orders'!F110*0.5</f>
        <v/>
      </c>
      <c r="G110" s="12">
        <f>'Raw Orders'!H110</f>
        <v/>
      </c>
      <c r="H110" s="12">
        <f>'Raw Orders'!I110</f>
        <v/>
      </c>
      <c r="I110" s="13">
        <f>'Raw Orders'!K110</f>
        <v/>
      </c>
      <c r="J110" s="13">
        <f>IF('Raw Orders'!J110,"",(YEAR('Raw Orders'!I110)-YEAR('Raw Orders'!H110))*12+MONTH('Raw Orders'!I110)-MONTH('Raw Orders'!H110))</f>
        <v/>
      </c>
      <c r="K110">
        <f>IF('Raw Orders'!J110,"Cancelled",IF('Raw Orders'!K110&gt;=2,"Slipped","On plan"))</f>
        <v/>
      </c>
      <c r="L110" s="14">
        <f>IF(K110="On plan",0,F110)</f>
        <v/>
      </c>
    </row>
    <row r="111">
      <c r="A111">
        <f>'Raw Orders'!A111</f>
        <v/>
      </c>
      <c r="B111">
        <f>'Raw Orders'!B111</f>
        <v/>
      </c>
      <c r="C111">
        <f>'Raw Orders'!C111</f>
        <v/>
      </c>
      <c r="D111" s="13">
        <f>'Raw Orders'!E111</f>
        <v/>
      </c>
      <c r="E111" s="14">
        <f>'Raw Orders'!F111</f>
        <v/>
      </c>
      <c r="F111" s="14">
        <f>'Raw Orders'!F111*0.5</f>
        <v/>
      </c>
      <c r="G111" s="12">
        <f>'Raw Orders'!H111</f>
        <v/>
      </c>
      <c r="H111" s="12">
        <f>'Raw Orders'!I111</f>
        <v/>
      </c>
      <c r="I111" s="13">
        <f>'Raw Orders'!K111</f>
        <v/>
      </c>
      <c r="J111" s="13">
        <f>IF('Raw Orders'!J111,"",(YEAR('Raw Orders'!I111)-YEAR('Raw Orders'!H111))*12+MONTH('Raw Orders'!I111)-MONTH('Raw Orders'!H111))</f>
        <v/>
      </c>
      <c r="K111">
        <f>IF('Raw Orders'!J111,"Cancelled",IF('Raw Orders'!K111&gt;=2,"Slipped","On plan"))</f>
        <v/>
      </c>
      <c r="L111" s="14">
        <f>IF(K111="On plan",0,F111)</f>
        <v/>
      </c>
    </row>
    <row r="112">
      <c r="A112">
        <f>'Raw Orders'!A112</f>
        <v/>
      </c>
      <c r="B112">
        <f>'Raw Orders'!B112</f>
        <v/>
      </c>
      <c r="C112">
        <f>'Raw Orders'!C112</f>
        <v/>
      </c>
      <c r="D112" s="13">
        <f>'Raw Orders'!E112</f>
        <v/>
      </c>
      <c r="E112" s="14">
        <f>'Raw Orders'!F112</f>
        <v/>
      </c>
      <c r="F112" s="14">
        <f>'Raw Orders'!F112*0.5</f>
        <v/>
      </c>
      <c r="G112" s="12">
        <f>'Raw Orders'!H112</f>
        <v/>
      </c>
      <c r="H112" s="12">
        <f>'Raw Orders'!I112</f>
        <v/>
      </c>
      <c r="I112" s="13">
        <f>'Raw Orders'!K112</f>
        <v/>
      </c>
      <c r="J112" s="13">
        <f>IF('Raw Orders'!J112,"",(YEAR('Raw Orders'!I112)-YEAR('Raw Orders'!H112))*12+MONTH('Raw Orders'!I112)-MONTH('Raw Orders'!H112))</f>
        <v/>
      </c>
      <c r="K112">
        <f>IF('Raw Orders'!J112,"Cancelled",IF('Raw Orders'!K112&gt;=2,"Slipped","On plan"))</f>
        <v/>
      </c>
      <c r="L112" s="14">
        <f>IF(K112="On plan",0,F112)</f>
        <v/>
      </c>
    </row>
    <row r="113">
      <c r="A113">
        <f>'Raw Orders'!A113</f>
        <v/>
      </c>
      <c r="B113">
        <f>'Raw Orders'!B113</f>
        <v/>
      </c>
      <c r="C113">
        <f>'Raw Orders'!C113</f>
        <v/>
      </c>
      <c r="D113" s="13">
        <f>'Raw Orders'!E113</f>
        <v/>
      </c>
      <c r="E113" s="14">
        <f>'Raw Orders'!F113</f>
        <v/>
      </c>
      <c r="F113" s="14">
        <f>'Raw Orders'!F113*0.5</f>
        <v/>
      </c>
      <c r="G113" s="12">
        <f>'Raw Orders'!H113</f>
        <v/>
      </c>
      <c r="H113" s="12">
        <f>'Raw Orders'!I113</f>
        <v/>
      </c>
      <c r="I113" s="13">
        <f>'Raw Orders'!K113</f>
        <v/>
      </c>
      <c r="J113" s="13">
        <f>IF('Raw Orders'!J113,"",(YEAR('Raw Orders'!I113)-YEAR('Raw Orders'!H113))*12+MONTH('Raw Orders'!I113)-MONTH('Raw Orders'!H113))</f>
        <v/>
      </c>
      <c r="K113">
        <f>IF('Raw Orders'!J113,"Cancelled",IF('Raw Orders'!K113&gt;=2,"Slipped","On plan"))</f>
        <v/>
      </c>
      <c r="L113" s="14">
        <f>IF(K113="On plan",0,F113)</f>
        <v/>
      </c>
    </row>
    <row r="114">
      <c r="A114">
        <f>'Raw Orders'!A114</f>
        <v/>
      </c>
      <c r="B114">
        <f>'Raw Orders'!B114</f>
        <v/>
      </c>
      <c r="C114">
        <f>'Raw Orders'!C114</f>
        <v/>
      </c>
      <c r="D114" s="13">
        <f>'Raw Orders'!E114</f>
        <v/>
      </c>
      <c r="E114" s="14">
        <f>'Raw Orders'!F114</f>
        <v/>
      </c>
      <c r="F114" s="14">
        <f>'Raw Orders'!F114*0.5</f>
        <v/>
      </c>
      <c r="G114" s="12">
        <f>'Raw Orders'!H114</f>
        <v/>
      </c>
      <c r="H114" s="12">
        <f>'Raw Orders'!I114</f>
        <v/>
      </c>
      <c r="I114" s="13">
        <f>'Raw Orders'!K114</f>
        <v/>
      </c>
      <c r="J114" s="13">
        <f>IF('Raw Orders'!J114,"",(YEAR('Raw Orders'!I114)-YEAR('Raw Orders'!H114))*12+MONTH('Raw Orders'!I114)-MONTH('Raw Orders'!H114))</f>
        <v/>
      </c>
      <c r="K114">
        <f>IF('Raw Orders'!J114,"Cancelled",IF('Raw Orders'!K114&gt;=2,"Slipped","On plan"))</f>
        <v/>
      </c>
      <c r="L114" s="14">
        <f>IF(K114="On plan",0,F114)</f>
        <v/>
      </c>
    </row>
    <row r="115">
      <c r="A115">
        <f>'Raw Orders'!A115</f>
        <v/>
      </c>
      <c r="B115">
        <f>'Raw Orders'!B115</f>
        <v/>
      </c>
      <c r="C115">
        <f>'Raw Orders'!C115</f>
        <v/>
      </c>
      <c r="D115" s="13">
        <f>'Raw Orders'!E115</f>
        <v/>
      </c>
      <c r="E115" s="14">
        <f>'Raw Orders'!F115</f>
        <v/>
      </c>
      <c r="F115" s="14">
        <f>'Raw Orders'!F115*0.5</f>
        <v/>
      </c>
      <c r="G115" s="12">
        <f>'Raw Orders'!H115</f>
        <v/>
      </c>
      <c r="H115" s="12">
        <f>'Raw Orders'!I115</f>
        <v/>
      </c>
      <c r="I115" s="13">
        <f>'Raw Orders'!K115</f>
        <v/>
      </c>
      <c r="J115" s="13">
        <f>IF('Raw Orders'!J115,"",(YEAR('Raw Orders'!I115)-YEAR('Raw Orders'!H115))*12+MONTH('Raw Orders'!I115)-MONTH('Raw Orders'!H115))</f>
        <v/>
      </c>
      <c r="K115">
        <f>IF('Raw Orders'!J115,"Cancelled",IF('Raw Orders'!K115&gt;=2,"Slipped","On plan"))</f>
        <v/>
      </c>
      <c r="L115" s="14">
        <f>IF(K115="On plan",0,F115)</f>
        <v/>
      </c>
    </row>
    <row r="116">
      <c r="A116">
        <f>'Raw Orders'!A116</f>
        <v/>
      </c>
      <c r="B116">
        <f>'Raw Orders'!B116</f>
        <v/>
      </c>
      <c r="C116">
        <f>'Raw Orders'!C116</f>
        <v/>
      </c>
      <c r="D116" s="13">
        <f>'Raw Orders'!E116</f>
        <v/>
      </c>
      <c r="E116" s="14">
        <f>'Raw Orders'!F116</f>
        <v/>
      </c>
      <c r="F116" s="14">
        <f>'Raw Orders'!F116*0.5</f>
        <v/>
      </c>
      <c r="G116" s="12">
        <f>'Raw Orders'!H116</f>
        <v/>
      </c>
      <c r="H116" s="12">
        <f>'Raw Orders'!I116</f>
        <v/>
      </c>
      <c r="I116" s="13">
        <f>'Raw Orders'!K116</f>
        <v/>
      </c>
      <c r="J116" s="13">
        <f>IF('Raw Orders'!J116,"",(YEAR('Raw Orders'!I116)-YEAR('Raw Orders'!H116))*12+MONTH('Raw Orders'!I116)-MONTH('Raw Orders'!H116))</f>
        <v/>
      </c>
      <c r="K116">
        <f>IF('Raw Orders'!J116,"Cancelled",IF('Raw Orders'!K116&gt;=2,"Slipped","On plan"))</f>
        <v/>
      </c>
      <c r="L116" s="14">
        <f>IF(K116="On plan",0,F116)</f>
        <v/>
      </c>
    </row>
    <row r="117">
      <c r="A117">
        <f>'Raw Orders'!A117</f>
        <v/>
      </c>
      <c r="B117">
        <f>'Raw Orders'!B117</f>
        <v/>
      </c>
      <c r="C117">
        <f>'Raw Orders'!C117</f>
        <v/>
      </c>
      <c r="D117" s="13">
        <f>'Raw Orders'!E117</f>
        <v/>
      </c>
      <c r="E117" s="14">
        <f>'Raw Orders'!F117</f>
        <v/>
      </c>
      <c r="F117" s="14">
        <f>'Raw Orders'!F117*0.5</f>
        <v/>
      </c>
      <c r="G117" s="12">
        <f>'Raw Orders'!H117</f>
        <v/>
      </c>
      <c r="H117" s="12">
        <f>'Raw Orders'!I117</f>
        <v/>
      </c>
      <c r="I117" s="13">
        <f>'Raw Orders'!K117</f>
        <v/>
      </c>
      <c r="J117" s="13">
        <f>IF('Raw Orders'!J117,"",(YEAR('Raw Orders'!I117)-YEAR('Raw Orders'!H117))*12+MONTH('Raw Orders'!I117)-MONTH('Raw Orders'!H117))</f>
        <v/>
      </c>
      <c r="K117">
        <f>IF('Raw Orders'!J117,"Cancelled",IF('Raw Orders'!K117&gt;=2,"Slipped","On plan"))</f>
        <v/>
      </c>
      <c r="L117" s="14">
        <f>IF(K117="On plan",0,F117)</f>
        <v/>
      </c>
    </row>
    <row r="118">
      <c r="A118">
        <f>'Raw Orders'!A118</f>
        <v/>
      </c>
      <c r="B118">
        <f>'Raw Orders'!B118</f>
        <v/>
      </c>
      <c r="C118">
        <f>'Raw Orders'!C118</f>
        <v/>
      </c>
      <c r="D118" s="13">
        <f>'Raw Orders'!E118</f>
        <v/>
      </c>
      <c r="E118" s="14">
        <f>'Raw Orders'!F118</f>
        <v/>
      </c>
      <c r="F118" s="14">
        <f>'Raw Orders'!F118*0.5</f>
        <v/>
      </c>
      <c r="G118" s="12">
        <f>'Raw Orders'!H118</f>
        <v/>
      </c>
      <c r="H118" s="12">
        <f>'Raw Orders'!I118</f>
        <v/>
      </c>
      <c r="I118" s="13">
        <f>'Raw Orders'!K118</f>
        <v/>
      </c>
      <c r="J118" s="13">
        <f>IF('Raw Orders'!J118,"",(YEAR('Raw Orders'!I118)-YEAR('Raw Orders'!H118))*12+MONTH('Raw Orders'!I118)-MONTH('Raw Orders'!H118))</f>
        <v/>
      </c>
      <c r="K118">
        <f>IF('Raw Orders'!J118,"Cancelled",IF('Raw Orders'!K118&gt;=2,"Slipped","On plan"))</f>
        <v/>
      </c>
      <c r="L118" s="14">
        <f>IF(K118="On plan",0,F118)</f>
        <v/>
      </c>
    </row>
    <row r="119">
      <c r="A119">
        <f>'Raw Orders'!A119</f>
        <v/>
      </c>
      <c r="B119">
        <f>'Raw Orders'!B119</f>
        <v/>
      </c>
      <c r="C119">
        <f>'Raw Orders'!C119</f>
        <v/>
      </c>
      <c r="D119" s="13">
        <f>'Raw Orders'!E119</f>
        <v/>
      </c>
      <c r="E119" s="14">
        <f>'Raw Orders'!F119</f>
        <v/>
      </c>
      <c r="F119" s="14">
        <f>'Raw Orders'!F119*0.5</f>
        <v/>
      </c>
      <c r="G119" s="12">
        <f>'Raw Orders'!H119</f>
        <v/>
      </c>
      <c r="H119" s="12">
        <f>'Raw Orders'!I119</f>
        <v/>
      </c>
      <c r="I119" s="13">
        <f>'Raw Orders'!K119</f>
        <v/>
      </c>
      <c r="J119" s="13">
        <f>IF('Raw Orders'!J119,"",(YEAR('Raw Orders'!I119)-YEAR('Raw Orders'!H119))*12+MONTH('Raw Orders'!I119)-MONTH('Raw Orders'!H119))</f>
        <v/>
      </c>
      <c r="K119">
        <f>IF('Raw Orders'!J119,"Cancelled",IF('Raw Orders'!K119&gt;=2,"Slipped","On plan"))</f>
        <v/>
      </c>
      <c r="L119" s="14">
        <f>IF(K119="On plan",0,F119)</f>
        <v/>
      </c>
    </row>
    <row r="120">
      <c r="A120">
        <f>'Raw Orders'!A120</f>
        <v/>
      </c>
      <c r="B120">
        <f>'Raw Orders'!B120</f>
        <v/>
      </c>
      <c r="C120">
        <f>'Raw Orders'!C120</f>
        <v/>
      </c>
      <c r="D120" s="13">
        <f>'Raw Orders'!E120</f>
        <v/>
      </c>
      <c r="E120" s="14">
        <f>'Raw Orders'!F120</f>
        <v/>
      </c>
      <c r="F120" s="14">
        <f>'Raw Orders'!F120*0.5</f>
        <v/>
      </c>
      <c r="G120" s="12">
        <f>'Raw Orders'!H120</f>
        <v/>
      </c>
      <c r="H120" s="12">
        <f>'Raw Orders'!I120</f>
        <v/>
      </c>
      <c r="I120" s="13">
        <f>'Raw Orders'!K120</f>
        <v/>
      </c>
      <c r="J120" s="13">
        <f>IF('Raw Orders'!J120,"",(YEAR('Raw Orders'!I120)-YEAR('Raw Orders'!H120))*12+MONTH('Raw Orders'!I120)-MONTH('Raw Orders'!H120))</f>
        <v/>
      </c>
      <c r="K120">
        <f>IF('Raw Orders'!J120,"Cancelled",IF('Raw Orders'!K120&gt;=2,"Slipped","On plan"))</f>
        <v/>
      </c>
      <c r="L120" s="14">
        <f>IF(K120="On plan",0,F120)</f>
        <v/>
      </c>
    </row>
    <row r="121">
      <c r="A121">
        <f>'Raw Orders'!A121</f>
        <v/>
      </c>
      <c r="B121">
        <f>'Raw Orders'!B121</f>
        <v/>
      </c>
      <c r="C121">
        <f>'Raw Orders'!C121</f>
        <v/>
      </c>
      <c r="D121" s="13">
        <f>'Raw Orders'!E121</f>
        <v/>
      </c>
      <c r="E121" s="14">
        <f>'Raw Orders'!F121</f>
        <v/>
      </c>
      <c r="F121" s="14">
        <f>'Raw Orders'!F121*0.5</f>
        <v/>
      </c>
      <c r="G121" s="12">
        <f>'Raw Orders'!H121</f>
        <v/>
      </c>
      <c r="H121" s="12">
        <f>'Raw Orders'!I121</f>
        <v/>
      </c>
      <c r="I121" s="13">
        <f>'Raw Orders'!K121</f>
        <v/>
      </c>
      <c r="J121" s="13">
        <f>IF('Raw Orders'!J121,"",(YEAR('Raw Orders'!I121)-YEAR('Raw Orders'!H121))*12+MONTH('Raw Orders'!I121)-MONTH('Raw Orders'!H121))</f>
        <v/>
      </c>
      <c r="K121">
        <f>IF('Raw Orders'!J121,"Cancelled",IF('Raw Orders'!K121&gt;=2,"Slipped","On plan"))</f>
        <v/>
      </c>
      <c r="L121" s="14">
        <f>IF(K121="On plan",0,F121)</f>
        <v/>
      </c>
    </row>
    <row r="122">
      <c r="A122">
        <f>'Raw Orders'!A122</f>
        <v/>
      </c>
      <c r="B122">
        <f>'Raw Orders'!B122</f>
        <v/>
      </c>
      <c r="C122">
        <f>'Raw Orders'!C122</f>
        <v/>
      </c>
      <c r="D122" s="13">
        <f>'Raw Orders'!E122</f>
        <v/>
      </c>
      <c r="E122" s="14">
        <f>'Raw Orders'!F122</f>
        <v/>
      </c>
      <c r="F122" s="14">
        <f>'Raw Orders'!F122*0.5</f>
        <v/>
      </c>
      <c r="G122" s="12">
        <f>'Raw Orders'!H122</f>
        <v/>
      </c>
      <c r="H122" s="12">
        <f>'Raw Orders'!I122</f>
        <v/>
      </c>
      <c r="I122" s="13">
        <f>'Raw Orders'!K122</f>
        <v/>
      </c>
      <c r="J122" s="13">
        <f>IF('Raw Orders'!J122,"",(YEAR('Raw Orders'!I122)-YEAR('Raw Orders'!H122))*12+MONTH('Raw Orders'!I122)-MONTH('Raw Orders'!H122))</f>
        <v/>
      </c>
      <c r="K122">
        <f>IF('Raw Orders'!J122,"Cancelled",IF('Raw Orders'!K122&gt;=2,"Slipped","On plan"))</f>
        <v/>
      </c>
      <c r="L122" s="14">
        <f>IF(K122="On plan",0,F122)</f>
        <v/>
      </c>
    </row>
    <row r="123">
      <c r="A123">
        <f>'Raw Orders'!A123</f>
        <v/>
      </c>
      <c r="B123">
        <f>'Raw Orders'!B123</f>
        <v/>
      </c>
      <c r="C123">
        <f>'Raw Orders'!C123</f>
        <v/>
      </c>
      <c r="D123" s="13">
        <f>'Raw Orders'!E123</f>
        <v/>
      </c>
      <c r="E123" s="14">
        <f>'Raw Orders'!F123</f>
        <v/>
      </c>
      <c r="F123" s="14">
        <f>'Raw Orders'!F123*0.5</f>
        <v/>
      </c>
      <c r="G123" s="12">
        <f>'Raw Orders'!H123</f>
        <v/>
      </c>
      <c r="H123" s="12">
        <f>'Raw Orders'!I123</f>
        <v/>
      </c>
      <c r="I123" s="13">
        <f>'Raw Orders'!K123</f>
        <v/>
      </c>
      <c r="J123" s="13">
        <f>IF('Raw Orders'!J123,"",(YEAR('Raw Orders'!I123)-YEAR('Raw Orders'!H123))*12+MONTH('Raw Orders'!I123)-MONTH('Raw Orders'!H123))</f>
        <v/>
      </c>
      <c r="K123">
        <f>IF('Raw Orders'!J123,"Cancelled",IF('Raw Orders'!K123&gt;=2,"Slipped","On plan"))</f>
        <v/>
      </c>
      <c r="L123" s="14">
        <f>IF(K123="On plan",0,F123)</f>
        <v/>
      </c>
    </row>
    <row r="124">
      <c r="A124">
        <f>'Raw Orders'!A124</f>
        <v/>
      </c>
      <c r="B124">
        <f>'Raw Orders'!B124</f>
        <v/>
      </c>
      <c r="C124">
        <f>'Raw Orders'!C124</f>
        <v/>
      </c>
      <c r="D124" s="13">
        <f>'Raw Orders'!E124</f>
        <v/>
      </c>
      <c r="E124" s="14">
        <f>'Raw Orders'!F124</f>
        <v/>
      </c>
      <c r="F124" s="14">
        <f>'Raw Orders'!F124*0.5</f>
        <v/>
      </c>
      <c r="G124" s="12">
        <f>'Raw Orders'!H124</f>
        <v/>
      </c>
      <c r="H124" s="12">
        <f>'Raw Orders'!I124</f>
        <v/>
      </c>
      <c r="I124" s="13">
        <f>'Raw Orders'!K124</f>
        <v/>
      </c>
      <c r="J124" s="13">
        <f>IF('Raw Orders'!J124,"",(YEAR('Raw Orders'!I124)-YEAR('Raw Orders'!H124))*12+MONTH('Raw Orders'!I124)-MONTH('Raw Orders'!H124))</f>
        <v/>
      </c>
      <c r="K124">
        <f>IF('Raw Orders'!J124,"Cancelled",IF('Raw Orders'!K124&gt;=2,"Slipped","On plan"))</f>
        <v/>
      </c>
      <c r="L124" s="14">
        <f>IF(K124="On plan",0,F124)</f>
        <v/>
      </c>
    </row>
    <row r="125">
      <c r="A125">
        <f>'Raw Orders'!A125</f>
        <v/>
      </c>
      <c r="B125">
        <f>'Raw Orders'!B125</f>
        <v/>
      </c>
      <c r="C125">
        <f>'Raw Orders'!C125</f>
        <v/>
      </c>
      <c r="D125" s="13">
        <f>'Raw Orders'!E125</f>
        <v/>
      </c>
      <c r="E125" s="14">
        <f>'Raw Orders'!F125</f>
        <v/>
      </c>
      <c r="F125" s="14">
        <f>'Raw Orders'!F125*0.5</f>
        <v/>
      </c>
      <c r="G125" s="12">
        <f>'Raw Orders'!H125</f>
        <v/>
      </c>
      <c r="H125" s="12">
        <f>'Raw Orders'!I125</f>
        <v/>
      </c>
      <c r="I125" s="13">
        <f>'Raw Orders'!K125</f>
        <v/>
      </c>
      <c r="J125" s="13">
        <f>IF('Raw Orders'!J125,"",(YEAR('Raw Orders'!I125)-YEAR('Raw Orders'!H125))*12+MONTH('Raw Orders'!I125)-MONTH('Raw Orders'!H125))</f>
        <v/>
      </c>
      <c r="K125">
        <f>IF('Raw Orders'!J125,"Cancelled",IF('Raw Orders'!K125&gt;=2,"Slipped","On plan"))</f>
        <v/>
      </c>
      <c r="L125" s="14">
        <f>IF(K125="On plan",0,F125)</f>
        <v/>
      </c>
    </row>
    <row r="126">
      <c r="A126">
        <f>'Raw Orders'!A126</f>
        <v/>
      </c>
      <c r="B126">
        <f>'Raw Orders'!B126</f>
        <v/>
      </c>
      <c r="C126">
        <f>'Raw Orders'!C126</f>
        <v/>
      </c>
      <c r="D126" s="13">
        <f>'Raw Orders'!E126</f>
        <v/>
      </c>
      <c r="E126" s="14">
        <f>'Raw Orders'!F126</f>
        <v/>
      </c>
      <c r="F126" s="14">
        <f>'Raw Orders'!F126*0.5</f>
        <v/>
      </c>
      <c r="G126" s="12">
        <f>'Raw Orders'!H126</f>
        <v/>
      </c>
      <c r="H126" s="12">
        <f>'Raw Orders'!I126</f>
        <v/>
      </c>
      <c r="I126" s="13">
        <f>'Raw Orders'!K126</f>
        <v/>
      </c>
      <c r="J126" s="13">
        <f>IF('Raw Orders'!J126,"",(YEAR('Raw Orders'!I126)-YEAR('Raw Orders'!H126))*12+MONTH('Raw Orders'!I126)-MONTH('Raw Orders'!H126))</f>
        <v/>
      </c>
      <c r="K126">
        <f>IF('Raw Orders'!J126,"Cancelled",IF('Raw Orders'!K126&gt;=2,"Slipped","On plan"))</f>
        <v/>
      </c>
      <c r="L126" s="14">
        <f>IF(K126="On plan",0,F126)</f>
        <v/>
      </c>
    </row>
    <row r="127">
      <c r="A127">
        <f>'Raw Orders'!A127</f>
        <v/>
      </c>
      <c r="B127">
        <f>'Raw Orders'!B127</f>
        <v/>
      </c>
      <c r="C127">
        <f>'Raw Orders'!C127</f>
        <v/>
      </c>
      <c r="D127" s="13">
        <f>'Raw Orders'!E127</f>
        <v/>
      </c>
      <c r="E127" s="14">
        <f>'Raw Orders'!F127</f>
        <v/>
      </c>
      <c r="F127" s="14">
        <f>'Raw Orders'!F127*0.5</f>
        <v/>
      </c>
      <c r="G127" s="12">
        <f>'Raw Orders'!H127</f>
        <v/>
      </c>
      <c r="H127" s="12">
        <f>'Raw Orders'!I127</f>
        <v/>
      </c>
      <c r="I127" s="13">
        <f>'Raw Orders'!K127</f>
        <v/>
      </c>
      <c r="J127" s="13">
        <f>IF('Raw Orders'!J127,"",(YEAR('Raw Orders'!I127)-YEAR('Raw Orders'!H127))*12+MONTH('Raw Orders'!I127)-MONTH('Raw Orders'!H127))</f>
        <v/>
      </c>
      <c r="K127">
        <f>IF('Raw Orders'!J127,"Cancelled",IF('Raw Orders'!K127&gt;=2,"Slipped","On plan"))</f>
        <v/>
      </c>
      <c r="L127" s="14">
        <f>IF(K127="On plan",0,F127)</f>
        <v/>
      </c>
    </row>
    <row r="128">
      <c r="A128">
        <f>'Raw Orders'!A128</f>
        <v/>
      </c>
      <c r="B128">
        <f>'Raw Orders'!B128</f>
        <v/>
      </c>
      <c r="C128">
        <f>'Raw Orders'!C128</f>
        <v/>
      </c>
      <c r="D128" s="13">
        <f>'Raw Orders'!E128</f>
        <v/>
      </c>
      <c r="E128" s="14">
        <f>'Raw Orders'!F128</f>
        <v/>
      </c>
      <c r="F128" s="14">
        <f>'Raw Orders'!F128*0.5</f>
        <v/>
      </c>
      <c r="G128" s="12">
        <f>'Raw Orders'!H128</f>
        <v/>
      </c>
      <c r="H128" s="12">
        <f>'Raw Orders'!I128</f>
        <v/>
      </c>
      <c r="I128" s="13">
        <f>'Raw Orders'!K128</f>
        <v/>
      </c>
      <c r="J128" s="13">
        <f>IF('Raw Orders'!J128,"",(YEAR('Raw Orders'!I128)-YEAR('Raw Orders'!H128))*12+MONTH('Raw Orders'!I128)-MONTH('Raw Orders'!H128))</f>
        <v/>
      </c>
      <c r="K128">
        <f>IF('Raw Orders'!J128,"Cancelled",IF('Raw Orders'!K128&gt;=2,"Slipped","On plan"))</f>
        <v/>
      </c>
      <c r="L128" s="14">
        <f>IF(K128="On plan",0,F128)</f>
        <v/>
      </c>
    </row>
    <row r="129">
      <c r="A129">
        <f>'Raw Orders'!A129</f>
        <v/>
      </c>
      <c r="B129">
        <f>'Raw Orders'!B129</f>
        <v/>
      </c>
      <c r="C129">
        <f>'Raw Orders'!C129</f>
        <v/>
      </c>
      <c r="D129" s="13">
        <f>'Raw Orders'!E129</f>
        <v/>
      </c>
      <c r="E129" s="14">
        <f>'Raw Orders'!F129</f>
        <v/>
      </c>
      <c r="F129" s="14">
        <f>'Raw Orders'!F129*0.5</f>
        <v/>
      </c>
      <c r="G129" s="12">
        <f>'Raw Orders'!H129</f>
        <v/>
      </c>
      <c r="H129" s="12">
        <f>'Raw Orders'!I129</f>
        <v/>
      </c>
      <c r="I129" s="13">
        <f>'Raw Orders'!K129</f>
        <v/>
      </c>
      <c r="J129" s="13">
        <f>IF('Raw Orders'!J129,"",(YEAR('Raw Orders'!I129)-YEAR('Raw Orders'!H129))*12+MONTH('Raw Orders'!I129)-MONTH('Raw Orders'!H129))</f>
        <v/>
      </c>
      <c r="K129">
        <f>IF('Raw Orders'!J129,"Cancelled",IF('Raw Orders'!K129&gt;=2,"Slipped","On plan"))</f>
        <v/>
      </c>
      <c r="L129" s="14">
        <f>IF(K129="On plan",0,F129)</f>
        <v/>
      </c>
    </row>
    <row r="130">
      <c r="A130">
        <f>'Raw Orders'!A130</f>
        <v/>
      </c>
      <c r="B130">
        <f>'Raw Orders'!B130</f>
        <v/>
      </c>
      <c r="C130">
        <f>'Raw Orders'!C130</f>
        <v/>
      </c>
      <c r="D130" s="13">
        <f>'Raw Orders'!E130</f>
        <v/>
      </c>
      <c r="E130" s="14">
        <f>'Raw Orders'!F130</f>
        <v/>
      </c>
      <c r="F130" s="14">
        <f>'Raw Orders'!F130*0.5</f>
        <v/>
      </c>
      <c r="G130" s="12">
        <f>'Raw Orders'!H130</f>
        <v/>
      </c>
      <c r="H130" s="12">
        <f>'Raw Orders'!I130</f>
        <v/>
      </c>
      <c r="I130" s="13">
        <f>'Raw Orders'!K130</f>
        <v/>
      </c>
      <c r="J130" s="13">
        <f>IF('Raw Orders'!J130,"",(YEAR('Raw Orders'!I130)-YEAR('Raw Orders'!H130))*12+MONTH('Raw Orders'!I130)-MONTH('Raw Orders'!H130))</f>
        <v/>
      </c>
      <c r="K130">
        <f>IF('Raw Orders'!J130,"Cancelled",IF('Raw Orders'!K130&gt;=2,"Slipped","On plan"))</f>
        <v/>
      </c>
      <c r="L130" s="14">
        <f>IF(K130="On plan",0,F130)</f>
        <v/>
      </c>
    </row>
    <row r="131">
      <c r="A131">
        <f>'Raw Orders'!A131</f>
        <v/>
      </c>
      <c r="B131">
        <f>'Raw Orders'!B131</f>
        <v/>
      </c>
      <c r="C131">
        <f>'Raw Orders'!C131</f>
        <v/>
      </c>
      <c r="D131" s="13">
        <f>'Raw Orders'!E131</f>
        <v/>
      </c>
      <c r="E131" s="14">
        <f>'Raw Orders'!F131</f>
        <v/>
      </c>
      <c r="F131" s="14">
        <f>'Raw Orders'!F131*0.5</f>
        <v/>
      </c>
      <c r="G131" s="12">
        <f>'Raw Orders'!H131</f>
        <v/>
      </c>
      <c r="H131" s="12">
        <f>'Raw Orders'!I131</f>
        <v/>
      </c>
      <c r="I131" s="13">
        <f>'Raw Orders'!K131</f>
        <v/>
      </c>
      <c r="J131" s="13">
        <f>IF('Raw Orders'!J131,"",(YEAR('Raw Orders'!I131)-YEAR('Raw Orders'!H131))*12+MONTH('Raw Orders'!I131)-MONTH('Raw Orders'!H131))</f>
        <v/>
      </c>
      <c r="K131">
        <f>IF('Raw Orders'!J131,"Cancelled",IF('Raw Orders'!K131&gt;=2,"Slipped","On plan"))</f>
        <v/>
      </c>
      <c r="L131" s="14">
        <f>IF(K131="On plan",0,F131)</f>
        <v/>
      </c>
    </row>
    <row r="132">
      <c r="A132">
        <f>'Raw Orders'!A132</f>
        <v/>
      </c>
      <c r="B132">
        <f>'Raw Orders'!B132</f>
        <v/>
      </c>
      <c r="C132">
        <f>'Raw Orders'!C132</f>
        <v/>
      </c>
      <c r="D132" s="13">
        <f>'Raw Orders'!E132</f>
        <v/>
      </c>
      <c r="E132" s="14">
        <f>'Raw Orders'!F132</f>
        <v/>
      </c>
      <c r="F132" s="14">
        <f>'Raw Orders'!F132*0.5</f>
        <v/>
      </c>
      <c r="G132" s="12">
        <f>'Raw Orders'!H132</f>
        <v/>
      </c>
      <c r="H132" s="12">
        <f>'Raw Orders'!I132</f>
        <v/>
      </c>
      <c r="I132" s="13">
        <f>'Raw Orders'!K132</f>
        <v/>
      </c>
      <c r="J132" s="13">
        <f>IF('Raw Orders'!J132,"",(YEAR('Raw Orders'!I132)-YEAR('Raw Orders'!H132))*12+MONTH('Raw Orders'!I132)-MONTH('Raw Orders'!H132))</f>
        <v/>
      </c>
      <c r="K132">
        <f>IF('Raw Orders'!J132,"Cancelled",IF('Raw Orders'!K132&gt;=2,"Slipped","On plan"))</f>
        <v/>
      </c>
      <c r="L132" s="14">
        <f>IF(K132="On plan",0,F132)</f>
        <v/>
      </c>
    </row>
    <row r="133">
      <c r="A133">
        <f>'Raw Orders'!A133</f>
        <v/>
      </c>
      <c r="B133">
        <f>'Raw Orders'!B133</f>
        <v/>
      </c>
      <c r="C133">
        <f>'Raw Orders'!C133</f>
        <v/>
      </c>
      <c r="D133" s="13">
        <f>'Raw Orders'!E133</f>
        <v/>
      </c>
      <c r="E133" s="14">
        <f>'Raw Orders'!F133</f>
        <v/>
      </c>
      <c r="F133" s="14">
        <f>'Raw Orders'!F133*0.5</f>
        <v/>
      </c>
      <c r="G133" s="12">
        <f>'Raw Orders'!H133</f>
        <v/>
      </c>
      <c r="H133" s="12">
        <f>'Raw Orders'!I133</f>
        <v/>
      </c>
      <c r="I133" s="13">
        <f>'Raw Orders'!K133</f>
        <v/>
      </c>
      <c r="J133" s="13">
        <f>IF('Raw Orders'!J133,"",(YEAR('Raw Orders'!I133)-YEAR('Raw Orders'!H133))*12+MONTH('Raw Orders'!I133)-MONTH('Raw Orders'!H133))</f>
        <v/>
      </c>
      <c r="K133">
        <f>IF('Raw Orders'!J133,"Cancelled",IF('Raw Orders'!K133&gt;=2,"Slipped","On plan"))</f>
        <v/>
      </c>
      <c r="L133" s="14">
        <f>IF(K133="On plan",0,F133)</f>
        <v/>
      </c>
    </row>
    <row r="134">
      <c r="A134">
        <f>'Raw Orders'!A134</f>
        <v/>
      </c>
      <c r="B134">
        <f>'Raw Orders'!B134</f>
        <v/>
      </c>
      <c r="C134">
        <f>'Raw Orders'!C134</f>
        <v/>
      </c>
      <c r="D134" s="13">
        <f>'Raw Orders'!E134</f>
        <v/>
      </c>
      <c r="E134" s="14">
        <f>'Raw Orders'!F134</f>
        <v/>
      </c>
      <c r="F134" s="14">
        <f>'Raw Orders'!F134*0.5</f>
        <v/>
      </c>
      <c r="G134" s="12">
        <f>'Raw Orders'!H134</f>
        <v/>
      </c>
      <c r="H134" s="12">
        <f>'Raw Orders'!I134</f>
        <v/>
      </c>
      <c r="I134" s="13">
        <f>'Raw Orders'!K134</f>
        <v/>
      </c>
      <c r="J134" s="13">
        <f>IF('Raw Orders'!J134,"",(YEAR('Raw Orders'!I134)-YEAR('Raw Orders'!H134))*12+MONTH('Raw Orders'!I134)-MONTH('Raw Orders'!H134))</f>
        <v/>
      </c>
      <c r="K134">
        <f>IF('Raw Orders'!J134,"Cancelled",IF('Raw Orders'!K134&gt;=2,"Slipped","On plan"))</f>
        <v/>
      </c>
      <c r="L134" s="14">
        <f>IF(K134="On plan",0,F134)</f>
        <v/>
      </c>
    </row>
    <row r="135">
      <c r="A135">
        <f>'Raw Orders'!A135</f>
        <v/>
      </c>
      <c r="B135">
        <f>'Raw Orders'!B135</f>
        <v/>
      </c>
      <c r="C135">
        <f>'Raw Orders'!C135</f>
        <v/>
      </c>
      <c r="D135" s="13">
        <f>'Raw Orders'!E135</f>
        <v/>
      </c>
      <c r="E135" s="14">
        <f>'Raw Orders'!F135</f>
        <v/>
      </c>
      <c r="F135" s="14">
        <f>'Raw Orders'!F135*0.5</f>
        <v/>
      </c>
      <c r="G135" s="12">
        <f>'Raw Orders'!H135</f>
        <v/>
      </c>
      <c r="H135" s="12">
        <f>'Raw Orders'!I135</f>
        <v/>
      </c>
      <c r="I135" s="13">
        <f>'Raw Orders'!K135</f>
        <v/>
      </c>
      <c r="J135" s="13">
        <f>IF('Raw Orders'!J135,"",(YEAR('Raw Orders'!I135)-YEAR('Raw Orders'!H135))*12+MONTH('Raw Orders'!I135)-MONTH('Raw Orders'!H135))</f>
        <v/>
      </c>
      <c r="K135">
        <f>IF('Raw Orders'!J135,"Cancelled",IF('Raw Orders'!K135&gt;=2,"Slipped","On plan"))</f>
        <v/>
      </c>
      <c r="L135" s="14">
        <f>IF(K135="On plan",0,F135)</f>
        <v/>
      </c>
    </row>
    <row r="136">
      <c r="A136">
        <f>'Raw Orders'!A136</f>
        <v/>
      </c>
      <c r="B136">
        <f>'Raw Orders'!B136</f>
        <v/>
      </c>
      <c r="C136">
        <f>'Raw Orders'!C136</f>
        <v/>
      </c>
      <c r="D136" s="13">
        <f>'Raw Orders'!E136</f>
        <v/>
      </c>
      <c r="E136" s="14">
        <f>'Raw Orders'!F136</f>
        <v/>
      </c>
      <c r="F136" s="14">
        <f>'Raw Orders'!F136*0.5</f>
        <v/>
      </c>
      <c r="G136" s="12">
        <f>'Raw Orders'!H136</f>
        <v/>
      </c>
      <c r="H136" s="12">
        <f>'Raw Orders'!I136</f>
        <v/>
      </c>
      <c r="I136" s="13">
        <f>'Raw Orders'!K136</f>
        <v/>
      </c>
      <c r="J136" s="13">
        <f>IF('Raw Orders'!J136,"",(YEAR('Raw Orders'!I136)-YEAR('Raw Orders'!H136))*12+MONTH('Raw Orders'!I136)-MONTH('Raw Orders'!H136))</f>
        <v/>
      </c>
      <c r="K136">
        <f>IF('Raw Orders'!J136,"Cancelled",IF('Raw Orders'!K136&gt;=2,"Slipped","On plan"))</f>
        <v/>
      </c>
      <c r="L136" s="14">
        <f>IF(K136="On plan",0,F136)</f>
        <v/>
      </c>
    </row>
    <row r="137">
      <c r="A137">
        <f>'Raw Orders'!A137</f>
        <v/>
      </c>
      <c r="B137">
        <f>'Raw Orders'!B137</f>
        <v/>
      </c>
      <c r="C137">
        <f>'Raw Orders'!C137</f>
        <v/>
      </c>
      <c r="D137" s="13">
        <f>'Raw Orders'!E137</f>
        <v/>
      </c>
      <c r="E137" s="14">
        <f>'Raw Orders'!F137</f>
        <v/>
      </c>
      <c r="F137" s="14">
        <f>'Raw Orders'!F137*0.5</f>
        <v/>
      </c>
      <c r="G137" s="12">
        <f>'Raw Orders'!H137</f>
        <v/>
      </c>
      <c r="H137" s="12">
        <f>'Raw Orders'!I137</f>
        <v/>
      </c>
      <c r="I137" s="13">
        <f>'Raw Orders'!K137</f>
        <v/>
      </c>
      <c r="J137" s="13">
        <f>IF('Raw Orders'!J137,"",(YEAR('Raw Orders'!I137)-YEAR('Raw Orders'!H137))*12+MONTH('Raw Orders'!I137)-MONTH('Raw Orders'!H137))</f>
        <v/>
      </c>
      <c r="K137">
        <f>IF('Raw Orders'!J137,"Cancelled",IF('Raw Orders'!K137&gt;=2,"Slipped","On plan"))</f>
        <v/>
      </c>
      <c r="L137" s="14">
        <f>IF(K137="On plan",0,F137)</f>
        <v/>
      </c>
    </row>
    <row r="138">
      <c r="A138">
        <f>'Raw Orders'!A138</f>
        <v/>
      </c>
      <c r="B138">
        <f>'Raw Orders'!B138</f>
        <v/>
      </c>
      <c r="C138">
        <f>'Raw Orders'!C138</f>
        <v/>
      </c>
      <c r="D138" s="13">
        <f>'Raw Orders'!E138</f>
        <v/>
      </c>
      <c r="E138" s="14">
        <f>'Raw Orders'!F138</f>
        <v/>
      </c>
      <c r="F138" s="14">
        <f>'Raw Orders'!F138*0.5</f>
        <v/>
      </c>
      <c r="G138" s="12">
        <f>'Raw Orders'!H138</f>
        <v/>
      </c>
      <c r="H138" s="12">
        <f>'Raw Orders'!I138</f>
        <v/>
      </c>
      <c r="I138" s="13">
        <f>'Raw Orders'!K138</f>
        <v/>
      </c>
      <c r="J138" s="13">
        <f>IF('Raw Orders'!J138,"",(YEAR('Raw Orders'!I138)-YEAR('Raw Orders'!H138))*12+MONTH('Raw Orders'!I138)-MONTH('Raw Orders'!H138))</f>
        <v/>
      </c>
      <c r="K138">
        <f>IF('Raw Orders'!J138,"Cancelled",IF('Raw Orders'!K138&gt;=2,"Slipped","On plan"))</f>
        <v/>
      </c>
      <c r="L138" s="14">
        <f>IF(K138="On plan",0,F138)</f>
        <v/>
      </c>
    </row>
    <row r="139">
      <c r="A139">
        <f>'Raw Orders'!A139</f>
        <v/>
      </c>
      <c r="B139">
        <f>'Raw Orders'!B139</f>
        <v/>
      </c>
      <c r="C139">
        <f>'Raw Orders'!C139</f>
        <v/>
      </c>
      <c r="D139" s="13">
        <f>'Raw Orders'!E139</f>
        <v/>
      </c>
      <c r="E139" s="14">
        <f>'Raw Orders'!F139</f>
        <v/>
      </c>
      <c r="F139" s="14">
        <f>'Raw Orders'!F139*0.5</f>
        <v/>
      </c>
      <c r="G139" s="12">
        <f>'Raw Orders'!H139</f>
        <v/>
      </c>
      <c r="H139" s="12">
        <f>'Raw Orders'!I139</f>
        <v/>
      </c>
      <c r="I139" s="13">
        <f>'Raw Orders'!K139</f>
        <v/>
      </c>
      <c r="J139" s="13">
        <f>IF('Raw Orders'!J139,"",(YEAR('Raw Orders'!I139)-YEAR('Raw Orders'!H139))*12+MONTH('Raw Orders'!I139)-MONTH('Raw Orders'!H139))</f>
        <v/>
      </c>
      <c r="K139">
        <f>IF('Raw Orders'!J139,"Cancelled",IF('Raw Orders'!K139&gt;=2,"Slipped","On plan"))</f>
        <v/>
      </c>
      <c r="L139" s="14">
        <f>IF(K139="On plan",0,F139)</f>
        <v/>
      </c>
    </row>
    <row r="140">
      <c r="A140">
        <f>'Raw Orders'!A140</f>
        <v/>
      </c>
      <c r="B140">
        <f>'Raw Orders'!B140</f>
        <v/>
      </c>
      <c r="C140">
        <f>'Raw Orders'!C140</f>
        <v/>
      </c>
      <c r="D140" s="13">
        <f>'Raw Orders'!E140</f>
        <v/>
      </c>
      <c r="E140" s="14">
        <f>'Raw Orders'!F140</f>
        <v/>
      </c>
      <c r="F140" s="14">
        <f>'Raw Orders'!F140*0.5</f>
        <v/>
      </c>
      <c r="G140" s="12">
        <f>'Raw Orders'!H140</f>
        <v/>
      </c>
      <c r="H140" s="12">
        <f>'Raw Orders'!I140</f>
        <v/>
      </c>
      <c r="I140" s="13">
        <f>'Raw Orders'!K140</f>
        <v/>
      </c>
      <c r="J140" s="13">
        <f>IF('Raw Orders'!J140,"",(YEAR('Raw Orders'!I140)-YEAR('Raw Orders'!H140))*12+MONTH('Raw Orders'!I140)-MONTH('Raw Orders'!H140))</f>
        <v/>
      </c>
      <c r="K140">
        <f>IF('Raw Orders'!J140,"Cancelled",IF('Raw Orders'!K140&gt;=2,"Slipped","On plan"))</f>
        <v/>
      </c>
      <c r="L140" s="14">
        <f>IF(K140="On plan",0,F140)</f>
        <v/>
      </c>
    </row>
    <row r="141">
      <c r="A141">
        <f>'Raw Orders'!A141</f>
        <v/>
      </c>
      <c r="B141">
        <f>'Raw Orders'!B141</f>
        <v/>
      </c>
      <c r="C141">
        <f>'Raw Orders'!C141</f>
        <v/>
      </c>
      <c r="D141" s="13">
        <f>'Raw Orders'!E141</f>
        <v/>
      </c>
      <c r="E141" s="14">
        <f>'Raw Orders'!F141</f>
        <v/>
      </c>
      <c r="F141" s="14">
        <f>'Raw Orders'!F141*0.5</f>
        <v/>
      </c>
      <c r="G141" s="12">
        <f>'Raw Orders'!H141</f>
        <v/>
      </c>
      <c r="H141" s="12">
        <f>'Raw Orders'!I141</f>
        <v/>
      </c>
      <c r="I141" s="13">
        <f>'Raw Orders'!K141</f>
        <v/>
      </c>
      <c r="J141" s="13">
        <f>IF('Raw Orders'!J141,"",(YEAR('Raw Orders'!I141)-YEAR('Raw Orders'!H141))*12+MONTH('Raw Orders'!I141)-MONTH('Raw Orders'!H141))</f>
        <v/>
      </c>
      <c r="K141">
        <f>IF('Raw Orders'!J141,"Cancelled",IF('Raw Orders'!K141&gt;=2,"Slipped","On plan"))</f>
        <v/>
      </c>
      <c r="L141" s="14">
        <f>IF(K141="On plan",0,F141)</f>
        <v/>
      </c>
    </row>
    <row r="142">
      <c r="A142">
        <f>'Raw Orders'!A142</f>
        <v/>
      </c>
      <c r="B142">
        <f>'Raw Orders'!B142</f>
        <v/>
      </c>
      <c r="C142">
        <f>'Raw Orders'!C142</f>
        <v/>
      </c>
      <c r="D142" s="13">
        <f>'Raw Orders'!E142</f>
        <v/>
      </c>
      <c r="E142" s="14">
        <f>'Raw Orders'!F142</f>
        <v/>
      </c>
      <c r="F142" s="14">
        <f>'Raw Orders'!F142*0.5</f>
        <v/>
      </c>
      <c r="G142" s="12">
        <f>'Raw Orders'!H142</f>
        <v/>
      </c>
      <c r="H142" s="12">
        <f>'Raw Orders'!I142</f>
        <v/>
      </c>
      <c r="I142" s="13">
        <f>'Raw Orders'!K142</f>
        <v/>
      </c>
      <c r="J142" s="13">
        <f>IF('Raw Orders'!J142,"",(YEAR('Raw Orders'!I142)-YEAR('Raw Orders'!H142))*12+MONTH('Raw Orders'!I142)-MONTH('Raw Orders'!H142))</f>
        <v/>
      </c>
      <c r="K142">
        <f>IF('Raw Orders'!J142,"Cancelled",IF('Raw Orders'!K142&gt;=2,"Slipped","On plan"))</f>
        <v/>
      </c>
      <c r="L142" s="14">
        <f>IF(K142="On plan",0,F142)</f>
        <v/>
      </c>
    </row>
    <row r="143">
      <c r="A143">
        <f>'Raw Orders'!A143</f>
        <v/>
      </c>
      <c r="B143">
        <f>'Raw Orders'!B143</f>
        <v/>
      </c>
      <c r="C143">
        <f>'Raw Orders'!C143</f>
        <v/>
      </c>
      <c r="D143" s="13">
        <f>'Raw Orders'!E143</f>
        <v/>
      </c>
      <c r="E143" s="14">
        <f>'Raw Orders'!F143</f>
        <v/>
      </c>
      <c r="F143" s="14">
        <f>'Raw Orders'!F143*0.5</f>
        <v/>
      </c>
      <c r="G143" s="12">
        <f>'Raw Orders'!H143</f>
        <v/>
      </c>
      <c r="H143" s="12">
        <f>'Raw Orders'!I143</f>
        <v/>
      </c>
      <c r="I143" s="13">
        <f>'Raw Orders'!K143</f>
        <v/>
      </c>
      <c r="J143" s="13">
        <f>IF('Raw Orders'!J143,"",(YEAR('Raw Orders'!I143)-YEAR('Raw Orders'!H143))*12+MONTH('Raw Orders'!I143)-MONTH('Raw Orders'!H143))</f>
        <v/>
      </c>
      <c r="K143">
        <f>IF('Raw Orders'!J143,"Cancelled",IF('Raw Orders'!K143&gt;=2,"Slipped","On plan"))</f>
        <v/>
      </c>
      <c r="L143" s="14">
        <f>IF(K143="On plan",0,F143)</f>
        <v/>
      </c>
    </row>
    <row r="144">
      <c r="A144">
        <f>'Raw Orders'!A144</f>
        <v/>
      </c>
      <c r="B144">
        <f>'Raw Orders'!B144</f>
        <v/>
      </c>
      <c r="C144">
        <f>'Raw Orders'!C144</f>
        <v/>
      </c>
      <c r="D144" s="13">
        <f>'Raw Orders'!E144</f>
        <v/>
      </c>
      <c r="E144" s="14">
        <f>'Raw Orders'!F144</f>
        <v/>
      </c>
      <c r="F144" s="14">
        <f>'Raw Orders'!F144*0.5</f>
        <v/>
      </c>
      <c r="G144" s="12">
        <f>'Raw Orders'!H144</f>
        <v/>
      </c>
      <c r="H144" s="12">
        <f>'Raw Orders'!I144</f>
        <v/>
      </c>
      <c r="I144" s="13">
        <f>'Raw Orders'!K144</f>
        <v/>
      </c>
      <c r="J144" s="13">
        <f>IF('Raw Orders'!J144,"",(YEAR('Raw Orders'!I144)-YEAR('Raw Orders'!H144))*12+MONTH('Raw Orders'!I144)-MONTH('Raw Orders'!H144))</f>
        <v/>
      </c>
      <c r="K144">
        <f>IF('Raw Orders'!J144,"Cancelled",IF('Raw Orders'!K144&gt;=2,"Slipped","On plan"))</f>
        <v/>
      </c>
      <c r="L144" s="14">
        <f>IF(K144="On plan",0,F144)</f>
        <v/>
      </c>
    </row>
    <row r="145">
      <c r="A145">
        <f>'Raw Orders'!A145</f>
        <v/>
      </c>
      <c r="B145">
        <f>'Raw Orders'!B145</f>
        <v/>
      </c>
      <c r="C145">
        <f>'Raw Orders'!C145</f>
        <v/>
      </c>
      <c r="D145" s="13">
        <f>'Raw Orders'!E145</f>
        <v/>
      </c>
      <c r="E145" s="14">
        <f>'Raw Orders'!F145</f>
        <v/>
      </c>
      <c r="F145" s="14">
        <f>'Raw Orders'!F145*0.5</f>
        <v/>
      </c>
      <c r="G145" s="12">
        <f>'Raw Orders'!H145</f>
        <v/>
      </c>
      <c r="H145" s="12">
        <f>'Raw Orders'!I145</f>
        <v/>
      </c>
      <c r="I145" s="13">
        <f>'Raw Orders'!K145</f>
        <v/>
      </c>
      <c r="J145" s="13">
        <f>IF('Raw Orders'!J145,"",(YEAR('Raw Orders'!I145)-YEAR('Raw Orders'!H145))*12+MONTH('Raw Orders'!I145)-MONTH('Raw Orders'!H145))</f>
        <v/>
      </c>
      <c r="K145">
        <f>IF('Raw Orders'!J145,"Cancelled",IF('Raw Orders'!K145&gt;=2,"Slipped","On plan"))</f>
        <v/>
      </c>
      <c r="L145" s="14">
        <f>IF(K145="On plan",0,F145)</f>
        <v/>
      </c>
    </row>
    <row r="146">
      <c r="A146">
        <f>'Raw Orders'!A146</f>
        <v/>
      </c>
      <c r="B146">
        <f>'Raw Orders'!B146</f>
        <v/>
      </c>
      <c r="C146">
        <f>'Raw Orders'!C146</f>
        <v/>
      </c>
      <c r="D146" s="13">
        <f>'Raw Orders'!E146</f>
        <v/>
      </c>
      <c r="E146" s="14">
        <f>'Raw Orders'!F146</f>
        <v/>
      </c>
      <c r="F146" s="14">
        <f>'Raw Orders'!F146*0.5</f>
        <v/>
      </c>
      <c r="G146" s="12">
        <f>'Raw Orders'!H146</f>
        <v/>
      </c>
      <c r="H146" s="12">
        <f>'Raw Orders'!I146</f>
        <v/>
      </c>
      <c r="I146" s="13">
        <f>'Raw Orders'!K146</f>
        <v/>
      </c>
      <c r="J146" s="13">
        <f>IF('Raw Orders'!J146,"",(YEAR('Raw Orders'!I146)-YEAR('Raw Orders'!H146))*12+MONTH('Raw Orders'!I146)-MONTH('Raw Orders'!H146))</f>
        <v/>
      </c>
      <c r="K146">
        <f>IF('Raw Orders'!J146,"Cancelled",IF('Raw Orders'!K146&gt;=2,"Slipped","On plan"))</f>
        <v/>
      </c>
      <c r="L146" s="14">
        <f>IF(K146="On plan",0,F146)</f>
        <v/>
      </c>
    </row>
    <row r="147">
      <c r="A147">
        <f>'Raw Orders'!A147</f>
        <v/>
      </c>
      <c r="B147">
        <f>'Raw Orders'!B147</f>
        <v/>
      </c>
      <c r="C147">
        <f>'Raw Orders'!C147</f>
        <v/>
      </c>
      <c r="D147" s="13">
        <f>'Raw Orders'!E147</f>
        <v/>
      </c>
      <c r="E147" s="14">
        <f>'Raw Orders'!F147</f>
        <v/>
      </c>
      <c r="F147" s="14">
        <f>'Raw Orders'!F147*0.5</f>
        <v/>
      </c>
      <c r="G147" s="12">
        <f>'Raw Orders'!H147</f>
        <v/>
      </c>
      <c r="H147" s="12">
        <f>'Raw Orders'!I147</f>
        <v/>
      </c>
      <c r="I147" s="13">
        <f>'Raw Orders'!K147</f>
        <v/>
      </c>
      <c r="J147" s="13">
        <f>IF('Raw Orders'!J147,"",(YEAR('Raw Orders'!I147)-YEAR('Raw Orders'!H147))*12+MONTH('Raw Orders'!I147)-MONTH('Raw Orders'!H147))</f>
        <v/>
      </c>
      <c r="K147">
        <f>IF('Raw Orders'!J147,"Cancelled",IF('Raw Orders'!K147&gt;=2,"Slipped","On plan"))</f>
        <v/>
      </c>
      <c r="L147" s="14">
        <f>IF(K147="On plan",0,F147)</f>
        <v/>
      </c>
    </row>
    <row r="148">
      <c r="A148">
        <f>'Raw Orders'!A148</f>
        <v/>
      </c>
      <c r="B148">
        <f>'Raw Orders'!B148</f>
        <v/>
      </c>
      <c r="C148">
        <f>'Raw Orders'!C148</f>
        <v/>
      </c>
      <c r="D148" s="13">
        <f>'Raw Orders'!E148</f>
        <v/>
      </c>
      <c r="E148" s="14">
        <f>'Raw Orders'!F148</f>
        <v/>
      </c>
      <c r="F148" s="14">
        <f>'Raw Orders'!F148*0.5</f>
        <v/>
      </c>
      <c r="G148" s="12">
        <f>'Raw Orders'!H148</f>
        <v/>
      </c>
      <c r="H148" s="12">
        <f>'Raw Orders'!I148</f>
        <v/>
      </c>
      <c r="I148" s="13">
        <f>'Raw Orders'!K148</f>
        <v/>
      </c>
      <c r="J148" s="13">
        <f>IF('Raw Orders'!J148,"",(YEAR('Raw Orders'!I148)-YEAR('Raw Orders'!H148))*12+MONTH('Raw Orders'!I148)-MONTH('Raw Orders'!H148))</f>
        <v/>
      </c>
      <c r="K148">
        <f>IF('Raw Orders'!J148,"Cancelled",IF('Raw Orders'!K148&gt;=2,"Slipped","On plan"))</f>
        <v/>
      </c>
      <c r="L148" s="14">
        <f>IF(K148="On plan",0,F148)</f>
        <v/>
      </c>
    </row>
    <row r="149">
      <c r="A149">
        <f>'Raw Orders'!A149</f>
        <v/>
      </c>
      <c r="B149">
        <f>'Raw Orders'!B149</f>
        <v/>
      </c>
      <c r="C149">
        <f>'Raw Orders'!C149</f>
        <v/>
      </c>
      <c r="D149" s="13">
        <f>'Raw Orders'!E149</f>
        <v/>
      </c>
      <c r="E149" s="14">
        <f>'Raw Orders'!F149</f>
        <v/>
      </c>
      <c r="F149" s="14">
        <f>'Raw Orders'!F149*0.5</f>
        <v/>
      </c>
      <c r="G149" s="12">
        <f>'Raw Orders'!H149</f>
        <v/>
      </c>
      <c r="H149" s="12">
        <f>'Raw Orders'!I149</f>
        <v/>
      </c>
      <c r="I149" s="13">
        <f>'Raw Orders'!K149</f>
        <v/>
      </c>
      <c r="J149" s="13">
        <f>IF('Raw Orders'!J149,"",(YEAR('Raw Orders'!I149)-YEAR('Raw Orders'!H149))*12+MONTH('Raw Orders'!I149)-MONTH('Raw Orders'!H149))</f>
        <v/>
      </c>
      <c r="K149">
        <f>IF('Raw Orders'!J149,"Cancelled",IF('Raw Orders'!K149&gt;=2,"Slipped","On plan"))</f>
        <v/>
      </c>
      <c r="L149" s="14">
        <f>IF(K149="On plan",0,F149)</f>
        <v/>
      </c>
    </row>
    <row r="150">
      <c r="A150">
        <f>'Raw Orders'!A150</f>
        <v/>
      </c>
      <c r="B150">
        <f>'Raw Orders'!B150</f>
        <v/>
      </c>
      <c r="C150">
        <f>'Raw Orders'!C150</f>
        <v/>
      </c>
      <c r="D150" s="13">
        <f>'Raw Orders'!E150</f>
        <v/>
      </c>
      <c r="E150" s="14">
        <f>'Raw Orders'!F150</f>
        <v/>
      </c>
      <c r="F150" s="14">
        <f>'Raw Orders'!F150*0.5</f>
        <v/>
      </c>
      <c r="G150" s="12">
        <f>'Raw Orders'!H150</f>
        <v/>
      </c>
      <c r="H150" s="12">
        <f>'Raw Orders'!I150</f>
        <v/>
      </c>
      <c r="I150" s="13">
        <f>'Raw Orders'!K150</f>
        <v/>
      </c>
      <c r="J150" s="13">
        <f>IF('Raw Orders'!J150,"",(YEAR('Raw Orders'!I150)-YEAR('Raw Orders'!H150))*12+MONTH('Raw Orders'!I150)-MONTH('Raw Orders'!H150))</f>
        <v/>
      </c>
      <c r="K150">
        <f>IF('Raw Orders'!J150,"Cancelled",IF('Raw Orders'!K150&gt;=2,"Slipped","On plan"))</f>
        <v/>
      </c>
      <c r="L150" s="14">
        <f>IF(K150="On plan",0,F150)</f>
        <v/>
      </c>
    </row>
    <row r="151">
      <c r="A151">
        <f>'Raw Orders'!A151</f>
        <v/>
      </c>
      <c r="B151">
        <f>'Raw Orders'!B151</f>
        <v/>
      </c>
      <c r="C151">
        <f>'Raw Orders'!C151</f>
        <v/>
      </c>
      <c r="D151" s="13">
        <f>'Raw Orders'!E151</f>
        <v/>
      </c>
      <c r="E151" s="14">
        <f>'Raw Orders'!F151</f>
        <v/>
      </c>
      <c r="F151" s="14">
        <f>'Raw Orders'!F151*0.5</f>
        <v/>
      </c>
      <c r="G151" s="12">
        <f>'Raw Orders'!H151</f>
        <v/>
      </c>
      <c r="H151" s="12">
        <f>'Raw Orders'!I151</f>
        <v/>
      </c>
      <c r="I151" s="13">
        <f>'Raw Orders'!K151</f>
        <v/>
      </c>
      <c r="J151" s="13">
        <f>IF('Raw Orders'!J151,"",(YEAR('Raw Orders'!I151)-YEAR('Raw Orders'!H151))*12+MONTH('Raw Orders'!I151)-MONTH('Raw Orders'!H151))</f>
        <v/>
      </c>
      <c r="K151">
        <f>IF('Raw Orders'!J151,"Cancelled",IF('Raw Orders'!K151&gt;=2,"Slipped","On plan"))</f>
        <v/>
      </c>
      <c r="L151" s="14">
        <f>IF(K151="On plan",0,F151)</f>
        <v/>
      </c>
    </row>
    <row r="152">
      <c r="A152">
        <f>'Raw Orders'!A152</f>
        <v/>
      </c>
      <c r="B152">
        <f>'Raw Orders'!B152</f>
        <v/>
      </c>
      <c r="C152">
        <f>'Raw Orders'!C152</f>
        <v/>
      </c>
      <c r="D152" s="13">
        <f>'Raw Orders'!E152</f>
        <v/>
      </c>
      <c r="E152" s="14">
        <f>'Raw Orders'!F152</f>
        <v/>
      </c>
      <c r="F152" s="14">
        <f>'Raw Orders'!F152*0.5</f>
        <v/>
      </c>
      <c r="G152" s="12">
        <f>'Raw Orders'!H152</f>
        <v/>
      </c>
      <c r="H152" s="12">
        <f>'Raw Orders'!I152</f>
        <v/>
      </c>
      <c r="I152" s="13">
        <f>'Raw Orders'!K152</f>
        <v/>
      </c>
      <c r="J152" s="13">
        <f>IF('Raw Orders'!J152,"",(YEAR('Raw Orders'!I152)-YEAR('Raw Orders'!H152))*12+MONTH('Raw Orders'!I152)-MONTH('Raw Orders'!H152))</f>
        <v/>
      </c>
      <c r="K152">
        <f>IF('Raw Orders'!J152,"Cancelled",IF('Raw Orders'!K152&gt;=2,"Slipped","On plan"))</f>
        <v/>
      </c>
      <c r="L152" s="14">
        <f>IF(K152="On plan",0,F152)</f>
        <v/>
      </c>
    </row>
    <row r="153">
      <c r="A153">
        <f>'Raw Orders'!A153</f>
        <v/>
      </c>
      <c r="B153">
        <f>'Raw Orders'!B153</f>
        <v/>
      </c>
      <c r="C153">
        <f>'Raw Orders'!C153</f>
        <v/>
      </c>
      <c r="D153" s="13">
        <f>'Raw Orders'!E153</f>
        <v/>
      </c>
      <c r="E153" s="14">
        <f>'Raw Orders'!F153</f>
        <v/>
      </c>
      <c r="F153" s="14">
        <f>'Raw Orders'!F153*0.5</f>
        <v/>
      </c>
      <c r="G153" s="12">
        <f>'Raw Orders'!H153</f>
        <v/>
      </c>
      <c r="H153" s="12">
        <f>'Raw Orders'!I153</f>
        <v/>
      </c>
      <c r="I153" s="13">
        <f>'Raw Orders'!K153</f>
        <v/>
      </c>
      <c r="J153" s="13">
        <f>IF('Raw Orders'!J153,"",(YEAR('Raw Orders'!I153)-YEAR('Raw Orders'!H153))*12+MONTH('Raw Orders'!I153)-MONTH('Raw Orders'!H153))</f>
        <v/>
      </c>
      <c r="K153">
        <f>IF('Raw Orders'!J153,"Cancelled",IF('Raw Orders'!K153&gt;=2,"Slipped","On plan"))</f>
        <v/>
      </c>
      <c r="L153" s="14">
        <f>IF(K153="On plan",0,F153)</f>
        <v/>
      </c>
    </row>
    <row r="154">
      <c r="A154">
        <f>'Raw Orders'!A154</f>
        <v/>
      </c>
      <c r="B154">
        <f>'Raw Orders'!B154</f>
        <v/>
      </c>
      <c r="C154">
        <f>'Raw Orders'!C154</f>
        <v/>
      </c>
      <c r="D154" s="13">
        <f>'Raw Orders'!E154</f>
        <v/>
      </c>
      <c r="E154" s="14">
        <f>'Raw Orders'!F154</f>
        <v/>
      </c>
      <c r="F154" s="14">
        <f>'Raw Orders'!F154*0.5</f>
        <v/>
      </c>
      <c r="G154" s="12">
        <f>'Raw Orders'!H154</f>
        <v/>
      </c>
      <c r="H154" s="12">
        <f>'Raw Orders'!I154</f>
        <v/>
      </c>
      <c r="I154" s="13">
        <f>'Raw Orders'!K154</f>
        <v/>
      </c>
      <c r="J154" s="13">
        <f>IF('Raw Orders'!J154,"",(YEAR('Raw Orders'!I154)-YEAR('Raw Orders'!H154))*12+MONTH('Raw Orders'!I154)-MONTH('Raw Orders'!H154))</f>
        <v/>
      </c>
      <c r="K154">
        <f>IF('Raw Orders'!J154,"Cancelled",IF('Raw Orders'!K154&gt;=2,"Slipped","On plan"))</f>
        <v/>
      </c>
      <c r="L154" s="14">
        <f>IF(K154="On plan",0,F154)</f>
        <v/>
      </c>
    </row>
    <row r="155">
      <c r="A155">
        <f>'Raw Orders'!A155</f>
        <v/>
      </c>
      <c r="B155">
        <f>'Raw Orders'!B155</f>
        <v/>
      </c>
      <c r="C155">
        <f>'Raw Orders'!C155</f>
        <v/>
      </c>
      <c r="D155" s="13">
        <f>'Raw Orders'!E155</f>
        <v/>
      </c>
      <c r="E155" s="14">
        <f>'Raw Orders'!F155</f>
        <v/>
      </c>
      <c r="F155" s="14">
        <f>'Raw Orders'!F155*0.5</f>
        <v/>
      </c>
      <c r="G155" s="12">
        <f>'Raw Orders'!H155</f>
        <v/>
      </c>
      <c r="H155" s="12">
        <f>'Raw Orders'!I155</f>
        <v/>
      </c>
      <c r="I155" s="13">
        <f>'Raw Orders'!K155</f>
        <v/>
      </c>
      <c r="J155" s="13">
        <f>IF('Raw Orders'!J155,"",(YEAR('Raw Orders'!I155)-YEAR('Raw Orders'!H155))*12+MONTH('Raw Orders'!I155)-MONTH('Raw Orders'!H155))</f>
        <v/>
      </c>
      <c r="K155">
        <f>IF('Raw Orders'!J155,"Cancelled",IF('Raw Orders'!K155&gt;=2,"Slipped","On plan"))</f>
        <v/>
      </c>
      <c r="L155" s="14">
        <f>IF(K155="On plan",0,F155)</f>
        <v/>
      </c>
    </row>
    <row r="156">
      <c r="A156">
        <f>'Raw Orders'!A156</f>
        <v/>
      </c>
      <c r="B156">
        <f>'Raw Orders'!B156</f>
        <v/>
      </c>
      <c r="C156">
        <f>'Raw Orders'!C156</f>
        <v/>
      </c>
      <c r="D156" s="13">
        <f>'Raw Orders'!E156</f>
        <v/>
      </c>
      <c r="E156" s="14">
        <f>'Raw Orders'!F156</f>
        <v/>
      </c>
      <c r="F156" s="14">
        <f>'Raw Orders'!F156*0.5</f>
        <v/>
      </c>
      <c r="G156" s="12">
        <f>'Raw Orders'!H156</f>
        <v/>
      </c>
      <c r="H156" s="12">
        <f>'Raw Orders'!I156</f>
        <v/>
      </c>
      <c r="I156" s="13">
        <f>'Raw Orders'!K156</f>
        <v/>
      </c>
      <c r="J156" s="13">
        <f>IF('Raw Orders'!J156,"",(YEAR('Raw Orders'!I156)-YEAR('Raw Orders'!H156))*12+MONTH('Raw Orders'!I156)-MONTH('Raw Orders'!H156))</f>
        <v/>
      </c>
      <c r="K156">
        <f>IF('Raw Orders'!J156,"Cancelled",IF('Raw Orders'!K156&gt;=2,"Slipped","On plan"))</f>
        <v/>
      </c>
      <c r="L156" s="14">
        <f>IF(K156="On plan",0,F156)</f>
        <v/>
      </c>
    </row>
    <row r="157">
      <c r="A157">
        <f>'Raw Orders'!A157</f>
        <v/>
      </c>
      <c r="B157">
        <f>'Raw Orders'!B157</f>
        <v/>
      </c>
      <c r="C157">
        <f>'Raw Orders'!C157</f>
        <v/>
      </c>
      <c r="D157" s="13">
        <f>'Raw Orders'!E157</f>
        <v/>
      </c>
      <c r="E157" s="14">
        <f>'Raw Orders'!F157</f>
        <v/>
      </c>
      <c r="F157" s="14">
        <f>'Raw Orders'!F157*0.5</f>
        <v/>
      </c>
      <c r="G157" s="12">
        <f>'Raw Orders'!H157</f>
        <v/>
      </c>
      <c r="H157" s="12">
        <f>'Raw Orders'!I157</f>
        <v/>
      </c>
      <c r="I157" s="13">
        <f>'Raw Orders'!K157</f>
        <v/>
      </c>
      <c r="J157" s="13">
        <f>IF('Raw Orders'!J157,"",(YEAR('Raw Orders'!I157)-YEAR('Raw Orders'!H157))*12+MONTH('Raw Orders'!I157)-MONTH('Raw Orders'!H157))</f>
        <v/>
      </c>
      <c r="K157">
        <f>IF('Raw Orders'!J157,"Cancelled",IF('Raw Orders'!K157&gt;=2,"Slipped","On plan"))</f>
        <v/>
      </c>
      <c r="L157" s="14">
        <f>IF(K157="On plan",0,F157)</f>
        <v/>
      </c>
    </row>
    <row r="158">
      <c r="A158">
        <f>'Raw Orders'!A158</f>
        <v/>
      </c>
      <c r="B158">
        <f>'Raw Orders'!B158</f>
        <v/>
      </c>
      <c r="C158">
        <f>'Raw Orders'!C158</f>
        <v/>
      </c>
      <c r="D158" s="13">
        <f>'Raw Orders'!E158</f>
        <v/>
      </c>
      <c r="E158" s="14">
        <f>'Raw Orders'!F158</f>
        <v/>
      </c>
      <c r="F158" s="14">
        <f>'Raw Orders'!F158*0.5</f>
        <v/>
      </c>
      <c r="G158" s="12">
        <f>'Raw Orders'!H158</f>
        <v/>
      </c>
      <c r="H158" s="12">
        <f>'Raw Orders'!I158</f>
        <v/>
      </c>
      <c r="I158" s="13">
        <f>'Raw Orders'!K158</f>
        <v/>
      </c>
      <c r="J158" s="13">
        <f>IF('Raw Orders'!J158,"",(YEAR('Raw Orders'!I158)-YEAR('Raw Orders'!H158))*12+MONTH('Raw Orders'!I158)-MONTH('Raw Orders'!H158))</f>
        <v/>
      </c>
      <c r="K158">
        <f>IF('Raw Orders'!J158,"Cancelled",IF('Raw Orders'!K158&gt;=2,"Slipped","On plan"))</f>
        <v/>
      </c>
      <c r="L158" s="14">
        <f>IF(K158="On plan",0,F158)</f>
        <v/>
      </c>
    </row>
    <row r="159">
      <c r="A159">
        <f>'Raw Orders'!A159</f>
        <v/>
      </c>
      <c r="B159">
        <f>'Raw Orders'!B159</f>
        <v/>
      </c>
      <c r="C159">
        <f>'Raw Orders'!C159</f>
        <v/>
      </c>
      <c r="D159" s="13">
        <f>'Raw Orders'!E159</f>
        <v/>
      </c>
      <c r="E159" s="14">
        <f>'Raw Orders'!F159</f>
        <v/>
      </c>
      <c r="F159" s="14">
        <f>'Raw Orders'!F159*0.5</f>
        <v/>
      </c>
      <c r="G159" s="12">
        <f>'Raw Orders'!H159</f>
        <v/>
      </c>
      <c r="H159" s="12">
        <f>'Raw Orders'!I159</f>
        <v/>
      </c>
      <c r="I159" s="13">
        <f>'Raw Orders'!K159</f>
        <v/>
      </c>
      <c r="J159" s="13">
        <f>IF('Raw Orders'!J159,"",(YEAR('Raw Orders'!I159)-YEAR('Raw Orders'!H159))*12+MONTH('Raw Orders'!I159)-MONTH('Raw Orders'!H159))</f>
        <v/>
      </c>
      <c r="K159">
        <f>IF('Raw Orders'!J159,"Cancelled",IF('Raw Orders'!K159&gt;=2,"Slipped","On plan"))</f>
        <v/>
      </c>
      <c r="L159" s="14">
        <f>IF(K159="On plan",0,F159)</f>
        <v/>
      </c>
    </row>
    <row r="160">
      <c r="A160">
        <f>'Raw Orders'!A160</f>
        <v/>
      </c>
      <c r="B160">
        <f>'Raw Orders'!B160</f>
        <v/>
      </c>
      <c r="C160">
        <f>'Raw Orders'!C160</f>
        <v/>
      </c>
      <c r="D160" s="13">
        <f>'Raw Orders'!E160</f>
        <v/>
      </c>
      <c r="E160" s="14">
        <f>'Raw Orders'!F160</f>
        <v/>
      </c>
      <c r="F160" s="14">
        <f>'Raw Orders'!F160*0.5</f>
        <v/>
      </c>
      <c r="G160" s="12">
        <f>'Raw Orders'!H160</f>
        <v/>
      </c>
      <c r="H160" s="12">
        <f>'Raw Orders'!I160</f>
        <v/>
      </c>
      <c r="I160" s="13">
        <f>'Raw Orders'!K160</f>
        <v/>
      </c>
      <c r="J160" s="13">
        <f>IF('Raw Orders'!J160,"",(YEAR('Raw Orders'!I160)-YEAR('Raw Orders'!H160))*12+MONTH('Raw Orders'!I160)-MONTH('Raw Orders'!H160))</f>
        <v/>
      </c>
      <c r="K160">
        <f>IF('Raw Orders'!J160,"Cancelled",IF('Raw Orders'!K160&gt;=2,"Slipped","On plan"))</f>
        <v/>
      </c>
      <c r="L160" s="14">
        <f>IF(K160="On plan",0,F160)</f>
        <v/>
      </c>
    </row>
    <row r="161">
      <c r="A161">
        <f>'Raw Orders'!A161</f>
        <v/>
      </c>
      <c r="B161">
        <f>'Raw Orders'!B161</f>
        <v/>
      </c>
      <c r="C161">
        <f>'Raw Orders'!C161</f>
        <v/>
      </c>
      <c r="D161" s="13">
        <f>'Raw Orders'!E161</f>
        <v/>
      </c>
      <c r="E161" s="14">
        <f>'Raw Orders'!F161</f>
        <v/>
      </c>
      <c r="F161" s="14">
        <f>'Raw Orders'!F161*0.5</f>
        <v/>
      </c>
      <c r="G161" s="12">
        <f>'Raw Orders'!H161</f>
        <v/>
      </c>
      <c r="H161" s="12">
        <f>'Raw Orders'!I161</f>
        <v/>
      </c>
      <c r="I161" s="13">
        <f>'Raw Orders'!K161</f>
        <v/>
      </c>
      <c r="J161" s="13">
        <f>IF('Raw Orders'!J161,"",(YEAR('Raw Orders'!I161)-YEAR('Raw Orders'!H161))*12+MONTH('Raw Orders'!I161)-MONTH('Raw Orders'!H161))</f>
        <v/>
      </c>
      <c r="K161">
        <f>IF('Raw Orders'!J161,"Cancelled",IF('Raw Orders'!K161&gt;=2,"Slipped","On plan"))</f>
        <v/>
      </c>
      <c r="L161" s="14">
        <f>IF(K161="On plan",0,F161)</f>
        <v/>
      </c>
    </row>
    <row r="162">
      <c r="A162">
        <f>'Raw Orders'!A162</f>
        <v/>
      </c>
      <c r="B162">
        <f>'Raw Orders'!B162</f>
        <v/>
      </c>
      <c r="C162">
        <f>'Raw Orders'!C162</f>
        <v/>
      </c>
      <c r="D162" s="13">
        <f>'Raw Orders'!E162</f>
        <v/>
      </c>
      <c r="E162" s="14">
        <f>'Raw Orders'!F162</f>
        <v/>
      </c>
      <c r="F162" s="14">
        <f>'Raw Orders'!F162*0.5</f>
        <v/>
      </c>
      <c r="G162" s="12">
        <f>'Raw Orders'!H162</f>
        <v/>
      </c>
      <c r="H162" s="12">
        <f>'Raw Orders'!I162</f>
        <v/>
      </c>
      <c r="I162" s="13">
        <f>'Raw Orders'!K162</f>
        <v/>
      </c>
      <c r="J162" s="13">
        <f>IF('Raw Orders'!J162,"",(YEAR('Raw Orders'!I162)-YEAR('Raw Orders'!H162))*12+MONTH('Raw Orders'!I162)-MONTH('Raw Orders'!H162))</f>
        <v/>
      </c>
      <c r="K162">
        <f>IF('Raw Orders'!J162,"Cancelled",IF('Raw Orders'!K162&gt;=2,"Slipped","On plan"))</f>
        <v/>
      </c>
      <c r="L162" s="14">
        <f>IF(K162="On plan",0,F162)</f>
        <v/>
      </c>
    </row>
    <row r="163">
      <c r="A163">
        <f>'Raw Orders'!A163</f>
        <v/>
      </c>
      <c r="B163">
        <f>'Raw Orders'!B163</f>
        <v/>
      </c>
      <c r="C163">
        <f>'Raw Orders'!C163</f>
        <v/>
      </c>
      <c r="D163" s="13">
        <f>'Raw Orders'!E163</f>
        <v/>
      </c>
      <c r="E163" s="14">
        <f>'Raw Orders'!F163</f>
        <v/>
      </c>
      <c r="F163" s="14">
        <f>'Raw Orders'!F163*0.5</f>
        <v/>
      </c>
      <c r="G163" s="12">
        <f>'Raw Orders'!H163</f>
        <v/>
      </c>
      <c r="H163" s="12">
        <f>'Raw Orders'!I163</f>
        <v/>
      </c>
      <c r="I163" s="13">
        <f>'Raw Orders'!K163</f>
        <v/>
      </c>
      <c r="J163" s="13">
        <f>IF('Raw Orders'!J163,"",(YEAR('Raw Orders'!I163)-YEAR('Raw Orders'!H163))*12+MONTH('Raw Orders'!I163)-MONTH('Raw Orders'!H163))</f>
        <v/>
      </c>
      <c r="K163">
        <f>IF('Raw Orders'!J163,"Cancelled",IF('Raw Orders'!K163&gt;=2,"Slipped","On plan"))</f>
        <v/>
      </c>
      <c r="L163" s="14">
        <f>IF(K163="On plan",0,F163)</f>
        <v/>
      </c>
    </row>
    <row r="164">
      <c r="A164">
        <f>'Raw Orders'!A164</f>
        <v/>
      </c>
      <c r="B164">
        <f>'Raw Orders'!B164</f>
        <v/>
      </c>
      <c r="C164">
        <f>'Raw Orders'!C164</f>
        <v/>
      </c>
      <c r="D164" s="13">
        <f>'Raw Orders'!E164</f>
        <v/>
      </c>
      <c r="E164" s="14">
        <f>'Raw Orders'!F164</f>
        <v/>
      </c>
      <c r="F164" s="14">
        <f>'Raw Orders'!F164*0.5</f>
        <v/>
      </c>
      <c r="G164" s="12">
        <f>'Raw Orders'!H164</f>
        <v/>
      </c>
      <c r="H164" s="12">
        <f>'Raw Orders'!I164</f>
        <v/>
      </c>
      <c r="I164" s="13">
        <f>'Raw Orders'!K164</f>
        <v/>
      </c>
      <c r="J164" s="13">
        <f>IF('Raw Orders'!J164,"",(YEAR('Raw Orders'!I164)-YEAR('Raw Orders'!H164))*12+MONTH('Raw Orders'!I164)-MONTH('Raw Orders'!H164))</f>
        <v/>
      </c>
      <c r="K164">
        <f>IF('Raw Orders'!J164,"Cancelled",IF('Raw Orders'!K164&gt;=2,"Slipped","On plan"))</f>
        <v/>
      </c>
      <c r="L164" s="14">
        <f>IF(K164="On plan",0,F164)</f>
        <v/>
      </c>
    </row>
    <row r="165">
      <c r="A165">
        <f>'Raw Orders'!A165</f>
        <v/>
      </c>
      <c r="B165">
        <f>'Raw Orders'!B165</f>
        <v/>
      </c>
      <c r="C165">
        <f>'Raw Orders'!C165</f>
        <v/>
      </c>
      <c r="D165" s="13">
        <f>'Raw Orders'!E165</f>
        <v/>
      </c>
      <c r="E165" s="14">
        <f>'Raw Orders'!F165</f>
        <v/>
      </c>
      <c r="F165" s="14">
        <f>'Raw Orders'!F165*0.5</f>
        <v/>
      </c>
      <c r="G165" s="12">
        <f>'Raw Orders'!H165</f>
        <v/>
      </c>
      <c r="H165" s="12">
        <f>'Raw Orders'!I165</f>
        <v/>
      </c>
      <c r="I165" s="13">
        <f>'Raw Orders'!K165</f>
        <v/>
      </c>
      <c r="J165" s="13">
        <f>IF('Raw Orders'!J165,"",(YEAR('Raw Orders'!I165)-YEAR('Raw Orders'!H165))*12+MONTH('Raw Orders'!I165)-MONTH('Raw Orders'!H165))</f>
        <v/>
      </c>
      <c r="K165">
        <f>IF('Raw Orders'!J165,"Cancelled",IF('Raw Orders'!K165&gt;=2,"Slipped","On plan"))</f>
        <v/>
      </c>
      <c r="L165" s="14">
        <f>IF(K165="On plan",0,F165)</f>
        <v/>
      </c>
    </row>
    <row r="166">
      <c r="A166">
        <f>'Raw Orders'!A166</f>
        <v/>
      </c>
      <c r="B166">
        <f>'Raw Orders'!B166</f>
        <v/>
      </c>
      <c r="C166">
        <f>'Raw Orders'!C166</f>
        <v/>
      </c>
      <c r="D166" s="13">
        <f>'Raw Orders'!E166</f>
        <v/>
      </c>
      <c r="E166" s="14">
        <f>'Raw Orders'!F166</f>
        <v/>
      </c>
      <c r="F166" s="14">
        <f>'Raw Orders'!F166*0.5</f>
        <v/>
      </c>
      <c r="G166" s="12">
        <f>'Raw Orders'!H166</f>
        <v/>
      </c>
      <c r="H166" s="12">
        <f>'Raw Orders'!I166</f>
        <v/>
      </c>
      <c r="I166" s="13">
        <f>'Raw Orders'!K166</f>
        <v/>
      </c>
      <c r="J166" s="13">
        <f>IF('Raw Orders'!J166,"",(YEAR('Raw Orders'!I166)-YEAR('Raw Orders'!H166))*12+MONTH('Raw Orders'!I166)-MONTH('Raw Orders'!H166))</f>
        <v/>
      </c>
      <c r="K166">
        <f>IF('Raw Orders'!J166,"Cancelled",IF('Raw Orders'!K166&gt;=2,"Slipped","On plan"))</f>
        <v/>
      </c>
      <c r="L166" s="14">
        <f>IF(K166="On plan",0,F166)</f>
        <v/>
      </c>
    </row>
    <row r="167">
      <c r="A167">
        <f>'Raw Orders'!A167</f>
        <v/>
      </c>
      <c r="B167">
        <f>'Raw Orders'!B167</f>
        <v/>
      </c>
      <c r="C167">
        <f>'Raw Orders'!C167</f>
        <v/>
      </c>
      <c r="D167" s="13">
        <f>'Raw Orders'!E167</f>
        <v/>
      </c>
      <c r="E167" s="14">
        <f>'Raw Orders'!F167</f>
        <v/>
      </c>
      <c r="F167" s="14">
        <f>'Raw Orders'!F167*0.5</f>
        <v/>
      </c>
      <c r="G167" s="12">
        <f>'Raw Orders'!H167</f>
        <v/>
      </c>
      <c r="H167" s="12">
        <f>'Raw Orders'!I167</f>
        <v/>
      </c>
      <c r="I167" s="13">
        <f>'Raw Orders'!K167</f>
        <v/>
      </c>
      <c r="J167" s="13">
        <f>IF('Raw Orders'!J167,"",(YEAR('Raw Orders'!I167)-YEAR('Raw Orders'!H167))*12+MONTH('Raw Orders'!I167)-MONTH('Raw Orders'!H167))</f>
        <v/>
      </c>
      <c r="K167">
        <f>IF('Raw Orders'!J167,"Cancelled",IF('Raw Orders'!K167&gt;=2,"Slipped","On plan"))</f>
        <v/>
      </c>
      <c r="L167" s="14">
        <f>IF(K167="On plan",0,F167)</f>
        <v/>
      </c>
    </row>
    <row r="168">
      <c r="A168">
        <f>'Raw Orders'!A168</f>
        <v/>
      </c>
      <c r="B168">
        <f>'Raw Orders'!B168</f>
        <v/>
      </c>
      <c r="C168">
        <f>'Raw Orders'!C168</f>
        <v/>
      </c>
      <c r="D168" s="13">
        <f>'Raw Orders'!E168</f>
        <v/>
      </c>
      <c r="E168" s="14">
        <f>'Raw Orders'!F168</f>
        <v/>
      </c>
      <c r="F168" s="14">
        <f>'Raw Orders'!F168*0.5</f>
        <v/>
      </c>
      <c r="G168" s="12">
        <f>'Raw Orders'!H168</f>
        <v/>
      </c>
      <c r="H168" s="12">
        <f>'Raw Orders'!I168</f>
        <v/>
      </c>
      <c r="I168" s="13">
        <f>'Raw Orders'!K168</f>
        <v/>
      </c>
      <c r="J168" s="13">
        <f>IF('Raw Orders'!J168,"",(YEAR('Raw Orders'!I168)-YEAR('Raw Orders'!H168))*12+MONTH('Raw Orders'!I168)-MONTH('Raw Orders'!H168))</f>
        <v/>
      </c>
      <c r="K168">
        <f>IF('Raw Orders'!J168,"Cancelled",IF('Raw Orders'!K168&gt;=2,"Slipped","On plan"))</f>
        <v/>
      </c>
      <c r="L168" s="14">
        <f>IF(K168="On plan",0,F168)</f>
        <v/>
      </c>
    </row>
    <row r="169">
      <c r="A169">
        <f>'Raw Orders'!A169</f>
        <v/>
      </c>
      <c r="B169">
        <f>'Raw Orders'!B169</f>
        <v/>
      </c>
      <c r="C169">
        <f>'Raw Orders'!C169</f>
        <v/>
      </c>
      <c r="D169" s="13">
        <f>'Raw Orders'!E169</f>
        <v/>
      </c>
      <c r="E169" s="14">
        <f>'Raw Orders'!F169</f>
        <v/>
      </c>
      <c r="F169" s="14">
        <f>'Raw Orders'!F169*0.5</f>
        <v/>
      </c>
      <c r="G169" s="12">
        <f>'Raw Orders'!H169</f>
        <v/>
      </c>
      <c r="H169" s="12">
        <f>'Raw Orders'!I169</f>
        <v/>
      </c>
      <c r="I169" s="13">
        <f>'Raw Orders'!K169</f>
        <v/>
      </c>
      <c r="J169" s="13">
        <f>IF('Raw Orders'!J169,"",(YEAR('Raw Orders'!I169)-YEAR('Raw Orders'!H169))*12+MONTH('Raw Orders'!I169)-MONTH('Raw Orders'!H169))</f>
        <v/>
      </c>
      <c r="K169">
        <f>IF('Raw Orders'!J169,"Cancelled",IF('Raw Orders'!K169&gt;=2,"Slipped","On plan"))</f>
        <v/>
      </c>
      <c r="L169" s="14">
        <f>IF(K169="On plan",0,F169)</f>
        <v/>
      </c>
    </row>
    <row r="170">
      <c r="A170">
        <f>'Raw Orders'!A170</f>
        <v/>
      </c>
      <c r="B170">
        <f>'Raw Orders'!B170</f>
        <v/>
      </c>
      <c r="C170">
        <f>'Raw Orders'!C170</f>
        <v/>
      </c>
      <c r="D170" s="13">
        <f>'Raw Orders'!E170</f>
        <v/>
      </c>
      <c r="E170" s="14">
        <f>'Raw Orders'!F170</f>
        <v/>
      </c>
      <c r="F170" s="14">
        <f>'Raw Orders'!F170*0.5</f>
        <v/>
      </c>
      <c r="G170" s="12">
        <f>'Raw Orders'!H170</f>
        <v/>
      </c>
      <c r="H170" s="12">
        <f>'Raw Orders'!I170</f>
        <v/>
      </c>
      <c r="I170" s="13">
        <f>'Raw Orders'!K170</f>
        <v/>
      </c>
      <c r="J170" s="13">
        <f>IF('Raw Orders'!J170,"",(YEAR('Raw Orders'!I170)-YEAR('Raw Orders'!H170))*12+MONTH('Raw Orders'!I170)-MONTH('Raw Orders'!H170))</f>
        <v/>
      </c>
      <c r="K170">
        <f>IF('Raw Orders'!J170,"Cancelled",IF('Raw Orders'!K170&gt;=2,"Slipped","On plan"))</f>
        <v/>
      </c>
      <c r="L170" s="14">
        <f>IF(K170="On plan",0,F170)</f>
        <v/>
      </c>
    </row>
    <row r="171">
      <c r="A171">
        <f>'Raw Orders'!A171</f>
        <v/>
      </c>
      <c r="B171">
        <f>'Raw Orders'!B171</f>
        <v/>
      </c>
      <c r="C171">
        <f>'Raw Orders'!C171</f>
        <v/>
      </c>
      <c r="D171" s="13">
        <f>'Raw Orders'!E171</f>
        <v/>
      </c>
      <c r="E171" s="14">
        <f>'Raw Orders'!F171</f>
        <v/>
      </c>
      <c r="F171" s="14">
        <f>'Raw Orders'!F171*0.5</f>
        <v/>
      </c>
      <c r="G171" s="12">
        <f>'Raw Orders'!H171</f>
        <v/>
      </c>
      <c r="H171" s="12">
        <f>'Raw Orders'!I171</f>
        <v/>
      </c>
      <c r="I171" s="13">
        <f>'Raw Orders'!K171</f>
        <v/>
      </c>
      <c r="J171" s="13">
        <f>IF('Raw Orders'!J171,"",(YEAR('Raw Orders'!I171)-YEAR('Raw Orders'!H171))*12+MONTH('Raw Orders'!I171)-MONTH('Raw Orders'!H171))</f>
        <v/>
      </c>
      <c r="K171">
        <f>IF('Raw Orders'!J171,"Cancelled",IF('Raw Orders'!K171&gt;=2,"Slipped","On plan"))</f>
        <v/>
      </c>
      <c r="L171" s="14">
        <f>IF(K171="On plan",0,F171)</f>
        <v/>
      </c>
    </row>
    <row r="172">
      <c r="A172">
        <f>'Raw Orders'!A172</f>
        <v/>
      </c>
      <c r="B172">
        <f>'Raw Orders'!B172</f>
        <v/>
      </c>
      <c r="C172">
        <f>'Raw Orders'!C172</f>
        <v/>
      </c>
      <c r="D172" s="13">
        <f>'Raw Orders'!E172</f>
        <v/>
      </c>
      <c r="E172" s="14">
        <f>'Raw Orders'!F172</f>
        <v/>
      </c>
      <c r="F172" s="14">
        <f>'Raw Orders'!F172*0.5</f>
        <v/>
      </c>
      <c r="G172" s="12">
        <f>'Raw Orders'!H172</f>
        <v/>
      </c>
      <c r="H172" s="12">
        <f>'Raw Orders'!I172</f>
        <v/>
      </c>
      <c r="I172" s="13">
        <f>'Raw Orders'!K172</f>
        <v/>
      </c>
      <c r="J172" s="13">
        <f>IF('Raw Orders'!J172,"",(YEAR('Raw Orders'!I172)-YEAR('Raw Orders'!H172))*12+MONTH('Raw Orders'!I172)-MONTH('Raw Orders'!H172))</f>
        <v/>
      </c>
      <c r="K172">
        <f>IF('Raw Orders'!J172,"Cancelled",IF('Raw Orders'!K172&gt;=2,"Slipped","On plan"))</f>
        <v/>
      </c>
      <c r="L172" s="14">
        <f>IF(K172="On plan",0,F172)</f>
        <v/>
      </c>
    </row>
    <row r="173">
      <c r="A173">
        <f>'Raw Orders'!A173</f>
        <v/>
      </c>
      <c r="B173">
        <f>'Raw Orders'!B173</f>
        <v/>
      </c>
      <c r="C173">
        <f>'Raw Orders'!C173</f>
        <v/>
      </c>
      <c r="D173" s="13">
        <f>'Raw Orders'!E173</f>
        <v/>
      </c>
      <c r="E173" s="14">
        <f>'Raw Orders'!F173</f>
        <v/>
      </c>
      <c r="F173" s="14">
        <f>'Raw Orders'!F173*0.5</f>
        <v/>
      </c>
      <c r="G173" s="12">
        <f>'Raw Orders'!H173</f>
        <v/>
      </c>
      <c r="H173" s="12">
        <f>'Raw Orders'!I173</f>
        <v/>
      </c>
      <c r="I173" s="13">
        <f>'Raw Orders'!K173</f>
        <v/>
      </c>
      <c r="J173" s="13">
        <f>IF('Raw Orders'!J173,"",(YEAR('Raw Orders'!I173)-YEAR('Raw Orders'!H173))*12+MONTH('Raw Orders'!I173)-MONTH('Raw Orders'!H173))</f>
        <v/>
      </c>
      <c r="K173">
        <f>IF('Raw Orders'!J173,"Cancelled",IF('Raw Orders'!K173&gt;=2,"Slipped","On plan"))</f>
        <v/>
      </c>
      <c r="L173" s="14">
        <f>IF(K173="On plan",0,F173)</f>
        <v/>
      </c>
    </row>
    <row r="174">
      <c r="A174">
        <f>'Raw Orders'!A174</f>
        <v/>
      </c>
      <c r="B174">
        <f>'Raw Orders'!B174</f>
        <v/>
      </c>
      <c r="C174">
        <f>'Raw Orders'!C174</f>
        <v/>
      </c>
      <c r="D174" s="13">
        <f>'Raw Orders'!E174</f>
        <v/>
      </c>
      <c r="E174" s="14">
        <f>'Raw Orders'!F174</f>
        <v/>
      </c>
      <c r="F174" s="14">
        <f>'Raw Orders'!F174*0.5</f>
        <v/>
      </c>
      <c r="G174" s="12">
        <f>'Raw Orders'!H174</f>
        <v/>
      </c>
      <c r="H174" s="12">
        <f>'Raw Orders'!I174</f>
        <v/>
      </c>
      <c r="I174" s="13">
        <f>'Raw Orders'!K174</f>
        <v/>
      </c>
      <c r="J174" s="13">
        <f>IF('Raw Orders'!J174,"",(YEAR('Raw Orders'!I174)-YEAR('Raw Orders'!H174))*12+MONTH('Raw Orders'!I174)-MONTH('Raw Orders'!H174))</f>
        <v/>
      </c>
      <c r="K174">
        <f>IF('Raw Orders'!J174,"Cancelled",IF('Raw Orders'!K174&gt;=2,"Slipped","On plan"))</f>
        <v/>
      </c>
      <c r="L174" s="14">
        <f>IF(K174="On plan",0,F174)</f>
        <v/>
      </c>
    </row>
    <row r="175">
      <c r="A175">
        <f>'Raw Orders'!A175</f>
        <v/>
      </c>
      <c r="B175">
        <f>'Raw Orders'!B175</f>
        <v/>
      </c>
      <c r="C175">
        <f>'Raw Orders'!C175</f>
        <v/>
      </c>
      <c r="D175" s="13">
        <f>'Raw Orders'!E175</f>
        <v/>
      </c>
      <c r="E175" s="14">
        <f>'Raw Orders'!F175</f>
        <v/>
      </c>
      <c r="F175" s="14">
        <f>'Raw Orders'!F175*0.5</f>
        <v/>
      </c>
      <c r="G175" s="12">
        <f>'Raw Orders'!H175</f>
        <v/>
      </c>
      <c r="H175" s="12">
        <f>'Raw Orders'!I175</f>
        <v/>
      </c>
      <c r="I175" s="13">
        <f>'Raw Orders'!K175</f>
        <v/>
      </c>
      <c r="J175" s="13">
        <f>IF('Raw Orders'!J175,"",(YEAR('Raw Orders'!I175)-YEAR('Raw Orders'!H175))*12+MONTH('Raw Orders'!I175)-MONTH('Raw Orders'!H175))</f>
        <v/>
      </c>
      <c r="K175">
        <f>IF('Raw Orders'!J175,"Cancelled",IF('Raw Orders'!K175&gt;=2,"Slipped","On plan"))</f>
        <v/>
      </c>
      <c r="L175" s="14">
        <f>IF(K175="On plan",0,F175)</f>
        <v/>
      </c>
    </row>
    <row r="176">
      <c r="A176">
        <f>'Raw Orders'!A176</f>
        <v/>
      </c>
      <c r="B176">
        <f>'Raw Orders'!B176</f>
        <v/>
      </c>
      <c r="C176">
        <f>'Raw Orders'!C176</f>
        <v/>
      </c>
      <c r="D176" s="13">
        <f>'Raw Orders'!E176</f>
        <v/>
      </c>
      <c r="E176" s="14">
        <f>'Raw Orders'!F176</f>
        <v/>
      </c>
      <c r="F176" s="14">
        <f>'Raw Orders'!F176*0.5</f>
        <v/>
      </c>
      <c r="G176" s="12">
        <f>'Raw Orders'!H176</f>
        <v/>
      </c>
      <c r="H176" s="12">
        <f>'Raw Orders'!I176</f>
        <v/>
      </c>
      <c r="I176" s="13">
        <f>'Raw Orders'!K176</f>
        <v/>
      </c>
      <c r="J176" s="13">
        <f>IF('Raw Orders'!J176,"",(YEAR('Raw Orders'!I176)-YEAR('Raw Orders'!H176))*12+MONTH('Raw Orders'!I176)-MONTH('Raw Orders'!H176))</f>
        <v/>
      </c>
      <c r="K176">
        <f>IF('Raw Orders'!J176,"Cancelled",IF('Raw Orders'!K176&gt;=2,"Slipped","On plan"))</f>
        <v/>
      </c>
      <c r="L176" s="14">
        <f>IF(K176="On plan",0,F176)</f>
        <v/>
      </c>
    </row>
    <row r="177">
      <c r="A177">
        <f>'Raw Orders'!A177</f>
        <v/>
      </c>
      <c r="B177">
        <f>'Raw Orders'!B177</f>
        <v/>
      </c>
      <c r="C177">
        <f>'Raw Orders'!C177</f>
        <v/>
      </c>
      <c r="D177" s="13">
        <f>'Raw Orders'!E177</f>
        <v/>
      </c>
      <c r="E177" s="14">
        <f>'Raw Orders'!F177</f>
        <v/>
      </c>
      <c r="F177" s="14">
        <f>'Raw Orders'!F177*0.5</f>
        <v/>
      </c>
      <c r="G177" s="12">
        <f>'Raw Orders'!H177</f>
        <v/>
      </c>
      <c r="H177" s="12">
        <f>'Raw Orders'!I177</f>
        <v/>
      </c>
      <c r="I177" s="13">
        <f>'Raw Orders'!K177</f>
        <v/>
      </c>
      <c r="J177" s="13">
        <f>IF('Raw Orders'!J177,"",(YEAR('Raw Orders'!I177)-YEAR('Raw Orders'!H177))*12+MONTH('Raw Orders'!I177)-MONTH('Raw Orders'!H177))</f>
        <v/>
      </c>
      <c r="K177">
        <f>IF('Raw Orders'!J177,"Cancelled",IF('Raw Orders'!K177&gt;=2,"Slipped","On plan"))</f>
        <v/>
      </c>
      <c r="L177" s="14">
        <f>IF(K177="On plan",0,F177)</f>
        <v/>
      </c>
    </row>
    <row r="178">
      <c r="A178">
        <f>'Raw Orders'!A178</f>
        <v/>
      </c>
      <c r="B178">
        <f>'Raw Orders'!B178</f>
        <v/>
      </c>
      <c r="C178">
        <f>'Raw Orders'!C178</f>
        <v/>
      </c>
      <c r="D178" s="13">
        <f>'Raw Orders'!E178</f>
        <v/>
      </c>
      <c r="E178" s="14">
        <f>'Raw Orders'!F178</f>
        <v/>
      </c>
      <c r="F178" s="14">
        <f>'Raw Orders'!F178*0.5</f>
        <v/>
      </c>
      <c r="G178" s="12">
        <f>'Raw Orders'!H178</f>
        <v/>
      </c>
      <c r="H178" s="12">
        <f>'Raw Orders'!I178</f>
        <v/>
      </c>
      <c r="I178" s="13">
        <f>'Raw Orders'!K178</f>
        <v/>
      </c>
      <c r="J178" s="13">
        <f>IF('Raw Orders'!J178,"",(YEAR('Raw Orders'!I178)-YEAR('Raw Orders'!H178))*12+MONTH('Raw Orders'!I178)-MONTH('Raw Orders'!H178))</f>
        <v/>
      </c>
      <c r="K178">
        <f>IF('Raw Orders'!J178,"Cancelled",IF('Raw Orders'!K178&gt;=2,"Slipped","On plan"))</f>
        <v/>
      </c>
      <c r="L178" s="14">
        <f>IF(K178="On plan",0,F178)</f>
        <v/>
      </c>
    </row>
    <row r="179">
      <c r="A179">
        <f>'Raw Orders'!A179</f>
        <v/>
      </c>
      <c r="B179">
        <f>'Raw Orders'!B179</f>
        <v/>
      </c>
      <c r="C179">
        <f>'Raw Orders'!C179</f>
        <v/>
      </c>
      <c r="D179" s="13">
        <f>'Raw Orders'!E179</f>
        <v/>
      </c>
      <c r="E179" s="14">
        <f>'Raw Orders'!F179</f>
        <v/>
      </c>
      <c r="F179" s="14">
        <f>'Raw Orders'!F179*0.5</f>
        <v/>
      </c>
      <c r="G179" s="12">
        <f>'Raw Orders'!H179</f>
        <v/>
      </c>
      <c r="H179" s="12">
        <f>'Raw Orders'!I179</f>
        <v/>
      </c>
      <c r="I179" s="13">
        <f>'Raw Orders'!K179</f>
        <v/>
      </c>
      <c r="J179" s="13">
        <f>IF('Raw Orders'!J179,"",(YEAR('Raw Orders'!I179)-YEAR('Raw Orders'!H179))*12+MONTH('Raw Orders'!I179)-MONTH('Raw Orders'!H179))</f>
        <v/>
      </c>
      <c r="K179">
        <f>IF('Raw Orders'!J179,"Cancelled",IF('Raw Orders'!K179&gt;=2,"Slipped","On plan"))</f>
        <v/>
      </c>
      <c r="L179" s="14">
        <f>IF(K179="On plan",0,F179)</f>
        <v/>
      </c>
    </row>
    <row r="180">
      <c r="A180">
        <f>'Raw Orders'!A180</f>
        <v/>
      </c>
      <c r="B180">
        <f>'Raw Orders'!B180</f>
        <v/>
      </c>
      <c r="C180">
        <f>'Raw Orders'!C180</f>
        <v/>
      </c>
      <c r="D180" s="13">
        <f>'Raw Orders'!E180</f>
        <v/>
      </c>
      <c r="E180" s="14">
        <f>'Raw Orders'!F180</f>
        <v/>
      </c>
      <c r="F180" s="14">
        <f>'Raw Orders'!F180*0.5</f>
        <v/>
      </c>
      <c r="G180" s="12">
        <f>'Raw Orders'!H180</f>
        <v/>
      </c>
      <c r="H180" s="12">
        <f>'Raw Orders'!I180</f>
        <v/>
      </c>
      <c r="I180" s="13">
        <f>'Raw Orders'!K180</f>
        <v/>
      </c>
      <c r="J180" s="13">
        <f>IF('Raw Orders'!J180,"",(YEAR('Raw Orders'!I180)-YEAR('Raw Orders'!H180))*12+MONTH('Raw Orders'!I180)-MONTH('Raw Orders'!H180))</f>
        <v/>
      </c>
      <c r="K180">
        <f>IF('Raw Orders'!J180,"Cancelled",IF('Raw Orders'!K180&gt;=2,"Slipped","On plan"))</f>
        <v/>
      </c>
      <c r="L180" s="14">
        <f>IF(K180="On plan",0,F180)</f>
        <v/>
      </c>
    </row>
    <row r="181">
      <c r="A181">
        <f>'Raw Orders'!A181</f>
        <v/>
      </c>
      <c r="B181">
        <f>'Raw Orders'!B181</f>
        <v/>
      </c>
      <c r="C181">
        <f>'Raw Orders'!C181</f>
        <v/>
      </c>
      <c r="D181" s="13">
        <f>'Raw Orders'!E181</f>
        <v/>
      </c>
      <c r="E181" s="14">
        <f>'Raw Orders'!F181</f>
        <v/>
      </c>
      <c r="F181" s="14">
        <f>'Raw Orders'!F181*0.5</f>
        <v/>
      </c>
      <c r="G181" s="12">
        <f>'Raw Orders'!H181</f>
        <v/>
      </c>
      <c r="H181" s="12">
        <f>'Raw Orders'!I181</f>
        <v/>
      </c>
      <c r="I181" s="13">
        <f>'Raw Orders'!K181</f>
        <v/>
      </c>
      <c r="J181" s="13">
        <f>IF('Raw Orders'!J181,"",(YEAR('Raw Orders'!I181)-YEAR('Raw Orders'!H181))*12+MONTH('Raw Orders'!I181)-MONTH('Raw Orders'!H181))</f>
        <v/>
      </c>
      <c r="K181">
        <f>IF('Raw Orders'!J181,"Cancelled",IF('Raw Orders'!K181&gt;=2,"Slipped","On plan"))</f>
        <v/>
      </c>
      <c r="L181" s="14">
        <f>IF(K181="On plan",0,F181)</f>
        <v/>
      </c>
    </row>
    <row r="182">
      <c r="A182">
        <f>'Raw Orders'!A182</f>
        <v/>
      </c>
      <c r="B182">
        <f>'Raw Orders'!B182</f>
        <v/>
      </c>
      <c r="C182">
        <f>'Raw Orders'!C182</f>
        <v/>
      </c>
      <c r="D182" s="13">
        <f>'Raw Orders'!E182</f>
        <v/>
      </c>
      <c r="E182" s="14">
        <f>'Raw Orders'!F182</f>
        <v/>
      </c>
      <c r="F182" s="14">
        <f>'Raw Orders'!F182*0.5</f>
        <v/>
      </c>
      <c r="G182" s="12">
        <f>'Raw Orders'!H182</f>
        <v/>
      </c>
      <c r="H182" s="12">
        <f>'Raw Orders'!I182</f>
        <v/>
      </c>
      <c r="I182" s="13">
        <f>'Raw Orders'!K182</f>
        <v/>
      </c>
      <c r="J182" s="13">
        <f>IF('Raw Orders'!J182,"",(YEAR('Raw Orders'!I182)-YEAR('Raw Orders'!H182))*12+MONTH('Raw Orders'!I182)-MONTH('Raw Orders'!H182))</f>
        <v/>
      </c>
      <c r="K182">
        <f>IF('Raw Orders'!J182,"Cancelled",IF('Raw Orders'!K182&gt;=2,"Slipped","On plan"))</f>
        <v/>
      </c>
      <c r="L182" s="14">
        <f>IF(K182="On plan",0,F182)</f>
        <v/>
      </c>
    </row>
    <row r="183">
      <c r="A183">
        <f>'Raw Orders'!A183</f>
        <v/>
      </c>
      <c r="B183">
        <f>'Raw Orders'!B183</f>
        <v/>
      </c>
      <c r="C183">
        <f>'Raw Orders'!C183</f>
        <v/>
      </c>
      <c r="D183" s="13">
        <f>'Raw Orders'!E183</f>
        <v/>
      </c>
      <c r="E183" s="14">
        <f>'Raw Orders'!F183</f>
        <v/>
      </c>
      <c r="F183" s="14">
        <f>'Raw Orders'!F183*0.5</f>
        <v/>
      </c>
      <c r="G183" s="12">
        <f>'Raw Orders'!H183</f>
        <v/>
      </c>
      <c r="H183" s="12">
        <f>'Raw Orders'!I183</f>
        <v/>
      </c>
      <c r="I183" s="13">
        <f>'Raw Orders'!K183</f>
        <v/>
      </c>
      <c r="J183" s="13">
        <f>IF('Raw Orders'!J183,"",(YEAR('Raw Orders'!I183)-YEAR('Raw Orders'!H183))*12+MONTH('Raw Orders'!I183)-MONTH('Raw Orders'!H183))</f>
        <v/>
      </c>
      <c r="K183">
        <f>IF('Raw Orders'!J183,"Cancelled",IF('Raw Orders'!K183&gt;=2,"Slipped","On plan"))</f>
        <v/>
      </c>
      <c r="L183" s="14">
        <f>IF(K183="On plan",0,F183)</f>
        <v/>
      </c>
    </row>
    <row r="184">
      <c r="A184">
        <f>'Raw Orders'!A184</f>
        <v/>
      </c>
      <c r="B184">
        <f>'Raw Orders'!B184</f>
        <v/>
      </c>
      <c r="C184">
        <f>'Raw Orders'!C184</f>
        <v/>
      </c>
      <c r="D184" s="13">
        <f>'Raw Orders'!E184</f>
        <v/>
      </c>
      <c r="E184" s="14">
        <f>'Raw Orders'!F184</f>
        <v/>
      </c>
      <c r="F184" s="14">
        <f>'Raw Orders'!F184*0.5</f>
        <v/>
      </c>
      <c r="G184" s="12">
        <f>'Raw Orders'!H184</f>
        <v/>
      </c>
      <c r="H184" s="12">
        <f>'Raw Orders'!I184</f>
        <v/>
      </c>
      <c r="I184" s="13">
        <f>'Raw Orders'!K184</f>
        <v/>
      </c>
      <c r="J184" s="13">
        <f>IF('Raw Orders'!J184,"",(YEAR('Raw Orders'!I184)-YEAR('Raw Orders'!H184))*12+MONTH('Raw Orders'!I184)-MONTH('Raw Orders'!H184))</f>
        <v/>
      </c>
      <c r="K184">
        <f>IF('Raw Orders'!J184,"Cancelled",IF('Raw Orders'!K184&gt;=2,"Slipped","On plan"))</f>
        <v/>
      </c>
      <c r="L184" s="14">
        <f>IF(K184="On plan",0,F184)</f>
        <v/>
      </c>
    </row>
    <row r="185">
      <c r="A185">
        <f>'Raw Orders'!A185</f>
        <v/>
      </c>
      <c r="B185">
        <f>'Raw Orders'!B185</f>
        <v/>
      </c>
      <c r="C185">
        <f>'Raw Orders'!C185</f>
        <v/>
      </c>
      <c r="D185" s="13">
        <f>'Raw Orders'!E185</f>
        <v/>
      </c>
      <c r="E185" s="14">
        <f>'Raw Orders'!F185</f>
        <v/>
      </c>
      <c r="F185" s="14">
        <f>'Raw Orders'!F185*0.5</f>
        <v/>
      </c>
      <c r="G185" s="12">
        <f>'Raw Orders'!H185</f>
        <v/>
      </c>
      <c r="H185" s="12">
        <f>'Raw Orders'!I185</f>
        <v/>
      </c>
      <c r="I185" s="13">
        <f>'Raw Orders'!K185</f>
        <v/>
      </c>
      <c r="J185" s="13">
        <f>IF('Raw Orders'!J185,"",(YEAR('Raw Orders'!I185)-YEAR('Raw Orders'!H185))*12+MONTH('Raw Orders'!I185)-MONTH('Raw Orders'!H185))</f>
        <v/>
      </c>
      <c r="K185">
        <f>IF('Raw Orders'!J185,"Cancelled",IF('Raw Orders'!K185&gt;=2,"Slipped","On plan"))</f>
        <v/>
      </c>
      <c r="L185" s="14">
        <f>IF(K185="On plan",0,F185)</f>
        <v/>
      </c>
    </row>
    <row r="186">
      <c r="A186">
        <f>'Raw Orders'!A186</f>
        <v/>
      </c>
      <c r="B186">
        <f>'Raw Orders'!B186</f>
        <v/>
      </c>
      <c r="C186">
        <f>'Raw Orders'!C186</f>
        <v/>
      </c>
      <c r="D186" s="13">
        <f>'Raw Orders'!E186</f>
        <v/>
      </c>
      <c r="E186" s="14">
        <f>'Raw Orders'!F186</f>
        <v/>
      </c>
      <c r="F186" s="14">
        <f>'Raw Orders'!F186*0.5</f>
        <v/>
      </c>
      <c r="G186" s="12">
        <f>'Raw Orders'!H186</f>
        <v/>
      </c>
      <c r="H186" s="12">
        <f>'Raw Orders'!I186</f>
        <v/>
      </c>
      <c r="I186" s="13">
        <f>'Raw Orders'!K186</f>
        <v/>
      </c>
      <c r="J186" s="13">
        <f>IF('Raw Orders'!J186,"",(YEAR('Raw Orders'!I186)-YEAR('Raw Orders'!H186))*12+MONTH('Raw Orders'!I186)-MONTH('Raw Orders'!H186))</f>
        <v/>
      </c>
      <c r="K186">
        <f>IF('Raw Orders'!J186,"Cancelled",IF('Raw Orders'!K186&gt;=2,"Slipped","On plan"))</f>
        <v/>
      </c>
      <c r="L186" s="14">
        <f>IF(K186="On plan",0,F186)</f>
        <v/>
      </c>
    </row>
    <row r="187">
      <c r="A187">
        <f>'Raw Orders'!A187</f>
        <v/>
      </c>
      <c r="B187">
        <f>'Raw Orders'!B187</f>
        <v/>
      </c>
      <c r="C187">
        <f>'Raw Orders'!C187</f>
        <v/>
      </c>
      <c r="D187" s="13">
        <f>'Raw Orders'!E187</f>
        <v/>
      </c>
      <c r="E187" s="14">
        <f>'Raw Orders'!F187</f>
        <v/>
      </c>
      <c r="F187" s="14">
        <f>'Raw Orders'!F187*0.5</f>
        <v/>
      </c>
      <c r="G187" s="12">
        <f>'Raw Orders'!H187</f>
        <v/>
      </c>
      <c r="H187" s="12">
        <f>'Raw Orders'!I187</f>
        <v/>
      </c>
      <c r="I187" s="13">
        <f>'Raw Orders'!K187</f>
        <v/>
      </c>
      <c r="J187" s="13">
        <f>IF('Raw Orders'!J187,"",(YEAR('Raw Orders'!I187)-YEAR('Raw Orders'!H187))*12+MONTH('Raw Orders'!I187)-MONTH('Raw Orders'!H187))</f>
        <v/>
      </c>
      <c r="K187">
        <f>IF('Raw Orders'!J187,"Cancelled",IF('Raw Orders'!K187&gt;=2,"Slipped","On plan"))</f>
        <v/>
      </c>
      <c r="L187" s="14">
        <f>IF(K187="On plan",0,F187)</f>
        <v/>
      </c>
    </row>
    <row r="188">
      <c r="A188">
        <f>'Raw Orders'!A188</f>
        <v/>
      </c>
      <c r="B188">
        <f>'Raw Orders'!B188</f>
        <v/>
      </c>
      <c r="C188">
        <f>'Raw Orders'!C188</f>
        <v/>
      </c>
      <c r="D188" s="13">
        <f>'Raw Orders'!E188</f>
        <v/>
      </c>
      <c r="E188" s="14">
        <f>'Raw Orders'!F188</f>
        <v/>
      </c>
      <c r="F188" s="14">
        <f>'Raw Orders'!F188*0.5</f>
        <v/>
      </c>
      <c r="G188" s="12">
        <f>'Raw Orders'!H188</f>
        <v/>
      </c>
      <c r="H188" s="12">
        <f>'Raw Orders'!I188</f>
        <v/>
      </c>
      <c r="I188" s="13">
        <f>'Raw Orders'!K188</f>
        <v/>
      </c>
      <c r="J188" s="13">
        <f>IF('Raw Orders'!J188,"",(YEAR('Raw Orders'!I188)-YEAR('Raw Orders'!H188))*12+MONTH('Raw Orders'!I188)-MONTH('Raw Orders'!H188))</f>
        <v/>
      </c>
      <c r="K188">
        <f>IF('Raw Orders'!J188,"Cancelled",IF('Raw Orders'!K188&gt;=2,"Slipped","On plan"))</f>
        <v/>
      </c>
      <c r="L188" s="14">
        <f>IF(K188="On plan",0,F188)</f>
        <v/>
      </c>
    </row>
    <row r="189">
      <c r="A189">
        <f>'Raw Orders'!A189</f>
        <v/>
      </c>
      <c r="B189">
        <f>'Raw Orders'!B189</f>
        <v/>
      </c>
      <c r="C189">
        <f>'Raw Orders'!C189</f>
        <v/>
      </c>
      <c r="D189" s="13">
        <f>'Raw Orders'!E189</f>
        <v/>
      </c>
      <c r="E189" s="14">
        <f>'Raw Orders'!F189</f>
        <v/>
      </c>
      <c r="F189" s="14">
        <f>'Raw Orders'!F189*0.5</f>
        <v/>
      </c>
      <c r="G189" s="12">
        <f>'Raw Orders'!H189</f>
        <v/>
      </c>
      <c r="H189" s="12">
        <f>'Raw Orders'!I189</f>
        <v/>
      </c>
      <c r="I189" s="13">
        <f>'Raw Orders'!K189</f>
        <v/>
      </c>
      <c r="J189" s="13">
        <f>IF('Raw Orders'!J189,"",(YEAR('Raw Orders'!I189)-YEAR('Raw Orders'!H189))*12+MONTH('Raw Orders'!I189)-MONTH('Raw Orders'!H189))</f>
        <v/>
      </c>
      <c r="K189">
        <f>IF('Raw Orders'!J189,"Cancelled",IF('Raw Orders'!K189&gt;=2,"Slipped","On plan"))</f>
        <v/>
      </c>
      <c r="L189" s="14">
        <f>IF(K189="On plan",0,F189)</f>
        <v/>
      </c>
    </row>
    <row r="190">
      <c r="A190">
        <f>'Raw Orders'!A190</f>
        <v/>
      </c>
      <c r="B190">
        <f>'Raw Orders'!B190</f>
        <v/>
      </c>
      <c r="C190">
        <f>'Raw Orders'!C190</f>
        <v/>
      </c>
      <c r="D190" s="13">
        <f>'Raw Orders'!E190</f>
        <v/>
      </c>
      <c r="E190" s="14">
        <f>'Raw Orders'!F190</f>
        <v/>
      </c>
      <c r="F190" s="14">
        <f>'Raw Orders'!F190*0.5</f>
        <v/>
      </c>
      <c r="G190" s="12">
        <f>'Raw Orders'!H190</f>
        <v/>
      </c>
      <c r="H190" s="12">
        <f>'Raw Orders'!I190</f>
        <v/>
      </c>
      <c r="I190" s="13">
        <f>'Raw Orders'!K190</f>
        <v/>
      </c>
      <c r="J190" s="13">
        <f>IF('Raw Orders'!J190,"",(YEAR('Raw Orders'!I190)-YEAR('Raw Orders'!H190))*12+MONTH('Raw Orders'!I190)-MONTH('Raw Orders'!H190))</f>
        <v/>
      </c>
      <c r="K190">
        <f>IF('Raw Orders'!J190,"Cancelled",IF('Raw Orders'!K190&gt;=2,"Slipped","On plan"))</f>
        <v/>
      </c>
      <c r="L190" s="14">
        <f>IF(K190="On plan",0,F190)</f>
        <v/>
      </c>
    </row>
    <row r="191">
      <c r="A191">
        <f>'Raw Orders'!A191</f>
        <v/>
      </c>
      <c r="B191">
        <f>'Raw Orders'!B191</f>
        <v/>
      </c>
      <c r="C191">
        <f>'Raw Orders'!C191</f>
        <v/>
      </c>
      <c r="D191" s="13">
        <f>'Raw Orders'!E191</f>
        <v/>
      </c>
      <c r="E191" s="14">
        <f>'Raw Orders'!F191</f>
        <v/>
      </c>
      <c r="F191" s="14">
        <f>'Raw Orders'!F191*0.5</f>
        <v/>
      </c>
      <c r="G191" s="12">
        <f>'Raw Orders'!H191</f>
        <v/>
      </c>
      <c r="H191" s="12">
        <f>'Raw Orders'!I191</f>
        <v/>
      </c>
      <c r="I191" s="13">
        <f>'Raw Orders'!K191</f>
        <v/>
      </c>
      <c r="J191" s="13">
        <f>IF('Raw Orders'!J191,"",(YEAR('Raw Orders'!I191)-YEAR('Raw Orders'!H191))*12+MONTH('Raw Orders'!I191)-MONTH('Raw Orders'!H191))</f>
        <v/>
      </c>
      <c r="K191">
        <f>IF('Raw Orders'!J191,"Cancelled",IF('Raw Orders'!K191&gt;=2,"Slipped","On plan"))</f>
        <v/>
      </c>
      <c r="L191" s="14">
        <f>IF(K191="On plan",0,F191)</f>
        <v/>
      </c>
    </row>
    <row r="192">
      <c r="A192">
        <f>'Raw Orders'!A192</f>
        <v/>
      </c>
      <c r="B192">
        <f>'Raw Orders'!B192</f>
        <v/>
      </c>
      <c r="C192">
        <f>'Raw Orders'!C192</f>
        <v/>
      </c>
      <c r="D192" s="13">
        <f>'Raw Orders'!E192</f>
        <v/>
      </c>
      <c r="E192" s="14">
        <f>'Raw Orders'!F192</f>
        <v/>
      </c>
      <c r="F192" s="14">
        <f>'Raw Orders'!F192*0.5</f>
        <v/>
      </c>
      <c r="G192" s="12">
        <f>'Raw Orders'!H192</f>
        <v/>
      </c>
      <c r="H192" s="12">
        <f>'Raw Orders'!I192</f>
        <v/>
      </c>
      <c r="I192" s="13">
        <f>'Raw Orders'!K192</f>
        <v/>
      </c>
      <c r="J192" s="13">
        <f>IF('Raw Orders'!J192,"",(YEAR('Raw Orders'!I192)-YEAR('Raw Orders'!H192))*12+MONTH('Raw Orders'!I192)-MONTH('Raw Orders'!H192))</f>
        <v/>
      </c>
      <c r="K192">
        <f>IF('Raw Orders'!J192,"Cancelled",IF('Raw Orders'!K192&gt;=2,"Slipped","On plan"))</f>
        <v/>
      </c>
      <c r="L192" s="14">
        <f>IF(K192="On plan",0,F192)</f>
        <v/>
      </c>
    </row>
    <row r="193">
      <c r="A193">
        <f>'Raw Orders'!A193</f>
        <v/>
      </c>
      <c r="B193">
        <f>'Raw Orders'!B193</f>
        <v/>
      </c>
      <c r="C193">
        <f>'Raw Orders'!C193</f>
        <v/>
      </c>
      <c r="D193" s="13">
        <f>'Raw Orders'!E193</f>
        <v/>
      </c>
      <c r="E193" s="14">
        <f>'Raw Orders'!F193</f>
        <v/>
      </c>
      <c r="F193" s="14">
        <f>'Raw Orders'!F193*0.5</f>
        <v/>
      </c>
      <c r="G193" s="12">
        <f>'Raw Orders'!H193</f>
        <v/>
      </c>
      <c r="H193" s="12">
        <f>'Raw Orders'!I193</f>
        <v/>
      </c>
      <c r="I193" s="13">
        <f>'Raw Orders'!K193</f>
        <v/>
      </c>
      <c r="J193" s="13">
        <f>IF('Raw Orders'!J193,"",(YEAR('Raw Orders'!I193)-YEAR('Raw Orders'!H193))*12+MONTH('Raw Orders'!I193)-MONTH('Raw Orders'!H193))</f>
        <v/>
      </c>
      <c r="K193">
        <f>IF('Raw Orders'!J193,"Cancelled",IF('Raw Orders'!K193&gt;=2,"Slipped","On plan"))</f>
        <v/>
      </c>
      <c r="L193" s="14">
        <f>IF(K193="On plan",0,F193)</f>
        <v/>
      </c>
    </row>
    <row r="194">
      <c r="A194">
        <f>'Raw Orders'!A194</f>
        <v/>
      </c>
      <c r="B194">
        <f>'Raw Orders'!B194</f>
        <v/>
      </c>
      <c r="C194">
        <f>'Raw Orders'!C194</f>
        <v/>
      </c>
      <c r="D194" s="13">
        <f>'Raw Orders'!E194</f>
        <v/>
      </c>
      <c r="E194" s="14">
        <f>'Raw Orders'!F194</f>
        <v/>
      </c>
      <c r="F194" s="14">
        <f>'Raw Orders'!F194*0.5</f>
        <v/>
      </c>
      <c r="G194" s="12">
        <f>'Raw Orders'!H194</f>
        <v/>
      </c>
      <c r="H194" s="12">
        <f>'Raw Orders'!I194</f>
        <v/>
      </c>
      <c r="I194" s="13">
        <f>'Raw Orders'!K194</f>
        <v/>
      </c>
      <c r="J194" s="13">
        <f>IF('Raw Orders'!J194,"",(YEAR('Raw Orders'!I194)-YEAR('Raw Orders'!H194))*12+MONTH('Raw Orders'!I194)-MONTH('Raw Orders'!H194))</f>
        <v/>
      </c>
      <c r="K194">
        <f>IF('Raw Orders'!J194,"Cancelled",IF('Raw Orders'!K194&gt;=2,"Slipped","On plan"))</f>
        <v/>
      </c>
      <c r="L194" s="14">
        <f>IF(K194="On plan",0,F194)</f>
        <v/>
      </c>
    </row>
    <row r="195">
      <c r="A195">
        <f>'Raw Orders'!A195</f>
        <v/>
      </c>
      <c r="B195">
        <f>'Raw Orders'!B195</f>
        <v/>
      </c>
      <c r="C195">
        <f>'Raw Orders'!C195</f>
        <v/>
      </c>
      <c r="D195" s="13">
        <f>'Raw Orders'!E195</f>
        <v/>
      </c>
      <c r="E195" s="14">
        <f>'Raw Orders'!F195</f>
        <v/>
      </c>
      <c r="F195" s="14">
        <f>'Raw Orders'!F195*0.5</f>
        <v/>
      </c>
      <c r="G195" s="12">
        <f>'Raw Orders'!H195</f>
        <v/>
      </c>
      <c r="H195" s="12">
        <f>'Raw Orders'!I195</f>
        <v/>
      </c>
      <c r="I195" s="13">
        <f>'Raw Orders'!K195</f>
        <v/>
      </c>
      <c r="J195" s="13">
        <f>IF('Raw Orders'!J195,"",(YEAR('Raw Orders'!I195)-YEAR('Raw Orders'!H195))*12+MONTH('Raw Orders'!I195)-MONTH('Raw Orders'!H195))</f>
        <v/>
      </c>
      <c r="K195">
        <f>IF('Raw Orders'!J195,"Cancelled",IF('Raw Orders'!K195&gt;=2,"Slipped","On plan"))</f>
        <v/>
      </c>
      <c r="L195" s="14">
        <f>IF(K195="On plan",0,F195)</f>
        <v/>
      </c>
    </row>
    <row r="196">
      <c r="A196">
        <f>'Raw Orders'!A196</f>
        <v/>
      </c>
      <c r="B196">
        <f>'Raw Orders'!B196</f>
        <v/>
      </c>
      <c r="C196">
        <f>'Raw Orders'!C196</f>
        <v/>
      </c>
      <c r="D196" s="13">
        <f>'Raw Orders'!E196</f>
        <v/>
      </c>
      <c r="E196" s="14">
        <f>'Raw Orders'!F196</f>
        <v/>
      </c>
      <c r="F196" s="14">
        <f>'Raw Orders'!F196*0.5</f>
        <v/>
      </c>
      <c r="G196" s="12">
        <f>'Raw Orders'!H196</f>
        <v/>
      </c>
      <c r="H196" s="12">
        <f>'Raw Orders'!I196</f>
        <v/>
      </c>
      <c r="I196" s="13">
        <f>'Raw Orders'!K196</f>
        <v/>
      </c>
      <c r="J196" s="13">
        <f>IF('Raw Orders'!J196,"",(YEAR('Raw Orders'!I196)-YEAR('Raw Orders'!H196))*12+MONTH('Raw Orders'!I196)-MONTH('Raw Orders'!H196))</f>
        <v/>
      </c>
      <c r="K196">
        <f>IF('Raw Orders'!J196,"Cancelled",IF('Raw Orders'!K196&gt;=2,"Slipped","On plan"))</f>
        <v/>
      </c>
      <c r="L196" s="14">
        <f>IF(K196="On plan",0,F196)</f>
        <v/>
      </c>
    </row>
    <row r="197">
      <c r="A197">
        <f>'Raw Orders'!A197</f>
        <v/>
      </c>
      <c r="B197">
        <f>'Raw Orders'!B197</f>
        <v/>
      </c>
      <c r="C197">
        <f>'Raw Orders'!C197</f>
        <v/>
      </c>
      <c r="D197" s="13">
        <f>'Raw Orders'!E197</f>
        <v/>
      </c>
      <c r="E197" s="14">
        <f>'Raw Orders'!F197</f>
        <v/>
      </c>
      <c r="F197" s="14">
        <f>'Raw Orders'!F197*0.5</f>
        <v/>
      </c>
      <c r="G197" s="12">
        <f>'Raw Orders'!H197</f>
        <v/>
      </c>
      <c r="H197" s="12">
        <f>'Raw Orders'!I197</f>
        <v/>
      </c>
      <c r="I197" s="13">
        <f>'Raw Orders'!K197</f>
        <v/>
      </c>
      <c r="J197" s="13">
        <f>IF('Raw Orders'!J197,"",(YEAR('Raw Orders'!I197)-YEAR('Raw Orders'!H197))*12+MONTH('Raw Orders'!I197)-MONTH('Raw Orders'!H197))</f>
        <v/>
      </c>
      <c r="K197">
        <f>IF('Raw Orders'!J197,"Cancelled",IF('Raw Orders'!K197&gt;=2,"Slipped","On plan"))</f>
        <v/>
      </c>
      <c r="L197" s="14">
        <f>IF(K197="On plan",0,F197)</f>
        <v/>
      </c>
    </row>
    <row r="198">
      <c r="A198">
        <f>'Raw Orders'!A198</f>
        <v/>
      </c>
      <c r="B198">
        <f>'Raw Orders'!B198</f>
        <v/>
      </c>
      <c r="C198">
        <f>'Raw Orders'!C198</f>
        <v/>
      </c>
      <c r="D198" s="13">
        <f>'Raw Orders'!E198</f>
        <v/>
      </c>
      <c r="E198" s="14">
        <f>'Raw Orders'!F198</f>
        <v/>
      </c>
      <c r="F198" s="14">
        <f>'Raw Orders'!F198*0.5</f>
        <v/>
      </c>
      <c r="G198" s="12">
        <f>'Raw Orders'!H198</f>
        <v/>
      </c>
      <c r="H198" s="12">
        <f>'Raw Orders'!I198</f>
        <v/>
      </c>
      <c r="I198" s="13">
        <f>'Raw Orders'!K198</f>
        <v/>
      </c>
      <c r="J198" s="13">
        <f>IF('Raw Orders'!J198,"",(YEAR('Raw Orders'!I198)-YEAR('Raw Orders'!H198))*12+MONTH('Raw Orders'!I198)-MONTH('Raw Orders'!H198))</f>
        <v/>
      </c>
      <c r="K198">
        <f>IF('Raw Orders'!J198,"Cancelled",IF('Raw Orders'!K198&gt;=2,"Slipped","On plan"))</f>
        <v/>
      </c>
      <c r="L198" s="14">
        <f>IF(K198="On plan",0,F198)</f>
        <v/>
      </c>
    </row>
    <row r="199">
      <c r="A199">
        <f>'Raw Orders'!A199</f>
        <v/>
      </c>
      <c r="B199">
        <f>'Raw Orders'!B199</f>
        <v/>
      </c>
      <c r="C199">
        <f>'Raw Orders'!C199</f>
        <v/>
      </c>
      <c r="D199" s="13">
        <f>'Raw Orders'!E199</f>
        <v/>
      </c>
      <c r="E199" s="14">
        <f>'Raw Orders'!F199</f>
        <v/>
      </c>
      <c r="F199" s="14">
        <f>'Raw Orders'!F199*0.5</f>
        <v/>
      </c>
      <c r="G199" s="12">
        <f>'Raw Orders'!H199</f>
        <v/>
      </c>
      <c r="H199" s="12">
        <f>'Raw Orders'!I199</f>
        <v/>
      </c>
      <c r="I199" s="13">
        <f>'Raw Orders'!K199</f>
        <v/>
      </c>
      <c r="J199" s="13">
        <f>IF('Raw Orders'!J199,"",(YEAR('Raw Orders'!I199)-YEAR('Raw Orders'!H199))*12+MONTH('Raw Orders'!I199)-MONTH('Raw Orders'!H199))</f>
        <v/>
      </c>
      <c r="K199">
        <f>IF('Raw Orders'!J199,"Cancelled",IF('Raw Orders'!K199&gt;=2,"Slipped","On plan"))</f>
        <v/>
      </c>
      <c r="L199" s="14">
        <f>IF(K199="On plan",0,F199)</f>
        <v/>
      </c>
    </row>
    <row r="200">
      <c r="A200">
        <f>'Raw Orders'!A200</f>
        <v/>
      </c>
      <c r="B200">
        <f>'Raw Orders'!B200</f>
        <v/>
      </c>
      <c r="C200">
        <f>'Raw Orders'!C200</f>
        <v/>
      </c>
      <c r="D200" s="13">
        <f>'Raw Orders'!E200</f>
        <v/>
      </c>
      <c r="E200" s="14">
        <f>'Raw Orders'!F200</f>
        <v/>
      </c>
      <c r="F200" s="14">
        <f>'Raw Orders'!F200*0.5</f>
        <v/>
      </c>
      <c r="G200" s="12">
        <f>'Raw Orders'!H200</f>
        <v/>
      </c>
      <c r="H200" s="12">
        <f>'Raw Orders'!I200</f>
        <v/>
      </c>
      <c r="I200" s="13">
        <f>'Raw Orders'!K200</f>
        <v/>
      </c>
      <c r="J200" s="13">
        <f>IF('Raw Orders'!J200,"",(YEAR('Raw Orders'!I200)-YEAR('Raw Orders'!H200))*12+MONTH('Raw Orders'!I200)-MONTH('Raw Orders'!H200))</f>
        <v/>
      </c>
      <c r="K200">
        <f>IF('Raw Orders'!J200,"Cancelled",IF('Raw Orders'!K200&gt;=2,"Slipped","On plan"))</f>
        <v/>
      </c>
      <c r="L200" s="14">
        <f>IF(K200="On plan",0,F200)</f>
        <v/>
      </c>
    </row>
    <row r="201">
      <c r="A201">
        <f>'Raw Orders'!A201</f>
        <v/>
      </c>
      <c r="B201">
        <f>'Raw Orders'!B201</f>
        <v/>
      </c>
      <c r="C201">
        <f>'Raw Orders'!C201</f>
        <v/>
      </c>
      <c r="D201" s="13">
        <f>'Raw Orders'!E201</f>
        <v/>
      </c>
      <c r="E201" s="14">
        <f>'Raw Orders'!F201</f>
        <v/>
      </c>
      <c r="F201" s="14">
        <f>'Raw Orders'!F201*0.5</f>
        <v/>
      </c>
      <c r="G201" s="12">
        <f>'Raw Orders'!H201</f>
        <v/>
      </c>
      <c r="H201" s="12">
        <f>'Raw Orders'!I201</f>
        <v/>
      </c>
      <c r="I201" s="13">
        <f>'Raw Orders'!K201</f>
        <v/>
      </c>
      <c r="J201" s="13">
        <f>IF('Raw Orders'!J201,"",(YEAR('Raw Orders'!I201)-YEAR('Raw Orders'!H201))*12+MONTH('Raw Orders'!I201)-MONTH('Raw Orders'!H201))</f>
        <v/>
      </c>
      <c r="K201">
        <f>IF('Raw Orders'!J201,"Cancelled",IF('Raw Orders'!K201&gt;=2,"Slipped","On plan"))</f>
        <v/>
      </c>
      <c r="L201" s="14">
        <f>IF(K201="On plan",0,F201)</f>
        <v/>
      </c>
    </row>
    <row r="202">
      <c r="A202">
        <f>'Raw Orders'!A202</f>
        <v/>
      </c>
      <c r="B202">
        <f>'Raw Orders'!B202</f>
        <v/>
      </c>
      <c r="C202">
        <f>'Raw Orders'!C202</f>
        <v/>
      </c>
      <c r="D202" s="13">
        <f>'Raw Orders'!E202</f>
        <v/>
      </c>
      <c r="E202" s="14">
        <f>'Raw Orders'!F202</f>
        <v/>
      </c>
      <c r="F202" s="14">
        <f>'Raw Orders'!F202*0.5</f>
        <v/>
      </c>
      <c r="G202" s="12">
        <f>'Raw Orders'!H202</f>
        <v/>
      </c>
      <c r="H202" s="12">
        <f>'Raw Orders'!I202</f>
        <v/>
      </c>
      <c r="I202" s="13">
        <f>'Raw Orders'!K202</f>
        <v/>
      </c>
      <c r="J202" s="13">
        <f>IF('Raw Orders'!J202,"",(YEAR('Raw Orders'!I202)-YEAR('Raw Orders'!H202))*12+MONTH('Raw Orders'!I202)-MONTH('Raw Orders'!H202))</f>
        <v/>
      </c>
      <c r="K202">
        <f>IF('Raw Orders'!J202,"Cancelled",IF('Raw Orders'!K202&gt;=2,"Slipped","On plan"))</f>
        <v/>
      </c>
      <c r="L202" s="14">
        <f>IF(K202="On plan",0,F202)</f>
        <v/>
      </c>
    </row>
    <row r="203">
      <c r="A203">
        <f>'Raw Orders'!A203</f>
        <v/>
      </c>
      <c r="B203">
        <f>'Raw Orders'!B203</f>
        <v/>
      </c>
      <c r="C203">
        <f>'Raw Orders'!C203</f>
        <v/>
      </c>
      <c r="D203" s="13">
        <f>'Raw Orders'!E203</f>
        <v/>
      </c>
      <c r="E203" s="14">
        <f>'Raw Orders'!F203</f>
        <v/>
      </c>
      <c r="F203" s="14">
        <f>'Raw Orders'!F203*0.5</f>
        <v/>
      </c>
      <c r="G203" s="12">
        <f>'Raw Orders'!H203</f>
        <v/>
      </c>
      <c r="H203" s="12">
        <f>'Raw Orders'!I203</f>
        <v/>
      </c>
      <c r="I203" s="13">
        <f>'Raw Orders'!K203</f>
        <v/>
      </c>
      <c r="J203" s="13">
        <f>IF('Raw Orders'!J203,"",(YEAR('Raw Orders'!I203)-YEAR('Raw Orders'!H203))*12+MONTH('Raw Orders'!I203)-MONTH('Raw Orders'!H203))</f>
        <v/>
      </c>
      <c r="K203">
        <f>IF('Raw Orders'!J203,"Cancelled",IF('Raw Orders'!K203&gt;=2,"Slipped","On plan"))</f>
        <v/>
      </c>
      <c r="L203" s="14">
        <f>IF(K203="On plan",0,F203)</f>
        <v/>
      </c>
    </row>
    <row r="204">
      <c r="A204">
        <f>'Raw Orders'!A204</f>
        <v/>
      </c>
      <c r="B204">
        <f>'Raw Orders'!B204</f>
        <v/>
      </c>
      <c r="C204">
        <f>'Raw Orders'!C204</f>
        <v/>
      </c>
      <c r="D204" s="13">
        <f>'Raw Orders'!E204</f>
        <v/>
      </c>
      <c r="E204" s="14">
        <f>'Raw Orders'!F204</f>
        <v/>
      </c>
      <c r="F204" s="14">
        <f>'Raw Orders'!F204*0.5</f>
        <v/>
      </c>
      <c r="G204" s="12">
        <f>'Raw Orders'!H204</f>
        <v/>
      </c>
      <c r="H204" s="12">
        <f>'Raw Orders'!I204</f>
        <v/>
      </c>
      <c r="I204" s="13">
        <f>'Raw Orders'!K204</f>
        <v/>
      </c>
      <c r="J204" s="13">
        <f>IF('Raw Orders'!J204,"",(YEAR('Raw Orders'!I204)-YEAR('Raw Orders'!H204))*12+MONTH('Raw Orders'!I204)-MONTH('Raw Orders'!H204))</f>
        <v/>
      </c>
      <c r="K204">
        <f>IF('Raw Orders'!J204,"Cancelled",IF('Raw Orders'!K204&gt;=2,"Slipped","On plan"))</f>
        <v/>
      </c>
      <c r="L204" s="14">
        <f>IF(K204="On plan",0,F204)</f>
        <v/>
      </c>
    </row>
    <row r="205">
      <c r="A205">
        <f>'Raw Orders'!A205</f>
        <v/>
      </c>
      <c r="B205">
        <f>'Raw Orders'!B205</f>
        <v/>
      </c>
      <c r="C205">
        <f>'Raw Orders'!C205</f>
        <v/>
      </c>
      <c r="D205" s="13">
        <f>'Raw Orders'!E205</f>
        <v/>
      </c>
      <c r="E205" s="14">
        <f>'Raw Orders'!F205</f>
        <v/>
      </c>
      <c r="F205" s="14">
        <f>'Raw Orders'!F205*0.5</f>
        <v/>
      </c>
      <c r="G205" s="12">
        <f>'Raw Orders'!H205</f>
        <v/>
      </c>
      <c r="H205" s="12">
        <f>'Raw Orders'!I205</f>
        <v/>
      </c>
      <c r="I205" s="13">
        <f>'Raw Orders'!K205</f>
        <v/>
      </c>
      <c r="J205" s="13">
        <f>IF('Raw Orders'!J205,"",(YEAR('Raw Orders'!I205)-YEAR('Raw Orders'!H205))*12+MONTH('Raw Orders'!I205)-MONTH('Raw Orders'!H205))</f>
        <v/>
      </c>
      <c r="K205">
        <f>IF('Raw Orders'!J205,"Cancelled",IF('Raw Orders'!K205&gt;=2,"Slipped","On plan"))</f>
        <v/>
      </c>
      <c r="L205" s="14">
        <f>IF(K205="On plan",0,F205)</f>
        <v/>
      </c>
    </row>
    <row r="206">
      <c r="A206">
        <f>'Raw Orders'!A206</f>
        <v/>
      </c>
      <c r="B206">
        <f>'Raw Orders'!B206</f>
        <v/>
      </c>
      <c r="C206">
        <f>'Raw Orders'!C206</f>
        <v/>
      </c>
      <c r="D206" s="13">
        <f>'Raw Orders'!E206</f>
        <v/>
      </c>
      <c r="E206" s="14">
        <f>'Raw Orders'!F206</f>
        <v/>
      </c>
      <c r="F206" s="14">
        <f>'Raw Orders'!F206*0.5</f>
        <v/>
      </c>
      <c r="G206" s="12">
        <f>'Raw Orders'!H206</f>
        <v/>
      </c>
      <c r="H206" s="12">
        <f>'Raw Orders'!I206</f>
        <v/>
      </c>
      <c r="I206" s="13">
        <f>'Raw Orders'!K206</f>
        <v/>
      </c>
      <c r="J206" s="13">
        <f>IF('Raw Orders'!J206,"",(YEAR('Raw Orders'!I206)-YEAR('Raw Orders'!H206))*12+MONTH('Raw Orders'!I206)-MONTH('Raw Orders'!H206))</f>
        <v/>
      </c>
      <c r="K206">
        <f>IF('Raw Orders'!J206,"Cancelled",IF('Raw Orders'!K206&gt;=2,"Slipped","On plan"))</f>
        <v/>
      </c>
      <c r="L206" s="14">
        <f>IF(K206="On plan",0,F206)</f>
        <v/>
      </c>
    </row>
    <row r="207">
      <c r="A207">
        <f>'Raw Orders'!A207</f>
        <v/>
      </c>
      <c r="B207">
        <f>'Raw Orders'!B207</f>
        <v/>
      </c>
      <c r="C207">
        <f>'Raw Orders'!C207</f>
        <v/>
      </c>
      <c r="D207" s="13">
        <f>'Raw Orders'!E207</f>
        <v/>
      </c>
      <c r="E207" s="14">
        <f>'Raw Orders'!F207</f>
        <v/>
      </c>
      <c r="F207" s="14">
        <f>'Raw Orders'!F207*0.5</f>
        <v/>
      </c>
      <c r="G207" s="12">
        <f>'Raw Orders'!H207</f>
        <v/>
      </c>
      <c r="H207" s="12">
        <f>'Raw Orders'!I207</f>
        <v/>
      </c>
      <c r="I207" s="13">
        <f>'Raw Orders'!K207</f>
        <v/>
      </c>
      <c r="J207" s="13">
        <f>IF('Raw Orders'!J207,"",(YEAR('Raw Orders'!I207)-YEAR('Raw Orders'!H207))*12+MONTH('Raw Orders'!I207)-MONTH('Raw Orders'!H207))</f>
        <v/>
      </c>
      <c r="K207">
        <f>IF('Raw Orders'!J207,"Cancelled",IF('Raw Orders'!K207&gt;=2,"Slipped","On plan"))</f>
        <v/>
      </c>
      <c r="L207" s="14">
        <f>IF(K207="On plan",0,F207)</f>
        <v/>
      </c>
    </row>
    <row r="208">
      <c r="A208">
        <f>'Raw Orders'!A208</f>
        <v/>
      </c>
      <c r="B208">
        <f>'Raw Orders'!B208</f>
        <v/>
      </c>
      <c r="C208">
        <f>'Raw Orders'!C208</f>
        <v/>
      </c>
      <c r="D208" s="13">
        <f>'Raw Orders'!E208</f>
        <v/>
      </c>
      <c r="E208" s="14">
        <f>'Raw Orders'!F208</f>
        <v/>
      </c>
      <c r="F208" s="14">
        <f>'Raw Orders'!F208*0.5</f>
        <v/>
      </c>
      <c r="G208" s="12">
        <f>'Raw Orders'!H208</f>
        <v/>
      </c>
      <c r="H208" s="12">
        <f>'Raw Orders'!I208</f>
        <v/>
      </c>
      <c r="I208" s="13">
        <f>'Raw Orders'!K208</f>
        <v/>
      </c>
      <c r="J208" s="13">
        <f>IF('Raw Orders'!J208,"",(YEAR('Raw Orders'!I208)-YEAR('Raw Orders'!H208))*12+MONTH('Raw Orders'!I208)-MONTH('Raw Orders'!H208))</f>
        <v/>
      </c>
      <c r="K208">
        <f>IF('Raw Orders'!J208,"Cancelled",IF('Raw Orders'!K208&gt;=2,"Slipped","On plan"))</f>
        <v/>
      </c>
      <c r="L208" s="14">
        <f>IF(K208="On plan",0,F208)</f>
        <v/>
      </c>
    </row>
    <row r="209">
      <c r="A209">
        <f>'Raw Orders'!A209</f>
        <v/>
      </c>
      <c r="B209">
        <f>'Raw Orders'!B209</f>
        <v/>
      </c>
      <c r="C209">
        <f>'Raw Orders'!C209</f>
        <v/>
      </c>
      <c r="D209" s="13">
        <f>'Raw Orders'!E209</f>
        <v/>
      </c>
      <c r="E209" s="14">
        <f>'Raw Orders'!F209</f>
        <v/>
      </c>
      <c r="F209" s="14">
        <f>'Raw Orders'!F209*0.5</f>
        <v/>
      </c>
      <c r="G209" s="12">
        <f>'Raw Orders'!H209</f>
        <v/>
      </c>
      <c r="H209" s="12">
        <f>'Raw Orders'!I209</f>
        <v/>
      </c>
      <c r="I209" s="13">
        <f>'Raw Orders'!K209</f>
        <v/>
      </c>
      <c r="J209" s="13">
        <f>IF('Raw Orders'!J209,"",(YEAR('Raw Orders'!I209)-YEAR('Raw Orders'!H209))*12+MONTH('Raw Orders'!I209)-MONTH('Raw Orders'!H209))</f>
        <v/>
      </c>
      <c r="K209">
        <f>IF('Raw Orders'!J209,"Cancelled",IF('Raw Orders'!K209&gt;=2,"Slipped","On plan"))</f>
        <v/>
      </c>
      <c r="L209" s="14">
        <f>IF(K209="On plan",0,F209)</f>
        <v/>
      </c>
    </row>
    <row r="210">
      <c r="A210">
        <f>'Raw Orders'!A210</f>
        <v/>
      </c>
      <c r="B210">
        <f>'Raw Orders'!B210</f>
        <v/>
      </c>
      <c r="C210">
        <f>'Raw Orders'!C210</f>
        <v/>
      </c>
      <c r="D210" s="13">
        <f>'Raw Orders'!E210</f>
        <v/>
      </c>
      <c r="E210" s="14">
        <f>'Raw Orders'!F210</f>
        <v/>
      </c>
      <c r="F210" s="14">
        <f>'Raw Orders'!F210*0.5</f>
        <v/>
      </c>
      <c r="G210" s="12">
        <f>'Raw Orders'!H210</f>
        <v/>
      </c>
      <c r="H210" s="12">
        <f>'Raw Orders'!I210</f>
        <v/>
      </c>
      <c r="I210" s="13">
        <f>'Raw Orders'!K210</f>
        <v/>
      </c>
      <c r="J210" s="13">
        <f>IF('Raw Orders'!J210,"",(YEAR('Raw Orders'!I210)-YEAR('Raw Orders'!H210))*12+MONTH('Raw Orders'!I210)-MONTH('Raw Orders'!H210))</f>
        <v/>
      </c>
      <c r="K210">
        <f>IF('Raw Orders'!J210,"Cancelled",IF('Raw Orders'!K210&gt;=2,"Slipped","On plan"))</f>
        <v/>
      </c>
      <c r="L210" s="14">
        <f>IF(K210="On plan",0,F210)</f>
        <v/>
      </c>
    </row>
    <row r="211">
      <c r="A211">
        <f>'Raw Orders'!A211</f>
        <v/>
      </c>
      <c r="B211">
        <f>'Raw Orders'!B211</f>
        <v/>
      </c>
      <c r="C211">
        <f>'Raw Orders'!C211</f>
        <v/>
      </c>
      <c r="D211" s="13">
        <f>'Raw Orders'!E211</f>
        <v/>
      </c>
      <c r="E211" s="14">
        <f>'Raw Orders'!F211</f>
        <v/>
      </c>
      <c r="F211" s="14">
        <f>'Raw Orders'!F211*0.5</f>
        <v/>
      </c>
      <c r="G211" s="12">
        <f>'Raw Orders'!H211</f>
        <v/>
      </c>
      <c r="H211" s="12">
        <f>'Raw Orders'!I211</f>
        <v/>
      </c>
      <c r="I211" s="13">
        <f>'Raw Orders'!K211</f>
        <v/>
      </c>
      <c r="J211" s="13">
        <f>IF('Raw Orders'!J211,"",(YEAR('Raw Orders'!I211)-YEAR('Raw Orders'!H211))*12+MONTH('Raw Orders'!I211)-MONTH('Raw Orders'!H211))</f>
        <v/>
      </c>
      <c r="K211">
        <f>IF('Raw Orders'!J211,"Cancelled",IF('Raw Orders'!K211&gt;=2,"Slipped","On plan"))</f>
        <v/>
      </c>
      <c r="L211" s="14">
        <f>IF(K211="On plan",0,F211)</f>
        <v/>
      </c>
    </row>
    <row r="212">
      <c r="A212">
        <f>'Raw Orders'!A212</f>
        <v/>
      </c>
      <c r="B212">
        <f>'Raw Orders'!B212</f>
        <v/>
      </c>
      <c r="C212">
        <f>'Raw Orders'!C212</f>
        <v/>
      </c>
      <c r="D212" s="13">
        <f>'Raw Orders'!E212</f>
        <v/>
      </c>
      <c r="E212" s="14">
        <f>'Raw Orders'!F212</f>
        <v/>
      </c>
      <c r="F212" s="14">
        <f>'Raw Orders'!F212*0.5</f>
        <v/>
      </c>
      <c r="G212" s="12">
        <f>'Raw Orders'!H212</f>
        <v/>
      </c>
      <c r="H212" s="12">
        <f>'Raw Orders'!I212</f>
        <v/>
      </c>
      <c r="I212" s="13">
        <f>'Raw Orders'!K212</f>
        <v/>
      </c>
      <c r="J212" s="13">
        <f>IF('Raw Orders'!J212,"",(YEAR('Raw Orders'!I212)-YEAR('Raw Orders'!H212))*12+MONTH('Raw Orders'!I212)-MONTH('Raw Orders'!H212))</f>
        <v/>
      </c>
      <c r="K212">
        <f>IF('Raw Orders'!J212,"Cancelled",IF('Raw Orders'!K212&gt;=2,"Slipped","On plan"))</f>
        <v/>
      </c>
      <c r="L212" s="14">
        <f>IF(K212="On plan",0,F212)</f>
        <v/>
      </c>
    </row>
    <row r="213">
      <c r="A213">
        <f>'Raw Orders'!A213</f>
        <v/>
      </c>
      <c r="B213">
        <f>'Raw Orders'!B213</f>
        <v/>
      </c>
      <c r="C213">
        <f>'Raw Orders'!C213</f>
        <v/>
      </c>
      <c r="D213" s="13">
        <f>'Raw Orders'!E213</f>
        <v/>
      </c>
      <c r="E213" s="14">
        <f>'Raw Orders'!F213</f>
        <v/>
      </c>
      <c r="F213" s="14">
        <f>'Raw Orders'!F213*0.5</f>
        <v/>
      </c>
      <c r="G213" s="12">
        <f>'Raw Orders'!H213</f>
        <v/>
      </c>
      <c r="H213" s="12">
        <f>'Raw Orders'!I213</f>
        <v/>
      </c>
      <c r="I213" s="13">
        <f>'Raw Orders'!K213</f>
        <v/>
      </c>
      <c r="J213" s="13">
        <f>IF('Raw Orders'!J213,"",(YEAR('Raw Orders'!I213)-YEAR('Raw Orders'!H213))*12+MONTH('Raw Orders'!I213)-MONTH('Raw Orders'!H213))</f>
        <v/>
      </c>
      <c r="K213">
        <f>IF('Raw Orders'!J213,"Cancelled",IF('Raw Orders'!K213&gt;=2,"Slipped","On plan"))</f>
        <v/>
      </c>
      <c r="L213" s="14">
        <f>IF(K213="On plan",0,F213)</f>
        <v/>
      </c>
    </row>
    <row r="214">
      <c r="A214">
        <f>'Raw Orders'!A214</f>
        <v/>
      </c>
      <c r="B214">
        <f>'Raw Orders'!B214</f>
        <v/>
      </c>
      <c r="C214">
        <f>'Raw Orders'!C214</f>
        <v/>
      </c>
      <c r="D214" s="13">
        <f>'Raw Orders'!E214</f>
        <v/>
      </c>
      <c r="E214" s="14">
        <f>'Raw Orders'!F214</f>
        <v/>
      </c>
      <c r="F214" s="14">
        <f>'Raw Orders'!F214*0.5</f>
        <v/>
      </c>
      <c r="G214" s="12">
        <f>'Raw Orders'!H214</f>
        <v/>
      </c>
      <c r="H214" s="12">
        <f>'Raw Orders'!I214</f>
        <v/>
      </c>
      <c r="I214" s="13">
        <f>'Raw Orders'!K214</f>
        <v/>
      </c>
      <c r="J214" s="13">
        <f>IF('Raw Orders'!J214,"",(YEAR('Raw Orders'!I214)-YEAR('Raw Orders'!H214))*12+MONTH('Raw Orders'!I214)-MONTH('Raw Orders'!H214))</f>
        <v/>
      </c>
      <c r="K214">
        <f>IF('Raw Orders'!J214,"Cancelled",IF('Raw Orders'!K214&gt;=2,"Slipped","On plan"))</f>
        <v/>
      </c>
      <c r="L214" s="14">
        <f>IF(K214="On plan",0,F214)</f>
        <v/>
      </c>
    </row>
    <row r="215">
      <c r="A215">
        <f>'Raw Orders'!A215</f>
        <v/>
      </c>
      <c r="B215">
        <f>'Raw Orders'!B215</f>
        <v/>
      </c>
      <c r="C215">
        <f>'Raw Orders'!C215</f>
        <v/>
      </c>
      <c r="D215" s="13">
        <f>'Raw Orders'!E215</f>
        <v/>
      </c>
      <c r="E215" s="14">
        <f>'Raw Orders'!F215</f>
        <v/>
      </c>
      <c r="F215" s="14">
        <f>'Raw Orders'!F215*0.5</f>
        <v/>
      </c>
      <c r="G215" s="12">
        <f>'Raw Orders'!H215</f>
        <v/>
      </c>
      <c r="H215" s="12">
        <f>'Raw Orders'!I215</f>
        <v/>
      </c>
      <c r="I215" s="13">
        <f>'Raw Orders'!K215</f>
        <v/>
      </c>
      <c r="J215" s="13">
        <f>IF('Raw Orders'!J215,"",(YEAR('Raw Orders'!I215)-YEAR('Raw Orders'!H215))*12+MONTH('Raw Orders'!I215)-MONTH('Raw Orders'!H215))</f>
        <v/>
      </c>
      <c r="K215">
        <f>IF('Raw Orders'!J215,"Cancelled",IF('Raw Orders'!K215&gt;=2,"Slipped","On plan"))</f>
        <v/>
      </c>
      <c r="L215" s="14">
        <f>IF(K215="On plan",0,F215)</f>
        <v/>
      </c>
    </row>
    <row r="216">
      <c r="A216">
        <f>'Raw Orders'!A216</f>
        <v/>
      </c>
      <c r="B216">
        <f>'Raw Orders'!B216</f>
        <v/>
      </c>
      <c r="C216">
        <f>'Raw Orders'!C216</f>
        <v/>
      </c>
      <c r="D216" s="13">
        <f>'Raw Orders'!E216</f>
        <v/>
      </c>
      <c r="E216" s="14">
        <f>'Raw Orders'!F216</f>
        <v/>
      </c>
      <c r="F216" s="14">
        <f>'Raw Orders'!F216*0.5</f>
        <v/>
      </c>
      <c r="G216" s="12">
        <f>'Raw Orders'!H216</f>
        <v/>
      </c>
      <c r="H216" s="12">
        <f>'Raw Orders'!I216</f>
        <v/>
      </c>
      <c r="I216" s="13">
        <f>'Raw Orders'!K216</f>
        <v/>
      </c>
      <c r="J216" s="13">
        <f>IF('Raw Orders'!J216,"",(YEAR('Raw Orders'!I216)-YEAR('Raw Orders'!H216))*12+MONTH('Raw Orders'!I216)-MONTH('Raw Orders'!H216))</f>
        <v/>
      </c>
      <c r="K216">
        <f>IF('Raw Orders'!J216,"Cancelled",IF('Raw Orders'!K216&gt;=2,"Slipped","On plan"))</f>
        <v/>
      </c>
      <c r="L216" s="14">
        <f>IF(K216="On plan",0,F216)</f>
        <v/>
      </c>
    </row>
    <row r="217">
      <c r="A217">
        <f>'Raw Orders'!A217</f>
        <v/>
      </c>
      <c r="B217">
        <f>'Raw Orders'!B217</f>
        <v/>
      </c>
      <c r="C217">
        <f>'Raw Orders'!C217</f>
        <v/>
      </c>
      <c r="D217" s="13">
        <f>'Raw Orders'!E217</f>
        <v/>
      </c>
      <c r="E217" s="14">
        <f>'Raw Orders'!F217</f>
        <v/>
      </c>
      <c r="F217" s="14">
        <f>'Raw Orders'!F217*0.5</f>
        <v/>
      </c>
      <c r="G217" s="12">
        <f>'Raw Orders'!H217</f>
        <v/>
      </c>
      <c r="H217" s="12">
        <f>'Raw Orders'!I217</f>
        <v/>
      </c>
      <c r="I217" s="13">
        <f>'Raw Orders'!K217</f>
        <v/>
      </c>
      <c r="J217" s="13">
        <f>IF('Raw Orders'!J217,"",(YEAR('Raw Orders'!I217)-YEAR('Raw Orders'!H217))*12+MONTH('Raw Orders'!I217)-MONTH('Raw Orders'!H217))</f>
        <v/>
      </c>
      <c r="K217">
        <f>IF('Raw Orders'!J217,"Cancelled",IF('Raw Orders'!K217&gt;=2,"Slipped","On plan"))</f>
        <v/>
      </c>
      <c r="L217" s="14">
        <f>IF(K217="On plan",0,F217)</f>
        <v/>
      </c>
    </row>
    <row r="218">
      <c r="A218">
        <f>'Raw Orders'!A218</f>
        <v/>
      </c>
      <c r="B218">
        <f>'Raw Orders'!B218</f>
        <v/>
      </c>
      <c r="C218">
        <f>'Raw Orders'!C218</f>
        <v/>
      </c>
      <c r="D218" s="13">
        <f>'Raw Orders'!E218</f>
        <v/>
      </c>
      <c r="E218" s="14">
        <f>'Raw Orders'!F218</f>
        <v/>
      </c>
      <c r="F218" s="14">
        <f>'Raw Orders'!F218*0.5</f>
        <v/>
      </c>
      <c r="G218" s="12">
        <f>'Raw Orders'!H218</f>
        <v/>
      </c>
      <c r="H218" s="12">
        <f>'Raw Orders'!I218</f>
        <v/>
      </c>
      <c r="I218" s="13">
        <f>'Raw Orders'!K218</f>
        <v/>
      </c>
      <c r="J218" s="13">
        <f>IF('Raw Orders'!J218,"",(YEAR('Raw Orders'!I218)-YEAR('Raw Orders'!H218))*12+MONTH('Raw Orders'!I218)-MONTH('Raw Orders'!H218))</f>
        <v/>
      </c>
      <c r="K218">
        <f>IF('Raw Orders'!J218,"Cancelled",IF('Raw Orders'!K218&gt;=2,"Slipped","On plan"))</f>
        <v/>
      </c>
      <c r="L218" s="14">
        <f>IF(K218="On plan",0,F218)</f>
        <v/>
      </c>
    </row>
    <row r="219">
      <c r="A219">
        <f>'Raw Orders'!A219</f>
        <v/>
      </c>
      <c r="B219">
        <f>'Raw Orders'!B219</f>
        <v/>
      </c>
      <c r="C219">
        <f>'Raw Orders'!C219</f>
        <v/>
      </c>
      <c r="D219" s="13">
        <f>'Raw Orders'!E219</f>
        <v/>
      </c>
      <c r="E219" s="14">
        <f>'Raw Orders'!F219</f>
        <v/>
      </c>
      <c r="F219" s="14">
        <f>'Raw Orders'!F219*0.5</f>
        <v/>
      </c>
      <c r="G219" s="12">
        <f>'Raw Orders'!H219</f>
        <v/>
      </c>
      <c r="H219" s="12">
        <f>'Raw Orders'!I219</f>
        <v/>
      </c>
      <c r="I219" s="13">
        <f>'Raw Orders'!K219</f>
        <v/>
      </c>
      <c r="J219" s="13">
        <f>IF('Raw Orders'!J219,"",(YEAR('Raw Orders'!I219)-YEAR('Raw Orders'!H219))*12+MONTH('Raw Orders'!I219)-MONTH('Raw Orders'!H219))</f>
        <v/>
      </c>
      <c r="K219">
        <f>IF('Raw Orders'!J219,"Cancelled",IF('Raw Orders'!K219&gt;=2,"Slipped","On plan"))</f>
        <v/>
      </c>
      <c r="L219" s="14">
        <f>IF(K219="On plan",0,F219)</f>
        <v/>
      </c>
    </row>
    <row r="220">
      <c r="A220">
        <f>'Raw Orders'!A220</f>
        <v/>
      </c>
      <c r="B220">
        <f>'Raw Orders'!B220</f>
        <v/>
      </c>
      <c r="C220">
        <f>'Raw Orders'!C220</f>
        <v/>
      </c>
      <c r="D220" s="13">
        <f>'Raw Orders'!E220</f>
        <v/>
      </c>
      <c r="E220" s="14">
        <f>'Raw Orders'!F220</f>
        <v/>
      </c>
      <c r="F220" s="14">
        <f>'Raw Orders'!F220*0.5</f>
        <v/>
      </c>
      <c r="G220" s="12">
        <f>'Raw Orders'!H220</f>
        <v/>
      </c>
      <c r="H220" s="12">
        <f>'Raw Orders'!I220</f>
        <v/>
      </c>
      <c r="I220" s="13">
        <f>'Raw Orders'!K220</f>
        <v/>
      </c>
      <c r="J220" s="13">
        <f>IF('Raw Orders'!J220,"",(YEAR('Raw Orders'!I220)-YEAR('Raw Orders'!H220))*12+MONTH('Raw Orders'!I220)-MONTH('Raw Orders'!H220))</f>
        <v/>
      </c>
      <c r="K220">
        <f>IF('Raw Orders'!J220,"Cancelled",IF('Raw Orders'!K220&gt;=2,"Slipped","On plan"))</f>
        <v/>
      </c>
      <c r="L220" s="14">
        <f>IF(K220="On plan",0,F220)</f>
        <v/>
      </c>
    </row>
    <row r="221">
      <c r="A221">
        <f>'Raw Orders'!A221</f>
        <v/>
      </c>
      <c r="B221">
        <f>'Raw Orders'!B221</f>
        <v/>
      </c>
      <c r="C221">
        <f>'Raw Orders'!C221</f>
        <v/>
      </c>
      <c r="D221" s="13">
        <f>'Raw Orders'!E221</f>
        <v/>
      </c>
      <c r="E221" s="14">
        <f>'Raw Orders'!F221</f>
        <v/>
      </c>
      <c r="F221" s="14">
        <f>'Raw Orders'!F221*0.5</f>
        <v/>
      </c>
      <c r="G221" s="12">
        <f>'Raw Orders'!H221</f>
        <v/>
      </c>
      <c r="H221" s="12">
        <f>'Raw Orders'!I221</f>
        <v/>
      </c>
      <c r="I221" s="13">
        <f>'Raw Orders'!K221</f>
        <v/>
      </c>
      <c r="J221" s="13">
        <f>IF('Raw Orders'!J221,"",(YEAR('Raw Orders'!I221)-YEAR('Raw Orders'!H221))*12+MONTH('Raw Orders'!I221)-MONTH('Raw Orders'!H221))</f>
        <v/>
      </c>
      <c r="K221">
        <f>IF('Raw Orders'!J221,"Cancelled",IF('Raw Orders'!K221&gt;=2,"Slipped","On plan"))</f>
        <v/>
      </c>
      <c r="L221" s="14">
        <f>IF(K221="On plan",0,F221)</f>
        <v/>
      </c>
    </row>
    <row r="222">
      <c r="A222">
        <f>'Raw Orders'!A222</f>
        <v/>
      </c>
      <c r="B222">
        <f>'Raw Orders'!B222</f>
        <v/>
      </c>
      <c r="C222">
        <f>'Raw Orders'!C222</f>
        <v/>
      </c>
      <c r="D222" s="13">
        <f>'Raw Orders'!E222</f>
        <v/>
      </c>
      <c r="E222" s="14">
        <f>'Raw Orders'!F222</f>
        <v/>
      </c>
      <c r="F222" s="14">
        <f>'Raw Orders'!F222*0.5</f>
        <v/>
      </c>
      <c r="G222" s="12">
        <f>'Raw Orders'!H222</f>
        <v/>
      </c>
      <c r="H222" s="12">
        <f>'Raw Orders'!I222</f>
        <v/>
      </c>
      <c r="I222" s="13">
        <f>'Raw Orders'!K222</f>
        <v/>
      </c>
      <c r="J222" s="13">
        <f>IF('Raw Orders'!J222,"",(YEAR('Raw Orders'!I222)-YEAR('Raw Orders'!H222))*12+MONTH('Raw Orders'!I222)-MONTH('Raw Orders'!H222))</f>
        <v/>
      </c>
      <c r="K222">
        <f>IF('Raw Orders'!J222,"Cancelled",IF('Raw Orders'!K222&gt;=2,"Slipped","On plan"))</f>
        <v/>
      </c>
      <c r="L222" s="14">
        <f>IF(K222="On plan",0,F222)</f>
        <v/>
      </c>
    </row>
    <row r="223">
      <c r="A223">
        <f>'Raw Orders'!A223</f>
        <v/>
      </c>
      <c r="B223">
        <f>'Raw Orders'!B223</f>
        <v/>
      </c>
      <c r="C223">
        <f>'Raw Orders'!C223</f>
        <v/>
      </c>
      <c r="D223" s="13">
        <f>'Raw Orders'!E223</f>
        <v/>
      </c>
      <c r="E223" s="14">
        <f>'Raw Orders'!F223</f>
        <v/>
      </c>
      <c r="F223" s="14">
        <f>'Raw Orders'!F223*0.5</f>
        <v/>
      </c>
      <c r="G223" s="12">
        <f>'Raw Orders'!H223</f>
        <v/>
      </c>
      <c r="H223" s="12">
        <f>'Raw Orders'!I223</f>
        <v/>
      </c>
      <c r="I223" s="13">
        <f>'Raw Orders'!K223</f>
        <v/>
      </c>
      <c r="J223" s="13">
        <f>IF('Raw Orders'!J223,"",(YEAR('Raw Orders'!I223)-YEAR('Raw Orders'!H223))*12+MONTH('Raw Orders'!I223)-MONTH('Raw Orders'!H223))</f>
        <v/>
      </c>
      <c r="K223">
        <f>IF('Raw Orders'!J223,"Cancelled",IF('Raw Orders'!K223&gt;=2,"Slipped","On plan"))</f>
        <v/>
      </c>
      <c r="L223" s="14">
        <f>IF(K223="On plan",0,F223)</f>
        <v/>
      </c>
    </row>
    <row r="224">
      <c r="A224">
        <f>'Raw Orders'!A224</f>
        <v/>
      </c>
      <c r="B224">
        <f>'Raw Orders'!B224</f>
        <v/>
      </c>
      <c r="C224">
        <f>'Raw Orders'!C224</f>
        <v/>
      </c>
      <c r="D224" s="13">
        <f>'Raw Orders'!E224</f>
        <v/>
      </c>
      <c r="E224" s="14">
        <f>'Raw Orders'!F224</f>
        <v/>
      </c>
      <c r="F224" s="14">
        <f>'Raw Orders'!F224*0.5</f>
        <v/>
      </c>
      <c r="G224" s="12">
        <f>'Raw Orders'!H224</f>
        <v/>
      </c>
      <c r="H224" s="12">
        <f>'Raw Orders'!I224</f>
        <v/>
      </c>
      <c r="I224" s="13">
        <f>'Raw Orders'!K224</f>
        <v/>
      </c>
      <c r="J224" s="13">
        <f>IF('Raw Orders'!J224,"",(YEAR('Raw Orders'!I224)-YEAR('Raw Orders'!H224))*12+MONTH('Raw Orders'!I224)-MONTH('Raw Orders'!H224))</f>
        <v/>
      </c>
      <c r="K224">
        <f>IF('Raw Orders'!J224,"Cancelled",IF('Raw Orders'!K224&gt;=2,"Slipped","On plan"))</f>
        <v/>
      </c>
      <c r="L224" s="14">
        <f>IF(K224="On plan",0,F224)</f>
        <v/>
      </c>
    </row>
    <row r="225">
      <c r="A225">
        <f>'Raw Orders'!A225</f>
        <v/>
      </c>
      <c r="B225">
        <f>'Raw Orders'!B225</f>
        <v/>
      </c>
      <c r="C225">
        <f>'Raw Orders'!C225</f>
        <v/>
      </c>
      <c r="D225" s="13">
        <f>'Raw Orders'!E225</f>
        <v/>
      </c>
      <c r="E225" s="14">
        <f>'Raw Orders'!F225</f>
        <v/>
      </c>
      <c r="F225" s="14">
        <f>'Raw Orders'!F225*0.5</f>
        <v/>
      </c>
      <c r="G225" s="12">
        <f>'Raw Orders'!H225</f>
        <v/>
      </c>
      <c r="H225" s="12">
        <f>'Raw Orders'!I225</f>
        <v/>
      </c>
      <c r="I225" s="13">
        <f>'Raw Orders'!K225</f>
        <v/>
      </c>
      <c r="J225" s="13">
        <f>IF('Raw Orders'!J225,"",(YEAR('Raw Orders'!I225)-YEAR('Raw Orders'!H225))*12+MONTH('Raw Orders'!I225)-MONTH('Raw Orders'!H225))</f>
        <v/>
      </c>
      <c r="K225">
        <f>IF('Raw Orders'!J225,"Cancelled",IF('Raw Orders'!K225&gt;=2,"Slipped","On plan"))</f>
        <v/>
      </c>
      <c r="L225" s="14">
        <f>IF(K225="On plan",0,F225)</f>
        <v/>
      </c>
    </row>
    <row r="226">
      <c r="A226">
        <f>'Raw Orders'!A226</f>
        <v/>
      </c>
      <c r="B226">
        <f>'Raw Orders'!B226</f>
        <v/>
      </c>
      <c r="C226">
        <f>'Raw Orders'!C226</f>
        <v/>
      </c>
      <c r="D226" s="13">
        <f>'Raw Orders'!E226</f>
        <v/>
      </c>
      <c r="E226" s="14">
        <f>'Raw Orders'!F226</f>
        <v/>
      </c>
      <c r="F226" s="14">
        <f>'Raw Orders'!F226*0.5</f>
        <v/>
      </c>
      <c r="G226" s="12">
        <f>'Raw Orders'!H226</f>
        <v/>
      </c>
      <c r="H226" s="12">
        <f>'Raw Orders'!I226</f>
        <v/>
      </c>
      <c r="I226" s="13">
        <f>'Raw Orders'!K226</f>
        <v/>
      </c>
      <c r="J226" s="13">
        <f>IF('Raw Orders'!J226,"",(YEAR('Raw Orders'!I226)-YEAR('Raw Orders'!H226))*12+MONTH('Raw Orders'!I226)-MONTH('Raw Orders'!H226))</f>
        <v/>
      </c>
      <c r="K226">
        <f>IF('Raw Orders'!J226,"Cancelled",IF('Raw Orders'!K226&gt;=2,"Slipped","On plan"))</f>
        <v/>
      </c>
      <c r="L226" s="14">
        <f>IF(K226="On plan",0,F226)</f>
        <v/>
      </c>
    </row>
    <row r="227">
      <c r="A227">
        <f>'Raw Orders'!A227</f>
        <v/>
      </c>
      <c r="B227">
        <f>'Raw Orders'!B227</f>
        <v/>
      </c>
      <c r="C227">
        <f>'Raw Orders'!C227</f>
        <v/>
      </c>
      <c r="D227" s="13">
        <f>'Raw Orders'!E227</f>
        <v/>
      </c>
      <c r="E227" s="14">
        <f>'Raw Orders'!F227</f>
        <v/>
      </c>
      <c r="F227" s="14">
        <f>'Raw Orders'!F227*0.5</f>
        <v/>
      </c>
      <c r="G227" s="12">
        <f>'Raw Orders'!H227</f>
        <v/>
      </c>
      <c r="H227" s="12">
        <f>'Raw Orders'!I227</f>
        <v/>
      </c>
      <c r="I227" s="13">
        <f>'Raw Orders'!K227</f>
        <v/>
      </c>
      <c r="J227" s="13">
        <f>IF('Raw Orders'!J227,"",(YEAR('Raw Orders'!I227)-YEAR('Raw Orders'!H227))*12+MONTH('Raw Orders'!I227)-MONTH('Raw Orders'!H227))</f>
        <v/>
      </c>
      <c r="K227">
        <f>IF('Raw Orders'!J227,"Cancelled",IF('Raw Orders'!K227&gt;=2,"Slipped","On plan"))</f>
        <v/>
      </c>
      <c r="L227" s="14">
        <f>IF(K227="On plan",0,F227)</f>
        <v/>
      </c>
    </row>
    <row r="228">
      <c r="A228">
        <f>'Raw Orders'!A228</f>
        <v/>
      </c>
      <c r="B228">
        <f>'Raw Orders'!B228</f>
        <v/>
      </c>
      <c r="C228">
        <f>'Raw Orders'!C228</f>
        <v/>
      </c>
      <c r="D228" s="13">
        <f>'Raw Orders'!E228</f>
        <v/>
      </c>
      <c r="E228" s="14">
        <f>'Raw Orders'!F228</f>
        <v/>
      </c>
      <c r="F228" s="14">
        <f>'Raw Orders'!F228*0.5</f>
        <v/>
      </c>
      <c r="G228" s="12">
        <f>'Raw Orders'!H228</f>
        <v/>
      </c>
      <c r="H228" s="12">
        <f>'Raw Orders'!I228</f>
        <v/>
      </c>
      <c r="I228" s="13">
        <f>'Raw Orders'!K228</f>
        <v/>
      </c>
      <c r="J228" s="13">
        <f>IF('Raw Orders'!J228,"",(YEAR('Raw Orders'!I228)-YEAR('Raw Orders'!H228))*12+MONTH('Raw Orders'!I228)-MONTH('Raw Orders'!H228))</f>
        <v/>
      </c>
      <c r="K228">
        <f>IF('Raw Orders'!J228,"Cancelled",IF('Raw Orders'!K228&gt;=2,"Slipped","On plan"))</f>
        <v/>
      </c>
      <c r="L228" s="14">
        <f>IF(K228="On plan",0,F228)</f>
        <v/>
      </c>
    </row>
    <row r="229">
      <c r="A229">
        <f>'Raw Orders'!A229</f>
        <v/>
      </c>
      <c r="B229">
        <f>'Raw Orders'!B229</f>
        <v/>
      </c>
      <c r="C229">
        <f>'Raw Orders'!C229</f>
        <v/>
      </c>
      <c r="D229" s="13">
        <f>'Raw Orders'!E229</f>
        <v/>
      </c>
      <c r="E229" s="14">
        <f>'Raw Orders'!F229</f>
        <v/>
      </c>
      <c r="F229" s="14">
        <f>'Raw Orders'!F229*0.5</f>
        <v/>
      </c>
      <c r="G229" s="12">
        <f>'Raw Orders'!H229</f>
        <v/>
      </c>
      <c r="H229" s="12">
        <f>'Raw Orders'!I229</f>
        <v/>
      </c>
      <c r="I229" s="13">
        <f>'Raw Orders'!K229</f>
        <v/>
      </c>
      <c r="J229" s="13">
        <f>IF('Raw Orders'!J229,"",(YEAR('Raw Orders'!I229)-YEAR('Raw Orders'!H229))*12+MONTH('Raw Orders'!I229)-MONTH('Raw Orders'!H229))</f>
        <v/>
      </c>
      <c r="K229">
        <f>IF('Raw Orders'!J229,"Cancelled",IF('Raw Orders'!K229&gt;=2,"Slipped","On plan"))</f>
        <v/>
      </c>
      <c r="L229" s="14">
        <f>IF(K229="On plan",0,F229)</f>
        <v/>
      </c>
    </row>
    <row r="230">
      <c r="A230">
        <f>'Raw Orders'!A230</f>
        <v/>
      </c>
      <c r="B230">
        <f>'Raw Orders'!B230</f>
        <v/>
      </c>
      <c r="C230">
        <f>'Raw Orders'!C230</f>
        <v/>
      </c>
      <c r="D230" s="13">
        <f>'Raw Orders'!E230</f>
        <v/>
      </c>
      <c r="E230" s="14">
        <f>'Raw Orders'!F230</f>
        <v/>
      </c>
      <c r="F230" s="14">
        <f>'Raw Orders'!F230*0.5</f>
        <v/>
      </c>
      <c r="G230" s="12">
        <f>'Raw Orders'!H230</f>
        <v/>
      </c>
      <c r="H230" s="12">
        <f>'Raw Orders'!I230</f>
        <v/>
      </c>
      <c r="I230" s="13">
        <f>'Raw Orders'!K230</f>
        <v/>
      </c>
      <c r="J230" s="13">
        <f>IF('Raw Orders'!J230,"",(YEAR('Raw Orders'!I230)-YEAR('Raw Orders'!H230))*12+MONTH('Raw Orders'!I230)-MONTH('Raw Orders'!H230))</f>
        <v/>
      </c>
      <c r="K230">
        <f>IF('Raw Orders'!J230,"Cancelled",IF('Raw Orders'!K230&gt;=2,"Slipped","On plan"))</f>
        <v/>
      </c>
      <c r="L230" s="14">
        <f>IF(K230="On plan",0,F230)</f>
        <v/>
      </c>
    </row>
    <row r="231">
      <c r="A231">
        <f>'Raw Orders'!A231</f>
        <v/>
      </c>
      <c r="B231">
        <f>'Raw Orders'!B231</f>
        <v/>
      </c>
      <c r="C231">
        <f>'Raw Orders'!C231</f>
        <v/>
      </c>
      <c r="D231" s="13">
        <f>'Raw Orders'!E231</f>
        <v/>
      </c>
      <c r="E231" s="14">
        <f>'Raw Orders'!F231</f>
        <v/>
      </c>
      <c r="F231" s="14">
        <f>'Raw Orders'!F231*0.5</f>
        <v/>
      </c>
      <c r="G231" s="12">
        <f>'Raw Orders'!H231</f>
        <v/>
      </c>
      <c r="H231" s="12">
        <f>'Raw Orders'!I231</f>
        <v/>
      </c>
      <c r="I231" s="13">
        <f>'Raw Orders'!K231</f>
        <v/>
      </c>
      <c r="J231" s="13">
        <f>IF('Raw Orders'!J231,"",(YEAR('Raw Orders'!I231)-YEAR('Raw Orders'!H231))*12+MONTH('Raw Orders'!I231)-MONTH('Raw Orders'!H231))</f>
        <v/>
      </c>
      <c r="K231">
        <f>IF('Raw Orders'!J231,"Cancelled",IF('Raw Orders'!K231&gt;=2,"Slipped","On plan"))</f>
        <v/>
      </c>
      <c r="L231" s="14">
        <f>IF(K231="On plan",0,F231)</f>
        <v/>
      </c>
    </row>
    <row r="232">
      <c r="A232">
        <f>'Raw Orders'!A232</f>
        <v/>
      </c>
      <c r="B232">
        <f>'Raw Orders'!B232</f>
        <v/>
      </c>
      <c r="C232">
        <f>'Raw Orders'!C232</f>
        <v/>
      </c>
      <c r="D232" s="13">
        <f>'Raw Orders'!E232</f>
        <v/>
      </c>
      <c r="E232" s="14">
        <f>'Raw Orders'!F232</f>
        <v/>
      </c>
      <c r="F232" s="14">
        <f>'Raw Orders'!F232*0.5</f>
        <v/>
      </c>
      <c r="G232" s="12">
        <f>'Raw Orders'!H232</f>
        <v/>
      </c>
      <c r="H232" s="12">
        <f>'Raw Orders'!I232</f>
        <v/>
      </c>
      <c r="I232" s="13">
        <f>'Raw Orders'!K232</f>
        <v/>
      </c>
      <c r="J232" s="13">
        <f>IF('Raw Orders'!J232,"",(YEAR('Raw Orders'!I232)-YEAR('Raw Orders'!H232))*12+MONTH('Raw Orders'!I232)-MONTH('Raw Orders'!H232))</f>
        <v/>
      </c>
      <c r="K232">
        <f>IF('Raw Orders'!J232,"Cancelled",IF('Raw Orders'!K232&gt;=2,"Slipped","On plan"))</f>
        <v/>
      </c>
      <c r="L232" s="14">
        <f>IF(K232="On plan",0,F232)</f>
        <v/>
      </c>
    </row>
    <row r="233">
      <c r="A233">
        <f>'Raw Orders'!A233</f>
        <v/>
      </c>
      <c r="B233">
        <f>'Raw Orders'!B233</f>
        <v/>
      </c>
      <c r="C233">
        <f>'Raw Orders'!C233</f>
        <v/>
      </c>
      <c r="D233" s="13">
        <f>'Raw Orders'!E233</f>
        <v/>
      </c>
      <c r="E233" s="14">
        <f>'Raw Orders'!F233</f>
        <v/>
      </c>
      <c r="F233" s="14">
        <f>'Raw Orders'!F233*0.5</f>
        <v/>
      </c>
      <c r="G233" s="12">
        <f>'Raw Orders'!H233</f>
        <v/>
      </c>
      <c r="H233" s="12">
        <f>'Raw Orders'!I233</f>
        <v/>
      </c>
      <c r="I233" s="13">
        <f>'Raw Orders'!K233</f>
        <v/>
      </c>
      <c r="J233" s="13">
        <f>IF('Raw Orders'!J233,"",(YEAR('Raw Orders'!I233)-YEAR('Raw Orders'!H233))*12+MONTH('Raw Orders'!I233)-MONTH('Raw Orders'!H233))</f>
        <v/>
      </c>
      <c r="K233">
        <f>IF('Raw Orders'!J233,"Cancelled",IF('Raw Orders'!K233&gt;=2,"Slipped","On plan"))</f>
        <v/>
      </c>
      <c r="L233" s="14">
        <f>IF(K233="On plan",0,F233)</f>
        <v/>
      </c>
    </row>
    <row r="234">
      <c r="A234">
        <f>'Raw Orders'!A234</f>
        <v/>
      </c>
      <c r="B234">
        <f>'Raw Orders'!B234</f>
        <v/>
      </c>
      <c r="C234">
        <f>'Raw Orders'!C234</f>
        <v/>
      </c>
      <c r="D234" s="13">
        <f>'Raw Orders'!E234</f>
        <v/>
      </c>
      <c r="E234" s="14">
        <f>'Raw Orders'!F234</f>
        <v/>
      </c>
      <c r="F234" s="14">
        <f>'Raw Orders'!F234*0.5</f>
        <v/>
      </c>
      <c r="G234" s="12">
        <f>'Raw Orders'!H234</f>
        <v/>
      </c>
      <c r="H234" s="12">
        <f>'Raw Orders'!I234</f>
        <v/>
      </c>
      <c r="I234" s="13">
        <f>'Raw Orders'!K234</f>
        <v/>
      </c>
      <c r="J234" s="13">
        <f>IF('Raw Orders'!J234,"",(YEAR('Raw Orders'!I234)-YEAR('Raw Orders'!H234))*12+MONTH('Raw Orders'!I234)-MONTH('Raw Orders'!H234))</f>
        <v/>
      </c>
      <c r="K234">
        <f>IF('Raw Orders'!J234,"Cancelled",IF('Raw Orders'!K234&gt;=2,"Slipped","On plan"))</f>
        <v/>
      </c>
      <c r="L234" s="14">
        <f>IF(K234="On plan",0,F234)</f>
        <v/>
      </c>
    </row>
    <row r="235">
      <c r="A235">
        <f>'Raw Orders'!A235</f>
        <v/>
      </c>
      <c r="B235">
        <f>'Raw Orders'!B235</f>
        <v/>
      </c>
      <c r="C235">
        <f>'Raw Orders'!C235</f>
        <v/>
      </c>
      <c r="D235" s="13">
        <f>'Raw Orders'!E235</f>
        <v/>
      </c>
      <c r="E235" s="14">
        <f>'Raw Orders'!F235</f>
        <v/>
      </c>
      <c r="F235" s="14">
        <f>'Raw Orders'!F235*0.5</f>
        <v/>
      </c>
      <c r="G235" s="12">
        <f>'Raw Orders'!H235</f>
        <v/>
      </c>
      <c r="H235" s="12">
        <f>'Raw Orders'!I235</f>
        <v/>
      </c>
      <c r="I235" s="13">
        <f>'Raw Orders'!K235</f>
        <v/>
      </c>
      <c r="J235" s="13">
        <f>IF('Raw Orders'!J235,"",(YEAR('Raw Orders'!I235)-YEAR('Raw Orders'!H235))*12+MONTH('Raw Orders'!I235)-MONTH('Raw Orders'!H235))</f>
        <v/>
      </c>
      <c r="K235">
        <f>IF('Raw Orders'!J235,"Cancelled",IF('Raw Orders'!K235&gt;=2,"Slipped","On plan"))</f>
        <v/>
      </c>
      <c r="L235" s="14">
        <f>IF(K235="On plan",0,F235)</f>
        <v/>
      </c>
    </row>
    <row r="236">
      <c r="A236">
        <f>'Raw Orders'!A236</f>
        <v/>
      </c>
      <c r="B236">
        <f>'Raw Orders'!B236</f>
        <v/>
      </c>
      <c r="C236">
        <f>'Raw Orders'!C236</f>
        <v/>
      </c>
      <c r="D236" s="13">
        <f>'Raw Orders'!E236</f>
        <v/>
      </c>
      <c r="E236" s="14">
        <f>'Raw Orders'!F236</f>
        <v/>
      </c>
      <c r="F236" s="14">
        <f>'Raw Orders'!F236*0.5</f>
        <v/>
      </c>
      <c r="G236" s="12">
        <f>'Raw Orders'!H236</f>
        <v/>
      </c>
      <c r="H236" s="12">
        <f>'Raw Orders'!I236</f>
        <v/>
      </c>
      <c r="I236" s="13">
        <f>'Raw Orders'!K236</f>
        <v/>
      </c>
      <c r="J236" s="13">
        <f>IF('Raw Orders'!J236,"",(YEAR('Raw Orders'!I236)-YEAR('Raw Orders'!H236))*12+MONTH('Raw Orders'!I236)-MONTH('Raw Orders'!H236))</f>
        <v/>
      </c>
      <c r="K236">
        <f>IF('Raw Orders'!J236,"Cancelled",IF('Raw Orders'!K236&gt;=2,"Slipped","On plan"))</f>
        <v/>
      </c>
      <c r="L236" s="14">
        <f>IF(K236="On plan",0,F236)</f>
        <v/>
      </c>
    </row>
    <row r="237">
      <c r="A237">
        <f>'Raw Orders'!A237</f>
        <v/>
      </c>
      <c r="B237">
        <f>'Raw Orders'!B237</f>
        <v/>
      </c>
      <c r="C237">
        <f>'Raw Orders'!C237</f>
        <v/>
      </c>
      <c r="D237" s="13">
        <f>'Raw Orders'!E237</f>
        <v/>
      </c>
      <c r="E237" s="14">
        <f>'Raw Orders'!F237</f>
        <v/>
      </c>
      <c r="F237" s="14">
        <f>'Raw Orders'!F237*0.5</f>
        <v/>
      </c>
      <c r="G237" s="12">
        <f>'Raw Orders'!H237</f>
        <v/>
      </c>
      <c r="H237" s="12">
        <f>'Raw Orders'!I237</f>
        <v/>
      </c>
      <c r="I237" s="13">
        <f>'Raw Orders'!K237</f>
        <v/>
      </c>
      <c r="J237" s="13">
        <f>IF('Raw Orders'!J237,"",(YEAR('Raw Orders'!I237)-YEAR('Raw Orders'!H237))*12+MONTH('Raw Orders'!I237)-MONTH('Raw Orders'!H237))</f>
        <v/>
      </c>
      <c r="K237">
        <f>IF('Raw Orders'!J237,"Cancelled",IF('Raw Orders'!K237&gt;=2,"Slipped","On plan"))</f>
        <v/>
      </c>
      <c r="L237" s="14">
        <f>IF(K237="On plan",0,F237)</f>
        <v/>
      </c>
    </row>
    <row r="238">
      <c r="A238">
        <f>'Raw Orders'!A238</f>
        <v/>
      </c>
      <c r="B238">
        <f>'Raw Orders'!B238</f>
        <v/>
      </c>
      <c r="C238">
        <f>'Raw Orders'!C238</f>
        <v/>
      </c>
      <c r="D238" s="13">
        <f>'Raw Orders'!E238</f>
        <v/>
      </c>
      <c r="E238" s="14">
        <f>'Raw Orders'!F238</f>
        <v/>
      </c>
      <c r="F238" s="14">
        <f>'Raw Orders'!F238*0.5</f>
        <v/>
      </c>
      <c r="G238" s="12">
        <f>'Raw Orders'!H238</f>
        <v/>
      </c>
      <c r="H238" s="12">
        <f>'Raw Orders'!I238</f>
        <v/>
      </c>
      <c r="I238" s="13">
        <f>'Raw Orders'!K238</f>
        <v/>
      </c>
      <c r="J238" s="13">
        <f>IF('Raw Orders'!J238,"",(YEAR('Raw Orders'!I238)-YEAR('Raw Orders'!H238))*12+MONTH('Raw Orders'!I238)-MONTH('Raw Orders'!H238))</f>
        <v/>
      </c>
      <c r="K238">
        <f>IF('Raw Orders'!J238,"Cancelled",IF('Raw Orders'!K238&gt;=2,"Slipped","On plan"))</f>
        <v/>
      </c>
      <c r="L238" s="14">
        <f>IF(K238="On plan",0,F238)</f>
        <v/>
      </c>
    </row>
    <row r="239">
      <c r="A239">
        <f>'Raw Orders'!A239</f>
        <v/>
      </c>
      <c r="B239">
        <f>'Raw Orders'!B239</f>
        <v/>
      </c>
      <c r="C239">
        <f>'Raw Orders'!C239</f>
        <v/>
      </c>
      <c r="D239" s="13">
        <f>'Raw Orders'!E239</f>
        <v/>
      </c>
      <c r="E239" s="14">
        <f>'Raw Orders'!F239</f>
        <v/>
      </c>
      <c r="F239" s="14">
        <f>'Raw Orders'!F239*0.5</f>
        <v/>
      </c>
      <c r="G239" s="12">
        <f>'Raw Orders'!H239</f>
        <v/>
      </c>
      <c r="H239" s="12">
        <f>'Raw Orders'!I239</f>
        <v/>
      </c>
      <c r="I239" s="13">
        <f>'Raw Orders'!K239</f>
        <v/>
      </c>
      <c r="J239" s="13">
        <f>IF('Raw Orders'!J239,"",(YEAR('Raw Orders'!I239)-YEAR('Raw Orders'!H239))*12+MONTH('Raw Orders'!I239)-MONTH('Raw Orders'!H239))</f>
        <v/>
      </c>
      <c r="K239">
        <f>IF('Raw Orders'!J239,"Cancelled",IF('Raw Orders'!K239&gt;=2,"Slipped","On plan"))</f>
        <v/>
      </c>
      <c r="L239" s="14">
        <f>IF(K239="On plan",0,F239)</f>
        <v/>
      </c>
    </row>
    <row r="240">
      <c r="A240">
        <f>'Raw Orders'!A240</f>
        <v/>
      </c>
      <c r="B240">
        <f>'Raw Orders'!B240</f>
        <v/>
      </c>
      <c r="C240">
        <f>'Raw Orders'!C240</f>
        <v/>
      </c>
      <c r="D240" s="13">
        <f>'Raw Orders'!E240</f>
        <v/>
      </c>
      <c r="E240" s="14">
        <f>'Raw Orders'!F240</f>
        <v/>
      </c>
      <c r="F240" s="14">
        <f>'Raw Orders'!F240*0.5</f>
        <v/>
      </c>
      <c r="G240" s="12">
        <f>'Raw Orders'!H240</f>
        <v/>
      </c>
      <c r="H240" s="12">
        <f>'Raw Orders'!I240</f>
        <v/>
      </c>
      <c r="I240" s="13">
        <f>'Raw Orders'!K240</f>
        <v/>
      </c>
      <c r="J240" s="13">
        <f>IF('Raw Orders'!J240,"",(YEAR('Raw Orders'!I240)-YEAR('Raw Orders'!H240))*12+MONTH('Raw Orders'!I240)-MONTH('Raw Orders'!H240))</f>
        <v/>
      </c>
      <c r="K240">
        <f>IF('Raw Orders'!J240,"Cancelled",IF('Raw Orders'!K240&gt;=2,"Slipped","On plan"))</f>
        <v/>
      </c>
      <c r="L240" s="14">
        <f>IF(K240="On plan",0,F240)</f>
        <v/>
      </c>
    </row>
    <row r="241">
      <c r="A241">
        <f>'Raw Orders'!A241</f>
        <v/>
      </c>
      <c r="B241">
        <f>'Raw Orders'!B241</f>
        <v/>
      </c>
      <c r="C241">
        <f>'Raw Orders'!C241</f>
        <v/>
      </c>
      <c r="D241" s="13">
        <f>'Raw Orders'!E241</f>
        <v/>
      </c>
      <c r="E241" s="14">
        <f>'Raw Orders'!F241</f>
        <v/>
      </c>
      <c r="F241" s="14">
        <f>'Raw Orders'!F241*0.5</f>
        <v/>
      </c>
      <c r="G241" s="12">
        <f>'Raw Orders'!H241</f>
        <v/>
      </c>
      <c r="H241" s="12">
        <f>'Raw Orders'!I241</f>
        <v/>
      </c>
      <c r="I241" s="13">
        <f>'Raw Orders'!K241</f>
        <v/>
      </c>
      <c r="J241" s="13">
        <f>IF('Raw Orders'!J241,"",(YEAR('Raw Orders'!I241)-YEAR('Raw Orders'!H241))*12+MONTH('Raw Orders'!I241)-MONTH('Raw Orders'!H241))</f>
        <v/>
      </c>
      <c r="K241">
        <f>IF('Raw Orders'!J241,"Cancelled",IF('Raw Orders'!K241&gt;=2,"Slipped","On plan"))</f>
        <v/>
      </c>
      <c r="L241" s="14">
        <f>IF(K241="On plan",0,F241)</f>
        <v/>
      </c>
    </row>
    <row r="242">
      <c r="A242">
        <f>'Raw Orders'!A242</f>
        <v/>
      </c>
      <c r="B242">
        <f>'Raw Orders'!B242</f>
        <v/>
      </c>
      <c r="C242">
        <f>'Raw Orders'!C242</f>
        <v/>
      </c>
      <c r="D242" s="13">
        <f>'Raw Orders'!E242</f>
        <v/>
      </c>
      <c r="E242" s="14">
        <f>'Raw Orders'!F242</f>
        <v/>
      </c>
      <c r="F242" s="14">
        <f>'Raw Orders'!F242*0.5</f>
        <v/>
      </c>
      <c r="G242" s="12">
        <f>'Raw Orders'!H242</f>
        <v/>
      </c>
      <c r="H242" s="12">
        <f>'Raw Orders'!I242</f>
        <v/>
      </c>
      <c r="I242" s="13">
        <f>'Raw Orders'!K242</f>
        <v/>
      </c>
      <c r="J242" s="13">
        <f>IF('Raw Orders'!J242,"",(YEAR('Raw Orders'!I242)-YEAR('Raw Orders'!H242))*12+MONTH('Raw Orders'!I242)-MONTH('Raw Orders'!H242))</f>
        <v/>
      </c>
      <c r="K242">
        <f>IF('Raw Orders'!J242,"Cancelled",IF('Raw Orders'!K242&gt;=2,"Slipped","On plan"))</f>
        <v/>
      </c>
      <c r="L242" s="14">
        <f>IF(K242="On plan",0,F242)</f>
        <v/>
      </c>
    </row>
    <row r="243">
      <c r="A243">
        <f>'Raw Orders'!A243</f>
        <v/>
      </c>
      <c r="B243">
        <f>'Raw Orders'!B243</f>
        <v/>
      </c>
      <c r="C243">
        <f>'Raw Orders'!C243</f>
        <v/>
      </c>
      <c r="D243" s="13">
        <f>'Raw Orders'!E243</f>
        <v/>
      </c>
      <c r="E243" s="14">
        <f>'Raw Orders'!F243</f>
        <v/>
      </c>
      <c r="F243" s="14">
        <f>'Raw Orders'!F243*0.5</f>
        <v/>
      </c>
      <c r="G243" s="12">
        <f>'Raw Orders'!H243</f>
        <v/>
      </c>
      <c r="H243" s="12">
        <f>'Raw Orders'!I243</f>
        <v/>
      </c>
      <c r="I243" s="13">
        <f>'Raw Orders'!K243</f>
        <v/>
      </c>
      <c r="J243" s="13">
        <f>IF('Raw Orders'!J243,"",(YEAR('Raw Orders'!I243)-YEAR('Raw Orders'!H243))*12+MONTH('Raw Orders'!I243)-MONTH('Raw Orders'!H243))</f>
        <v/>
      </c>
      <c r="K243">
        <f>IF('Raw Orders'!J243,"Cancelled",IF('Raw Orders'!K243&gt;=2,"Slipped","On plan"))</f>
        <v/>
      </c>
      <c r="L243" s="14">
        <f>IF(K243="On plan",0,F243)</f>
        <v/>
      </c>
    </row>
    <row r="244">
      <c r="A244">
        <f>'Raw Orders'!A244</f>
        <v/>
      </c>
      <c r="B244">
        <f>'Raw Orders'!B244</f>
        <v/>
      </c>
      <c r="C244">
        <f>'Raw Orders'!C244</f>
        <v/>
      </c>
      <c r="D244" s="13">
        <f>'Raw Orders'!E244</f>
        <v/>
      </c>
      <c r="E244" s="14">
        <f>'Raw Orders'!F244</f>
        <v/>
      </c>
      <c r="F244" s="14">
        <f>'Raw Orders'!F244*0.5</f>
        <v/>
      </c>
      <c r="G244" s="12">
        <f>'Raw Orders'!H244</f>
        <v/>
      </c>
      <c r="H244" s="12">
        <f>'Raw Orders'!I244</f>
        <v/>
      </c>
      <c r="I244" s="13">
        <f>'Raw Orders'!K244</f>
        <v/>
      </c>
      <c r="J244" s="13">
        <f>IF('Raw Orders'!J244,"",(YEAR('Raw Orders'!I244)-YEAR('Raw Orders'!H244))*12+MONTH('Raw Orders'!I244)-MONTH('Raw Orders'!H244))</f>
        <v/>
      </c>
      <c r="K244">
        <f>IF('Raw Orders'!J244,"Cancelled",IF('Raw Orders'!K244&gt;=2,"Slipped","On plan"))</f>
        <v/>
      </c>
      <c r="L244" s="14">
        <f>IF(K244="On plan",0,F244)</f>
        <v/>
      </c>
    </row>
    <row r="245">
      <c r="A245">
        <f>'Raw Orders'!A245</f>
        <v/>
      </c>
      <c r="B245">
        <f>'Raw Orders'!B245</f>
        <v/>
      </c>
      <c r="C245">
        <f>'Raw Orders'!C245</f>
        <v/>
      </c>
      <c r="D245" s="13">
        <f>'Raw Orders'!E245</f>
        <v/>
      </c>
      <c r="E245" s="14">
        <f>'Raw Orders'!F245</f>
        <v/>
      </c>
      <c r="F245" s="14">
        <f>'Raw Orders'!F245*0.5</f>
        <v/>
      </c>
      <c r="G245" s="12">
        <f>'Raw Orders'!H245</f>
        <v/>
      </c>
      <c r="H245" s="12">
        <f>'Raw Orders'!I245</f>
        <v/>
      </c>
      <c r="I245" s="13">
        <f>'Raw Orders'!K245</f>
        <v/>
      </c>
      <c r="J245" s="13">
        <f>IF('Raw Orders'!J245,"",(YEAR('Raw Orders'!I245)-YEAR('Raw Orders'!H245))*12+MONTH('Raw Orders'!I245)-MONTH('Raw Orders'!H245))</f>
        <v/>
      </c>
      <c r="K245">
        <f>IF('Raw Orders'!J245,"Cancelled",IF('Raw Orders'!K245&gt;=2,"Slipped","On plan"))</f>
        <v/>
      </c>
      <c r="L245" s="14">
        <f>IF(K245="On plan",0,F245)</f>
        <v/>
      </c>
    </row>
    <row r="246">
      <c r="A246">
        <f>'Raw Orders'!A246</f>
        <v/>
      </c>
      <c r="B246">
        <f>'Raw Orders'!B246</f>
        <v/>
      </c>
      <c r="C246">
        <f>'Raw Orders'!C246</f>
        <v/>
      </c>
      <c r="D246" s="13">
        <f>'Raw Orders'!E246</f>
        <v/>
      </c>
      <c r="E246" s="14">
        <f>'Raw Orders'!F246</f>
        <v/>
      </c>
      <c r="F246" s="14">
        <f>'Raw Orders'!F246*0.5</f>
        <v/>
      </c>
      <c r="G246" s="12">
        <f>'Raw Orders'!H246</f>
        <v/>
      </c>
      <c r="H246" s="12">
        <f>'Raw Orders'!I246</f>
        <v/>
      </c>
      <c r="I246" s="13">
        <f>'Raw Orders'!K246</f>
        <v/>
      </c>
      <c r="J246" s="13">
        <f>IF('Raw Orders'!J246,"",(YEAR('Raw Orders'!I246)-YEAR('Raw Orders'!H246))*12+MONTH('Raw Orders'!I246)-MONTH('Raw Orders'!H246))</f>
        <v/>
      </c>
      <c r="K246">
        <f>IF('Raw Orders'!J246,"Cancelled",IF('Raw Orders'!K246&gt;=2,"Slipped","On plan"))</f>
        <v/>
      </c>
      <c r="L246" s="14">
        <f>IF(K246="On plan",0,F246)</f>
        <v/>
      </c>
    </row>
    <row r="247">
      <c r="A247">
        <f>'Raw Orders'!A247</f>
        <v/>
      </c>
      <c r="B247">
        <f>'Raw Orders'!B247</f>
        <v/>
      </c>
      <c r="C247">
        <f>'Raw Orders'!C247</f>
        <v/>
      </c>
      <c r="D247" s="13">
        <f>'Raw Orders'!E247</f>
        <v/>
      </c>
      <c r="E247" s="14">
        <f>'Raw Orders'!F247</f>
        <v/>
      </c>
      <c r="F247" s="14">
        <f>'Raw Orders'!F247*0.5</f>
        <v/>
      </c>
      <c r="G247" s="12">
        <f>'Raw Orders'!H247</f>
        <v/>
      </c>
      <c r="H247" s="12">
        <f>'Raw Orders'!I247</f>
        <v/>
      </c>
      <c r="I247" s="13">
        <f>'Raw Orders'!K247</f>
        <v/>
      </c>
      <c r="J247" s="13">
        <f>IF('Raw Orders'!J247,"",(YEAR('Raw Orders'!I247)-YEAR('Raw Orders'!H247))*12+MONTH('Raw Orders'!I247)-MONTH('Raw Orders'!H247))</f>
        <v/>
      </c>
      <c r="K247">
        <f>IF('Raw Orders'!J247,"Cancelled",IF('Raw Orders'!K247&gt;=2,"Slipped","On plan"))</f>
        <v/>
      </c>
      <c r="L247" s="14">
        <f>IF(K247="On plan",0,F247)</f>
        <v/>
      </c>
    </row>
    <row r="248">
      <c r="A248">
        <f>'Raw Orders'!A248</f>
        <v/>
      </c>
      <c r="B248">
        <f>'Raw Orders'!B248</f>
        <v/>
      </c>
      <c r="C248">
        <f>'Raw Orders'!C248</f>
        <v/>
      </c>
      <c r="D248" s="13">
        <f>'Raw Orders'!E248</f>
        <v/>
      </c>
      <c r="E248" s="14">
        <f>'Raw Orders'!F248</f>
        <v/>
      </c>
      <c r="F248" s="14">
        <f>'Raw Orders'!F248*0.5</f>
        <v/>
      </c>
      <c r="G248" s="12">
        <f>'Raw Orders'!H248</f>
        <v/>
      </c>
      <c r="H248" s="12">
        <f>'Raw Orders'!I248</f>
        <v/>
      </c>
      <c r="I248" s="13">
        <f>'Raw Orders'!K248</f>
        <v/>
      </c>
      <c r="J248" s="13">
        <f>IF('Raw Orders'!J248,"",(YEAR('Raw Orders'!I248)-YEAR('Raw Orders'!H248))*12+MONTH('Raw Orders'!I248)-MONTH('Raw Orders'!H248))</f>
        <v/>
      </c>
      <c r="K248">
        <f>IF('Raw Orders'!J248,"Cancelled",IF('Raw Orders'!K248&gt;=2,"Slipped","On plan"))</f>
        <v/>
      </c>
      <c r="L248" s="14">
        <f>IF(K248="On plan",0,F248)</f>
        <v/>
      </c>
    </row>
    <row r="249">
      <c r="A249">
        <f>'Raw Orders'!A249</f>
        <v/>
      </c>
      <c r="B249">
        <f>'Raw Orders'!B249</f>
        <v/>
      </c>
      <c r="C249">
        <f>'Raw Orders'!C249</f>
        <v/>
      </c>
      <c r="D249" s="13">
        <f>'Raw Orders'!E249</f>
        <v/>
      </c>
      <c r="E249" s="14">
        <f>'Raw Orders'!F249</f>
        <v/>
      </c>
      <c r="F249" s="14">
        <f>'Raw Orders'!F249*0.5</f>
        <v/>
      </c>
      <c r="G249" s="12">
        <f>'Raw Orders'!H249</f>
        <v/>
      </c>
      <c r="H249" s="12">
        <f>'Raw Orders'!I249</f>
        <v/>
      </c>
      <c r="I249" s="13">
        <f>'Raw Orders'!K249</f>
        <v/>
      </c>
      <c r="J249" s="13">
        <f>IF('Raw Orders'!J249,"",(YEAR('Raw Orders'!I249)-YEAR('Raw Orders'!H249))*12+MONTH('Raw Orders'!I249)-MONTH('Raw Orders'!H249))</f>
        <v/>
      </c>
      <c r="K249">
        <f>IF('Raw Orders'!J249,"Cancelled",IF('Raw Orders'!K249&gt;=2,"Slipped","On plan"))</f>
        <v/>
      </c>
      <c r="L249" s="14">
        <f>IF(K249="On plan",0,F249)</f>
        <v/>
      </c>
    </row>
    <row r="250">
      <c r="A250">
        <f>'Raw Orders'!A250</f>
        <v/>
      </c>
      <c r="B250">
        <f>'Raw Orders'!B250</f>
        <v/>
      </c>
      <c r="C250">
        <f>'Raw Orders'!C250</f>
        <v/>
      </c>
      <c r="D250" s="13">
        <f>'Raw Orders'!E250</f>
        <v/>
      </c>
      <c r="E250" s="14">
        <f>'Raw Orders'!F250</f>
        <v/>
      </c>
      <c r="F250" s="14">
        <f>'Raw Orders'!F250*0.5</f>
        <v/>
      </c>
      <c r="G250" s="12">
        <f>'Raw Orders'!H250</f>
        <v/>
      </c>
      <c r="H250" s="12">
        <f>'Raw Orders'!I250</f>
        <v/>
      </c>
      <c r="I250" s="13">
        <f>'Raw Orders'!K250</f>
        <v/>
      </c>
      <c r="J250" s="13">
        <f>IF('Raw Orders'!J250,"",(YEAR('Raw Orders'!I250)-YEAR('Raw Orders'!H250))*12+MONTH('Raw Orders'!I250)-MONTH('Raw Orders'!H250))</f>
        <v/>
      </c>
      <c r="K250">
        <f>IF('Raw Orders'!J250,"Cancelled",IF('Raw Orders'!K250&gt;=2,"Slipped","On plan"))</f>
        <v/>
      </c>
      <c r="L250" s="14">
        <f>IF(K250="On plan",0,F250)</f>
        <v/>
      </c>
    </row>
    <row r="251">
      <c r="A251">
        <f>'Raw Orders'!A251</f>
        <v/>
      </c>
      <c r="B251">
        <f>'Raw Orders'!B251</f>
        <v/>
      </c>
      <c r="C251">
        <f>'Raw Orders'!C251</f>
        <v/>
      </c>
      <c r="D251" s="13">
        <f>'Raw Orders'!E251</f>
        <v/>
      </c>
      <c r="E251" s="14">
        <f>'Raw Orders'!F251</f>
        <v/>
      </c>
      <c r="F251" s="14">
        <f>'Raw Orders'!F251*0.5</f>
        <v/>
      </c>
      <c r="G251" s="12">
        <f>'Raw Orders'!H251</f>
        <v/>
      </c>
      <c r="H251" s="12">
        <f>'Raw Orders'!I251</f>
        <v/>
      </c>
      <c r="I251" s="13">
        <f>'Raw Orders'!K251</f>
        <v/>
      </c>
      <c r="J251" s="13">
        <f>IF('Raw Orders'!J251,"",(YEAR('Raw Orders'!I251)-YEAR('Raw Orders'!H251))*12+MONTH('Raw Orders'!I251)-MONTH('Raw Orders'!H251))</f>
        <v/>
      </c>
      <c r="K251">
        <f>IF('Raw Orders'!J251,"Cancelled",IF('Raw Orders'!K251&gt;=2,"Slipped","On plan"))</f>
        <v/>
      </c>
      <c r="L251" s="14">
        <f>IF(K251="On plan",0,F251)</f>
        <v/>
      </c>
    </row>
    <row r="252">
      <c r="A252">
        <f>'Raw Orders'!A252</f>
        <v/>
      </c>
      <c r="B252">
        <f>'Raw Orders'!B252</f>
        <v/>
      </c>
      <c r="C252">
        <f>'Raw Orders'!C252</f>
        <v/>
      </c>
      <c r="D252" s="13">
        <f>'Raw Orders'!E252</f>
        <v/>
      </c>
      <c r="E252" s="14">
        <f>'Raw Orders'!F252</f>
        <v/>
      </c>
      <c r="F252" s="14">
        <f>'Raw Orders'!F252*0.5</f>
        <v/>
      </c>
      <c r="G252" s="12">
        <f>'Raw Orders'!H252</f>
        <v/>
      </c>
      <c r="H252" s="12">
        <f>'Raw Orders'!I252</f>
        <v/>
      </c>
      <c r="I252" s="13">
        <f>'Raw Orders'!K252</f>
        <v/>
      </c>
      <c r="J252" s="13">
        <f>IF('Raw Orders'!J252,"",(YEAR('Raw Orders'!I252)-YEAR('Raw Orders'!H252))*12+MONTH('Raw Orders'!I252)-MONTH('Raw Orders'!H252))</f>
        <v/>
      </c>
      <c r="K252">
        <f>IF('Raw Orders'!J252,"Cancelled",IF('Raw Orders'!K252&gt;=2,"Slipped","On plan"))</f>
        <v/>
      </c>
      <c r="L252" s="14">
        <f>IF(K252="On plan",0,F252)</f>
        <v/>
      </c>
    </row>
    <row r="253">
      <c r="A253">
        <f>'Raw Orders'!A253</f>
        <v/>
      </c>
      <c r="B253">
        <f>'Raw Orders'!B253</f>
        <v/>
      </c>
      <c r="C253">
        <f>'Raw Orders'!C253</f>
        <v/>
      </c>
      <c r="D253" s="13">
        <f>'Raw Orders'!E253</f>
        <v/>
      </c>
      <c r="E253" s="14">
        <f>'Raw Orders'!F253</f>
        <v/>
      </c>
      <c r="F253" s="14">
        <f>'Raw Orders'!F253*0.5</f>
        <v/>
      </c>
      <c r="G253" s="12">
        <f>'Raw Orders'!H253</f>
        <v/>
      </c>
      <c r="H253" s="12">
        <f>'Raw Orders'!I253</f>
        <v/>
      </c>
      <c r="I253" s="13">
        <f>'Raw Orders'!K253</f>
        <v/>
      </c>
      <c r="J253" s="13">
        <f>IF('Raw Orders'!J253,"",(YEAR('Raw Orders'!I253)-YEAR('Raw Orders'!H253))*12+MONTH('Raw Orders'!I253)-MONTH('Raw Orders'!H253))</f>
        <v/>
      </c>
      <c r="K253">
        <f>IF('Raw Orders'!J253,"Cancelled",IF('Raw Orders'!K253&gt;=2,"Slipped","On plan"))</f>
        <v/>
      </c>
      <c r="L253" s="14">
        <f>IF(K253="On plan",0,F253)</f>
        <v/>
      </c>
    </row>
    <row r="254">
      <c r="A254">
        <f>'Raw Orders'!A254</f>
        <v/>
      </c>
      <c r="B254">
        <f>'Raw Orders'!B254</f>
        <v/>
      </c>
      <c r="C254">
        <f>'Raw Orders'!C254</f>
        <v/>
      </c>
      <c r="D254" s="13">
        <f>'Raw Orders'!E254</f>
        <v/>
      </c>
      <c r="E254" s="14">
        <f>'Raw Orders'!F254</f>
        <v/>
      </c>
      <c r="F254" s="14">
        <f>'Raw Orders'!F254*0.5</f>
        <v/>
      </c>
      <c r="G254" s="12">
        <f>'Raw Orders'!H254</f>
        <v/>
      </c>
      <c r="H254" s="12">
        <f>'Raw Orders'!I254</f>
        <v/>
      </c>
      <c r="I254" s="13">
        <f>'Raw Orders'!K254</f>
        <v/>
      </c>
      <c r="J254" s="13">
        <f>IF('Raw Orders'!J254,"",(YEAR('Raw Orders'!I254)-YEAR('Raw Orders'!H254))*12+MONTH('Raw Orders'!I254)-MONTH('Raw Orders'!H254))</f>
        <v/>
      </c>
      <c r="K254">
        <f>IF('Raw Orders'!J254,"Cancelled",IF('Raw Orders'!K254&gt;=2,"Slipped","On plan"))</f>
        <v/>
      </c>
      <c r="L254" s="14">
        <f>IF(K254="On plan",0,F254)</f>
        <v/>
      </c>
    </row>
    <row r="255">
      <c r="A255">
        <f>'Raw Orders'!A255</f>
        <v/>
      </c>
      <c r="B255">
        <f>'Raw Orders'!B255</f>
        <v/>
      </c>
      <c r="C255">
        <f>'Raw Orders'!C255</f>
        <v/>
      </c>
      <c r="D255" s="13">
        <f>'Raw Orders'!E255</f>
        <v/>
      </c>
      <c r="E255" s="14">
        <f>'Raw Orders'!F255</f>
        <v/>
      </c>
      <c r="F255" s="14">
        <f>'Raw Orders'!F255*0.5</f>
        <v/>
      </c>
      <c r="G255" s="12">
        <f>'Raw Orders'!H255</f>
        <v/>
      </c>
      <c r="H255" s="12">
        <f>'Raw Orders'!I255</f>
        <v/>
      </c>
      <c r="I255" s="13">
        <f>'Raw Orders'!K255</f>
        <v/>
      </c>
      <c r="J255" s="13">
        <f>IF('Raw Orders'!J255,"",(YEAR('Raw Orders'!I255)-YEAR('Raw Orders'!H255))*12+MONTH('Raw Orders'!I255)-MONTH('Raw Orders'!H255))</f>
        <v/>
      </c>
      <c r="K255">
        <f>IF('Raw Orders'!J255,"Cancelled",IF('Raw Orders'!K255&gt;=2,"Slipped","On plan"))</f>
        <v/>
      </c>
      <c r="L255" s="14">
        <f>IF(K255="On plan",0,F255)</f>
        <v/>
      </c>
    </row>
    <row r="256">
      <c r="A256">
        <f>'Raw Orders'!A256</f>
        <v/>
      </c>
      <c r="B256">
        <f>'Raw Orders'!B256</f>
        <v/>
      </c>
      <c r="C256">
        <f>'Raw Orders'!C256</f>
        <v/>
      </c>
      <c r="D256" s="13">
        <f>'Raw Orders'!E256</f>
        <v/>
      </c>
      <c r="E256" s="14">
        <f>'Raw Orders'!F256</f>
        <v/>
      </c>
      <c r="F256" s="14">
        <f>'Raw Orders'!F256*0.5</f>
        <v/>
      </c>
      <c r="G256" s="12">
        <f>'Raw Orders'!H256</f>
        <v/>
      </c>
      <c r="H256" s="12">
        <f>'Raw Orders'!I256</f>
        <v/>
      </c>
      <c r="I256" s="13">
        <f>'Raw Orders'!K256</f>
        <v/>
      </c>
      <c r="J256" s="13">
        <f>IF('Raw Orders'!J256,"",(YEAR('Raw Orders'!I256)-YEAR('Raw Orders'!H256))*12+MONTH('Raw Orders'!I256)-MONTH('Raw Orders'!H256))</f>
        <v/>
      </c>
      <c r="K256">
        <f>IF('Raw Orders'!J256,"Cancelled",IF('Raw Orders'!K256&gt;=2,"Slipped","On plan"))</f>
        <v/>
      </c>
      <c r="L256" s="14">
        <f>IF(K256="On plan",0,F256)</f>
        <v/>
      </c>
    </row>
    <row r="257">
      <c r="A257">
        <f>'Raw Orders'!A257</f>
        <v/>
      </c>
      <c r="B257">
        <f>'Raw Orders'!B257</f>
        <v/>
      </c>
      <c r="C257">
        <f>'Raw Orders'!C257</f>
        <v/>
      </c>
      <c r="D257" s="13">
        <f>'Raw Orders'!E257</f>
        <v/>
      </c>
      <c r="E257" s="14">
        <f>'Raw Orders'!F257</f>
        <v/>
      </c>
      <c r="F257" s="14">
        <f>'Raw Orders'!F257*0.5</f>
        <v/>
      </c>
      <c r="G257" s="12">
        <f>'Raw Orders'!H257</f>
        <v/>
      </c>
      <c r="H257" s="12">
        <f>'Raw Orders'!I257</f>
        <v/>
      </c>
      <c r="I257" s="13">
        <f>'Raw Orders'!K257</f>
        <v/>
      </c>
      <c r="J257" s="13">
        <f>IF('Raw Orders'!J257,"",(YEAR('Raw Orders'!I257)-YEAR('Raw Orders'!H257))*12+MONTH('Raw Orders'!I257)-MONTH('Raw Orders'!H257))</f>
        <v/>
      </c>
      <c r="K257">
        <f>IF('Raw Orders'!J257,"Cancelled",IF('Raw Orders'!K257&gt;=2,"Slipped","On plan"))</f>
        <v/>
      </c>
      <c r="L257" s="14">
        <f>IF(K257="On plan",0,F257)</f>
        <v/>
      </c>
    </row>
    <row r="258">
      <c r="A258">
        <f>'Raw Orders'!A258</f>
        <v/>
      </c>
      <c r="B258">
        <f>'Raw Orders'!B258</f>
        <v/>
      </c>
      <c r="C258">
        <f>'Raw Orders'!C258</f>
        <v/>
      </c>
      <c r="D258" s="13">
        <f>'Raw Orders'!E258</f>
        <v/>
      </c>
      <c r="E258" s="14">
        <f>'Raw Orders'!F258</f>
        <v/>
      </c>
      <c r="F258" s="14">
        <f>'Raw Orders'!F258*0.5</f>
        <v/>
      </c>
      <c r="G258" s="12">
        <f>'Raw Orders'!H258</f>
        <v/>
      </c>
      <c r="H258" s="12">
        <f>'Raw Orders'!I258</f>
        <v/>
      </c>
      <c r="I258" s="13">
        <f>'Raw Orders'!K258</f>
        <v/>
      </c>
      <c r="J258" s="13">
        <f>IF('Raw Orders'!J258,"",(YEAR('Raw Orders'!I258)-YEAR('Raw Orders'!H258))*12+MONTH('Raw Orders'!I258)-MONTH('Raw Orders'!H258))</f>
        <v/>
      </c>
      <c r="K258">
        <f>IF('Raw Orders'!J258,"Cancelled",IF('Raw Orders'!K258&gt;=2,"Slipped","On plan"))</f>
        <v/>
      </c>
      <c r="L258" s="14">
        <f>IF(K258="On plan",0,F258)</f>
        <v/>
      </c>
    </row>
    <row r="259">
      <c r="A259">
        <f>'Raw Orders'!A259</f>
        <v/>
      </c>
      <c r="B259">
        <f>'Raw Orders'!B259</f>
        <v/>
      </c>
      <c r="C259">
        <f>'Raw Orders'!C259</f>
        <v/>
      </c>
      <c r="D259" s="13">
        <f>'Raw Orders'!E259</f>
        <v/>
      </c>
      <c r="E259" s="14">
        <f>'Raw Orders'!F259</f>
        <v/>
      </c>
      <c r="F259" s="14">
        <f>'Raw Orders'!F259*0.5</f>
        <v/>
      </c>
      <c r="G259" s="12">
        <f>'Raw Orders'!H259</f>
        <v/>
      </c>
      <c r="H259" s="12">
        <f>'Raw Orders'!I259</f>
        <v/>
      </c>
      <c r="I259" s="13">
        <f>'Raw Orders'!K259</f>
        <v/>
      </c>
      <c r="J259" s="13">
        <f>IF('Raw Orders'!J259,"",(YEAR('Raw Orders'!I259)-YEAR('Raw Orders'!H259))*12+MONTH('Raw Orders'!I259)-MONTH('Raw Orders'!H259))</f>
        <v/>
      </c>
      <c r="K259">
        <f>IF('Raw Orders'!J259,"Cancelled",IF('Raw Orders'!K259&gt;=2,"Slipped","On plan"))</f>
        <v/>
      </c>
      <c r="L259" s="14">
        <f>IF(K259="On plan",0,F259)</f>
        <v/>
      </c>
    </row>
    <row r="260">
      <c r="A260">
        <f>'Raw Orders'!A260</f>
        <v/>
      </c>
      <c r="B260">
        <f>'Raw Orders'!B260</f>
        <v/>
      </c>
      <c r="C260">
        <f>'Raw Orders'!C260</f>
        <v/>
      </c>
      <c r="D260" s="13">
        <f>'Raw Orders'!E260</f>
        <v/>
      </c>
      <c r="E260" s="14">
        <f>'Raw Orders'!F260</f>
        <v/>
      </c>
      <c r="F260" s="14">
        <f>'Raw Orders'!F260*0.5</f>
        <v/>
      </c>
      <c r="G260" s="12">
        <f>'Raw Orders'!H260</f>
        <v/>
      </c>
      <c r="H260" s="12">
        <f>'Raw Orders'!I260</f>
        <v/>
      </c>
      <c r="I260" s="13">
        <f>'Raw Orders'!K260</f>
        <v/>
      </c>
      <c r="J260" s="13">
        <f>IF('Raw Orders'!J260,"",(YEAR('Raw Orders'!I260)-YEAR('Raw Orders'!H260))*12+MONTH('Raw Orders'!I260)-MONTH('Raw Orders'!H260))</f>
        <v/>
      </c>
      <c r="K260">
        <f>IF('Raw Orders'!J260,"Cancelled",IF('Raw Orders'!K260&gt;=2,"Slipped","On plan"))</f>
        <v/>
      </c>
      <c r="L260" s="14">
        <f>IF(K260="On plan",0,F260)</f>
        <v/>
      </c>
    </row>
    <row r="261">
      <c r="A261">
        <f>'Raw Orders'!A261</f>
        <v/>
      </c>
      <c r="B261">
        <f>'Raw Orders'!B261</f>
        <v/>
      </c>
      <c r="C261">
        <f>'Raw Orders'!C261</f>
        <v/>
      </c>
      <c r="D261" s="13">
        <f>'Raw Orders'!E261</f>
        <v/>
      </c>
      <c r="E261" s="14">
        <f>'Raw Orders'!F261</f>
        <v/>
      </c>
      <c r="F261" s="14">
        <f>'Raw Orders'!F261*0.5</f>
        <v/>
      </c>
      <c r="G261" s="12">
        <f>'Raw Orders'!H261</f>
        <v/>
      </c>
      <c r="H261" s="12">
        <f>'Raw Orders'!I261</f>
        <v/>
      </c>
      <c r="I261" s="13">
        <f>'Raw Orders'!K261</f>
        <v/>
      </c>
      <c r="J261" s="13">
        <f>IF('Raw Orders'!J261,"",(YEAR('Raw Orders'!I261)-YEAR('Raw Orders'!H261))*12+MONTH('Raw Orders'!I261)-MONTH('Raw Orders'!H261))</f>
        <v/>
      </c>
      <c r="K261">
        <f>IF('Raw Orders'!J261,"Cancelled",IF('Raw Orders'!K261&gt;=2,"Slipped","On plan"))</f>
        <v/>
      </c>
      <c r="L261" s="14">
        <f>IF(K261="On plan",0,F261)</f>
        <v/>
      </c>
    </row>
    <row r="262">
      <c r="A262">
        <f>'Raw Orders'!A262</f>
        <v/>
      </c>
      <c r="B262">
        <f>'Raw Orders'!B262</f>
        <v/>
      </c>
      <c r="C262">
        <f>'Raw Orders'!C262</f>
        <v/>
      </c>
      <c r="D262" s="13">
        <f>'Raw Orders'!E262</f>
        <v/>
      </c>
      <c r="E262" s="14">
        <f>'Raw Orders'!F262</f>
        <v/>
      </c>
      <c r="F262" s="14">
        <f>'Raw Orders'!F262*0.5</f>
        <v/>
      </c>
      <c r="G262" s="12">
        <f>'Raw Orders'!H262</f>
        <v/>
      </c>
      <c r="H262" s="12">
        <f>'Raw Orders'!I262</f>
        <v/>
      </c>
      <c r="I262" s="13">
        <f>'Raw Orders'!K262</f>
        <v/>
      </c>
      <c r="J262" s="13">
        <f>IF('Raw Orders'!J262,"",(YEAR('Raw Orders'!I262)-YEAR('Raw Orders'!H262))*12+MONTH('Raw Orders'!I262)-MONTH('Raw Orders'!H262))</f>
        <v/>
      </c>
      <c r="K262">
        <f>IF('Raw Orders'!J262,"Cancelled",IF('Raw Orders'!K262&gt;=2,"Slipped","On plan"))</f>
        <v/>
      </c>
      <c r="L262" s="14">
        <f>IF(K262="On plan",0,F262)</f>
        <v/>
      </c>
    </row>
    <row r="263">
      <c r="A263">
        <f>'Raw Orders'!A263</f>
        <v/>
      </c>
      <c r="B263">
        <f>'Raw Orders'!B263</f>
        <v/>
      </c>
      <c r="C263">
        <f>'Raw Orders'!C263</f>
        <v/>
      </c>
      <c r="D263" s="13">
        <f>'Raw Orders'!E263</f>
        <v/>
      </c>
      <c r="E263" s="14">
        <f>'Raw Orders'!F263</f>
        <v/>
      </c>
      <c r="F263" s="14">
        <f>'Raw Orders'!F263*0.5</f>
        <v/>
      </c>
      <c r="G263" s="12">
        <f>'Raw Orders'!H263</f>
        <v/>
      </c>
      <c r="H263" s="12">
        <f>'Raw Orders'!I263</f>
        <v/>
      </c>
      <c r="I263" s="13">
        <f>'Raw Orders'!K263</f>
        <v/>
      </c>
      <c r="J263" s="13">
        <f>IF('Raw Orders'!J263,"",(YEAR('Raw Orders'!I263)-YEAR('Raw Orders'!H263))*12+MONTH('Raw Orders'!I263)-MONTH('Raw Orders'!H263))</f>
        <v/>
      </c>
      <c r="K263">
        <f>IF('Raw Orders'!J263,"Cancelled",IF('Raw Orders'!K263&gt;=2,"Slipped","On plan"))</f>
        <v/>
      </c>
      <c r="L263" s="14">
        <f>IF(K263="On plan",0,F263)</f>
        <v/>
      </c>
    </row>
    <row r="264">
      <c r="A264">
        <f>'Raw Orders'!A264</f>
        <v/>
      </c>
      <c r="B264">
        <f>'Raw Orders'!B264</f>
        <v/>
      </c>
      <c r="C264">
        <f>'Raw Orders'!C264</f>
        <v/>
      </c>
      <c r="D264" s="13">
        <f>'Raw Orders'!E264</f>
        <v/>
      </c>
      <c r="E264" s="14">
        <f>'Raw Orders'!F264</f>
        <v/>
      </c>
      <c r="F264" s="14">
        <f>'Raw Orders'!F264*0.5</f>
        <v/>
      </c>
      <c r="G264" s="12">
        <f>'Raw Orders'!H264</f>
        <v/>
      </c>
      <c r="H264" s="12">
        <f>'Raw Orders'!I264</f>
        <v/>
      </c>
      <c r="I264" s="13">
        <f>'Raw Orders'!K264</f>
        <v/>
      </c>
      <c r="J264" s="13">
        <f>IF('Raw Orders'!J264,"",(YEAR('Raw Orders'!I264)-YEAR('Raw Orders'!H264))*12+MONTH('Raw Orders'!I264)-MONTH('Raw Orders'!H264))</f>
        <v/>
      </c>
      <c r="K264">
        <f>IF('Raw Orders'!J264,"Cancelled",IF('Raw Orders'!K264&gt;=2,"Slipped","On plan"))</f>
        <v/>
      </c>
      <c r="L264" s="14">
        <f>IF(K264="On plan",0,F264)</f>
        <v/>
      </c>
    </row>
    <row r="265">
      <c r="A265">
        <f>'Raw Orders'!A265</f>
        <v/>
      </c>
      <c r="B265">
        <f>'Raw Orders'!B265</f>
        <v/>
      </c>
      <c r="C265">
        <f>'Raw Orders'!C265</f>
        <v/>
      </c>
      <c r="D265" s="13">
        <f>'Raw Orders'!E265</f>
        <v/>
      </c>
      <c r="E265" s="14">
        <f>'Raw Orders'!F265</f>
        <v/>
      </c>
      <c r="F265" s="14">
        <f>'Raw Orders'!F265*0.5</f>
        <v/>
      </c>
      <c r="G265" s="12">
        <f>'Raw Orders'!H265</f>
        <v/>
      </c>
      <c r="H265" s="12">
        <f>'Raw Orders'!I265</f>
        <v/>
      </c>
      <c r="I265" s="13">
        <f>'Raw Orders'!K265</f>
        <v/>
      </c>
      <c r="J265" s="13">
        <f>IF('Raw Orders'!J265,"",(YEAR('Raw Orders'!I265)-YEAR('Raw Orders'!H265))*12+MONTH('Raw Orders'!I265)-MONTH('Raw Orders'!H265))</f>
        <v/>
      </c>
      <c r="K265">
        <f>IF('Raw Orders'!J265,"Cancelled",IF('Raw Orders'!K265&gt;=2,"Slipped","On plan"))</f>
        <v/>
      </c>
      <c r="L265" s="14">
        <f>IF(K265="On plan",0,F265)</f>
        <v/>
      </c>
    </row>
    <row r="266">
      <c r="A266">
        <f>'Raw Orders'!A266</f>
        <v/>
      </c>
      <c r="B266">
        <f>'Raw Orders'!B266</f>
        <v/>
      </c>
      <c r="C266">
        <f>'Raw Orders'!C266</f>
        <v/>
      </c>
      <c r="D266" s="13">
        <f>'Raw Orders'!E266</f>
        <v/>
      </c>
      <c r="E266" s="14">
        <f>'Raw Orders'!F266</f>
        <v/>
      </c>
      <c r="F266" s="14">
        <f>'Raw Orders'!F266*0.5</f>
        <v/>
      </c>
      <c r="G266" s="12">
        <f>'Raw Orders'!H266</f>
        <v/>
      </c>
      <c r="H266" s="12">
        <f>'Raw Orders'!I266</f>
        <v/>
      </c>
      <c r="I266" s="13">
        <f>'Raw Orders'!K266</f>
        <v/>
      </c>
      <c r="J266" s="13">
        <f>IF('Raw Orders'!J266,"",(YEAR('Raw Orders'!I266)-YEAR('Raw Orders'!H266))*12+MONTH('Raw Orders'!I266)-MONTH('Raw Orders'!H266))</f>
        <v/>
      </c>
      <c r="K266">
        <f>IF('Raw Orders'!J266,"Cancelled",IF('Raw Orders'!K266&gt;=2,"Slipped","On plan"))</f>
        <v/>
      </c>
      <c r="L266" s="14">
        <f>IF(K266="On plan",0,F266)</f>
        <v/>
      </c>
    </row>
    <row r="267">
      <c r="A267">
        <f>'Raw Orders'!A267</f>
        <v/>
      </c>
      <c r="B267">
        <f>'Raw Orders'!B267</f>
        <v/>
      </c>
      <c r="C267">
        <f>'Raw Orders'!C267</f>
        <v/>
      </c>
      <c r="D267" s="13">
        <f>'Raw Orders'!E267</f>
        <v/>
      </c>
      <c r="E267" s="14">
        <f>'Raw Orders'!F267</f>
        <v/>
      </c>
      <c r="F267" s="14">
        <f>'Raw Orders'!F267*0.5</f>
        <v/>
      </c>
      <c r="G267" s="12">
        <f>'Raw Orders'!H267</f>
        <v/>
      </c>
      <c r="H267" s="12">
        <f>'Raw Orders'!I267</f>
        <v/>
      </c>
      <c r="I267" s="13">
        <f>'Raw Orders'!K267</f>
        <v/>
      </c>
      <c r="J267" s="13">
        <f>IF('Raw Orders'!J267,"",(YEAR('Raw Orders'!I267)-YEAR('Raw Orders'!H267))*12+MONTH('Raw Orders'!I267)-MONTH('Raw Orders'!H267))</f>
        <v/>
      </c>
      <c r="K267">
        <f>IF('Raw Orders'!J267,"Cancelled",IF('Raw Orders'!K267&gt;=2,"Slipped","On plan"))</f>
        <v/>
      </c>
      <c r="L267" s="14">
        <f>IF(K267="On plan",0,F267)</f>
        <v/>
      </c>
    </row>
    <row r="268">
      <c r="A268">
        <f>'Raw Orders'!A268</f>
        <v/>
      </c>
      <c r="B268">
        <f>'Raw Orders'!B268</f>
        <v/>
      </c>
      <c r="C268">
        <f>'Raw Orders'!C268</f>
        <v/>
      </c>
      <c r="D268" s="13">
        <f>'Raw Orders'!E268</f>
        <v/>
      </c>
      <c r="E268" s="14">
        <f>'Raw Orders'!F268</f>
        <v/>
      </c>
      <c r="F268" s="14">
        <f>'Raw Orders'!F268*0.5</f>
        <v/>
      </c>
      <c r="G268" s="12">
        <f>'Raw Orders'!H268</f>
        <v/>
      </c>
      <c r="H268" s="12">
        <f>'Raw Orders'!I268</f>
        <v/>
      </c>
      <c r="I268" s="13">
        <f>'Raw Orders'!K268</f>
        <v/>
      </c>
      <c r="J268" s="13">
        <f>IF('Raw Orders'!J268,"",(YEAR('Raw Orders'!I268)-YEAR('Raw Orders'!H268))*12+MONTH('Raw Orders'!I268)-MONTH('Raw Orders'!H268))</f>
        <v/>
      </c>
      <c r="K268">
        <f>IF('Raw Orders'!J268,"Cancelled",IF('Raw Orders'!K268&gt;=2,"Slipped","On plan"))</f>
        <v/>
      </c>
      <c r="L268" s="14">
        <f>IF(K268="On plan",0,F268)</f>
        <v/>
      </c>
    </row>
    <row r="269">
      <c r="A269">
        <f>'Raw Orders'!A269</f>
        <v/>
      </c>
      <c r="B269">
        <f>'Raw Orders'!B269</f>
        <v/>
      </c>
      <c r="C269">
        <f>'Raw Orders'!C269</f>
        <v/>
      </c>
      <c r="D269" s="13">
        <f>'Raw Orders'!E269</f>
        <v/>
      </c>
      <c r="E269" s="14">
        <f>'Raw Orders'!F269</f>
        <v/>
      </c>
      <c r="F269" s="14">
        <f>'Raw Orders'!F269*0.5</f>
        <v/>
      </c>
      <c r="G269" s="12">
        <f>'Raw Orders'!H269</f>
        <v/>
      </c>
      <c r="H269" s="12">
        <f>'Raw Orders'!I269</f>
        <v/>
      </c>
      <c r="I269" s="13">
        <f>'Raw Orders'!K269</f>
        <v/>
      </c>
      <c r="J269" s="13">
        <f>IF('Raw Orders'!J269,"",(YEAR('Raw Orders'!I269)-YEAR('Raw Orders'!H269))*12+MONTH('Raw Orders'!I269)-MONTH('Raw Orders'!H269))</f>
        <v/>
      </c>
      <c r="K269">
        <f>IF('Raw Orders'!J269,"Cancelled",IF('Raw Orders'!K269&gt;=2,"Slipped","On plan"))</f>
        <v/>
      </c>
      <c r="L269" s="14">
        <f>IF(K269="On plan",0,F269)</f>
        <v/>
      </c>
    </row>
    <row r="270">
      <c r="A270">
        <f>'Raw Orders'!A270</f>
        <v/>
      </c>
      <c r="B270">
        <f>'Raw Orders'!B270</f>
        <v/>
      </c>
      <c r="C270">
        <f>'Raw Orders'!C270</f>
        <v/>
      </c>
      <c r="D270" s="13">
        <f>'Raw Orders'!E270</f>
        <v/>
      </c>
      <c r="E270" s="14">
        <f>'Raw Orders'!F270</f>
        <v/>
      </c>
      <c r="F270" s="14">
        <f>'Raw Orders'!F270*0.5</f>
        <v/>
      </c>
      <c r="G270" s="12">
        <f>'Raw Orders'!H270</f>
        <v/>
      </c>
      <c r="H270" s="12">
        <f>'Raw Orders'!I270</f>
        <v/>
      </c>
      <c r="I270" s="13">
        <f>'Raw Orders'!K270</f>
        <v/>
      </c>
      <c r="J270" s="13">
        <f>IF('Raw Orders'!J270,"",(YEAR('Raw Orders'!I270)-YEAR('Raw Orders'!H270))*12+MONTH('Raw Orders'!I270)-MONTH('Raw Orders'!H270))</f>
        <v/>
      </c>
      <c r="K270">
        <f>IF('Raw Orders'!J270,"Cancelled",IF('Raw Orders'!K270&gt;=2,"Slipped","On plan"))</f>
        <v/>
      </c>
      <c r="L270" s="14">
        <f>IF(K270="On plan",0,F270)</f>
        <v/>
      </c>
    </row>
    <row r="271">
      <c r="A271">
        <f>'Raw Orders'!A271</f>
        <v/>
      </c>
      <c r="B271">
        <f>'Raw Orders'!B271</f>
        <v/>
      </c>
      <c r="C271">
        <f>'Raw Orders'!C271</f>
        <v/>
      </c>
      <c r="D271" s="13">
        <f>'Raw Orders'!E271</f>
        <v/>
      </c>
      <c r="E271" s="14">
        <f>'Raw Orders'!F271</f>
        <v/>
      </c>
      <c r="F271" s="14">
        <f>'Raw Orders'!F271*0.5</f>
        <v/>
      </c>
      <c r="G271" s="12">
        <f>'Raw Orders'!H271</f>
        <v/>
      </c>
      <c r="H271" s="12">
        <f>'Raw Orders'!I271</f>
        <v/>
      </c>
      <c r="I271" s="13">
        <f>'Raw Orders'!K271</f>
        <v/>
      </c>
      <c r="J271" s="13">
        <f>IF('Raw Orders'!J271,"",(YEAR('Raw Orders'!I271)-YEAR('Raw Orders'!H271))*12+MONTH('Raw Orders'!I271)-MONTH('Raw Orders'!H271))</f>
        <v/>
      </c>
      <c r="K271">
        <f>IF('Raw Orders'!J271,"Cancelled",IF('Raw Orders'!K271&gt;=2,"Slipped","On plan"))</f>
        <v/>
      </c>
      <c r="L271" s="14">
        <f>IF(K271="On plan",0,F271)</f>
        <v/>
      </c>
    </row>
    <row r="272">
      <c r="A272">
        <f>'Raw Orders'!A272</f>
        <v/>
      </c>
      <c r="B272">
        <f>'Raw Orders'!B272</f>
        <v/>
      </c>
      <c r="C272">
        <f>'Raw Orders'!C272</f>
        <v/>
      </c>
      <c r="D272" s="13">
        <f>'Raw Orders'!E272</f>
        <v/>
      </c>
      <c r="E272" s="14">
        <f>'Raw Orders'!F272</f>
        <v/>
      </c>
      <c r="F272" s="14">
        <f>'Raw Orders'!F272*0.5</f>
        <v/>
      </c>
      <c r="G272" s="12">
        <f>'Raw Orders'!H272</f>
        <v/>
      </c>
      <c r="H272" s="12">
        <f>'Raw Orders'!I272</f>
        <v/>
      </c>
      <c r="I272" s="13">
        <f>'Raw Orders'!K272</f>
        <v/>
      </c>
      <c r="J272" s="13">
        <f>IF('Raw Orders'!J272,"",(YEAR('Raw Orders'!I272)-YEAR('Raw Orders'!H272))*12+MONTH('Raw Orders'!I272)-MONTH('Raw Orders'!H272))</f>
        <v/>
      </c>
      <c r="K272">
        <f>IF('Raw Orders'!J272,"Cancelled",IF('Raw Orders'!K272&gt;=2,"Slipped","On plan"))</f>
        <v/>
      </c>
      <c r="L272" s="14">
        <f>IF(K272="On plan",0,F272)</f>
        <v/>
      </c>
    </row>
    <row r="273">
      <c r="A273">
        <f>'Raw Orders'!A273</f>
        <v/>
      </c>
      <c r="B273">
        <f>'Raw Orders'!B273</f>
        <v/>
      </c>
      <c r="C273">
        <f>'Raw Orders'!C273</f>
        <v/>
      </c>
      <c r="D273" s="13">
        <f>'Raw Orders'!E273</f>
        <v/>
      </c>
      <c r="E273" s="14">
        <f>'Raw Orders'!F273</f>
        <v/>
      </c>
      <c r="F273" s="14">
        <f>'Raw Orders'!F273*0.5</f>
        <v/>
      </c>
      <c r="G273" s="12">
        <f>'Raw Orders'!H273</f>
        <v/>
      </c>
      <c r="H273" s="12">
        <f>'Raw Orders'!I273</f>
        <v/>
      </c>
      <c r="I273" s="13">
        <f>'Raw Orders'!K273</f>
        <v/>
      </c>
      <c r="J273" s="13">
        <f>IF('Raw Orders'!J273,"",(YEAR('Raw Orders'!I273)-YEAR('Raw Orders'!H273))*12+MONTH('Raw Orders'!I273)-MONTH('Raw Orders'!H273))</f>
        <v/>
      </c>
      <c r="K273">
        <f>IF('Raw Orders'!J273,"Cancelled",IF('Raw Orders'!K273&gt;=2,"Slipped","On plan"))</f>
        <v/>
      </c>
      <c r="L273" s="14">
        <f>IF(K273="On plan",0,F273)</f>
        <v/>
      </c>
    </row>
    <row r="274">
      <c r="A274">
        <f>'Raw Orders'!A274</f>
        <v/>
      </c>
      <c r="B274">
        <f>'Raw Orders'!B274</f>
        <v/>
      </c>
      <c r="C274">
        <f>'Raw Orders'!C274</f>
        <v/>
      </c>
      <c r="D274" s="13">
        <f>'Raw Orders'!E274</f>
        <v/>
      </c>
      <c r="E274" s="14">
        <f>'Raw Orders'!F274</f>
        <v/>
      </c>
      <c r="F274" s="14">
        <f>'Raw Orders'!F274*0.5</f>
        <v/>
      </c>
      <c r="G274" s="12">
        <f>'Raw Orders'!H274</f>
        <v/>
      </c>
      <c r="H274" s="12">
        <f>'Raw Orders'!I274</f>
        <v/>
      </c>
      <c r="I274" s="13">
        <f>'Raw Orders'!K274</f>
        <v/>
      </c>
      <c r="J274" s="13">
        <f>IF('Raw Orders'!J274,"",(YEAR('Raw Orders'!I274)-YEAR('Raw Orders'!H274))*12+MONTH('Raw Orders'!I274)-MONTH('Raw Orders'!H274))</f>
        <v/>
      </c>
      <c r="K274">
        <f>IF('Raw Orders'!J274,"Cancelled",IF('Raw Orders'!K274&gt;=2,"Slipped","On plan"))</f>
        <v/>
      </c>
      <c r="L274" s="14">
        <f>IF(K274="On plan",0,F274)</f>
        <v/>
      </c>
    </row>
    <row r="275">
      <c r="A275">
        <f>'Raw Orders'!A275</f>
        <v/>
      </c>
      <c r="B275">
        <f>'Raw Orders'!B275</f>
        <v/>
      </c>
      <c r="C275">
        <f>'Raw Orders'!C275</f>
        <v/>
      </c>
      <c r="D275" s="13">
        <f>'Raw Orders'!E275</f>
        <v/>
      </c>
      <c r="E275" s="14">
        <f>'Raw Orders'!F275</f>
        <v/>
      </c>
      <c r="F275" s="14">
        <f>'Raw Orders'!F275*0.5</f>
        <v/>
      </c>
      <c r="G275" s="12">
        <f>'Raw Orders'!H275</f>
        <v/>
      </c>
      <c r="H275" s="12">
        <f>'Raw Orders'!I275</f>
        <v/>
      </c>
      <c r="I275" s="13">
        <f>'Raw Orders'!K275</f>
        <v/>
      </c>
      <c r="J275" s="13">
        <f>IF('Raw Orders'!J275,"",(YEAR('Raw Orders'!I275)-YEAR('Raw Orders'!H275))*12+MONTH('Raw Orders'!I275)-MONTH('Raw Orders'!H275))</f>
        <v/>
      </c>
      <c r="K275">
        <f>IF('Raw Orders'!J275,"Cancelled",IF('Raw Orders'!K275&gt;=2,"Slipped","On plan"))</f>
        <v/>
      </c>
      <c r="L275" s="14">
        <f>IF(K275="On plan",0,F275)</f>
        <v/>
      </c>
    </row>
    <row r="276">
      <c r="A276">
        <f>'Raw Orders'!A276</f>
        <v/>
      </c>
      <c r="B276">
        <f>'Raw Orders'!B276</f>
        <v/>
      </c>
      <c r="C276">
        <f>'Raw Orders'!C276</f>
        <v/>
      </c>
      <c r="D276" s="13">
        <f>'Raw Orders'!E276</f>
        <v/>
      </c>
      <c r="E276" s="14">
        <f>'Raw Orders'!F276</f>
        <v/>
      </c>
      <c r="F276" s="14">
        <f>'Raw Orders'!F276*0.5</f>
        <v/>
      </c>
      <c r="G276" s="12">
        <f>'Raw Orders'!H276</f>
        <v/>
      </c>
      <c r="H276" s="12">
        <f>'Raw Orders'!I276</f>
        <v/>
      </c>
      <c r="I276" s="13">
        <f>'Raw Orders'!K276</f>
        <v/>
      </c>
      <c r="J276" s="13">
        <f>IF('Raw Orders'!J276,"",(YEAR('Raw Orders'!I276)-YEAR('Raw Orders'!H276))*12+MONTH('Raw Orders'!I276)-MONTH('Raw Orders'!H276))</f>
        <v/>
      </c>
      <c r="K276">
        <f>IF('Raw Orders'!J276,"Cancelled",IF('Raw Orders'!K276&gt;=2,"Slipped","On plan"))</f>
        <v/>
      </c>
      <c r="L276" s="14">
        <f>IF(K276="On plan",0,F276)</f>
        <v/>
      </c>
    </row>
    <row r="277">
      <c r="A277">
        <f>'Raw Orders'!A277</f>
        <v/>
      </c>
      <c r="B277">
        <f>'Raw Orders'!B277</f>
        <v/>
      </c>
      <c r="C277">
        <f>'Raw Orders'!C277</f>
        <v/>
      </c>
      <c r="D277" s="13">
        <f>'Raw Orders'!E277</f>
        <v/>
      </c>
      <c r="E277" s="14">
        <f>'Raw Orders'!F277</f>
        <v/>
      </c>
      <c r="F277" s="14">
        <f>'Raw Orders'!F277*0.5</f>
        <v/>
      </c>
      <c r="G277" s="12">
        <f>'Raw Orders'!H277</f>
        <v/>
      </c>
      <c r="H277" s="12">
        <f>'Raw Orders'!I277</f>
        <v/>
      </c>
      <c r="I277" s="13">
        <f>'Raw Orders'!K277</f>
        <v/>
      </c>
      <c r="J277" s="13">
        <f>IF('Raw Orders'!J277,"",(YEAR('Raw Orders'!I277)-YEAR('Raw Orders'!H277))*12+MONTH('Raw Orders'!I277)-MONTH('Raw Orders'!H277))</f>
        <v/>
      </c>
      <c r="K277">
        <f>IF('Raw Orders'!J277,"Cancelled",IF('Raw Orders'!K277&gt;=2,"Slipped","On plan"))</f>
        <v/>
      </c>
      <c r="L277" s="14">
        <f>IF(K277="On plan",0,F277)</f>
        <v/>
      </c>
    </row>
    <row r="278">
      <c r="A278">
        <f>'Raw Orders'!A278</f>
        <v/>
      </c>
      <c r="B278">
        <f>'Raw Orders'!B278</f>
        <v/>
      </c>
      <c r="C278">
        <f>'Raw Orders'!C278</f>
        <v/>
      </c>
      <c r="D278" s="13">
        <f>'Raw Orders'!E278</f>
        <v/>
      </c>
      <c r="E278" s="14">
        <f>'Raw Orders'!F278</f>
        <v/>
      </c>
      <c r="F278" s="14">
        <f>'Raw Orders'!F278*0.5</f>
        <v/>
      </c>
      <c r="G278" s="12">
        <f>'Raw Orders'!H278</f>
        <v/>
      </c>
      <c r="H278" s="12">
        <f>'Raw Orders'!I278</f>
        <v/>
      </c>
      <c r="I278" s="13">
        <f>'Raw Orders'!K278</f>
        <v/>
      </c>
      <c r="J278" s="13">
        <f>IF('Raw Orders'!J278,"",(YEAR('Raw Orders'!I278)-YEAR('Raw Orders'!H278))*12+MONTH('Raw Orders'!I278)-MONTH('Raw Orders'!H278))</f>
        <v/>
      </c>
      <c r="K278">
        <f>IF('Raw Orders'!J278,"Cancelled",IF('Raw Orders'!K278&gt;=2,"Slipped","On plan"))</f>
        <v/>
      </c>
      <c r="L278" s="14">
        <f>IF(K278="On plan",0,F278)</f>
        <v/>
      </c>
    </row>
    <row r="279">
      <c r="A279">
        <f>'Raw Orders'!A279</f>
        <v/>
      </c>
      <c r="B279">
        <f>'Raw Orders'!B279</f>
        <v/>
      </c>
      <c r="C279">
        <f>'Raw Orders'!C279</f>
        <v/>
      </c>
      <c r="D279" s="13">
        <f>'Raw Orders'!E279</f>
        <v/>
      </c>
      <c r="E279" s="14">
        <f>'Raw Orders'!F279</f>
        <v/>
      </c>
      <c r="F279" s="14">
        <f>'Raw Orders'!F279*0.5</f>
        <v/>
      </c>
      <c r="G279" s="12">
        <f>'Raw Orders'!H279</f>
        <v/>
      </c>
      <c r="H279" s="12">
        <f>'Raw Orders'!I279</f>
        <v/>
      </c>
      <c r="I279" s="13">
        <f>'Raw Orders'!K279</f>
        <v/>
      </c>
      <c r="J279" s="13">
        <f>IF('Raw Orders'!J279,"",(YEAR('Raw Orders'!I279)-YEAR('Raw Orders'!H279))*12+MONTH('Raw Orders'!I279)-MONTH('Raw Orders'!H279))</f>
        <v/>
      </c>
      <c r="K279">
        <f>IF('Raw Orders'!J279,"Cancelled",IF('Raw Orders'!K279&gt;=2,"Slipped","On plan"))</f>
        <v/>
      </c>
      <c r="L279" s="14">
        <f>IF(K279="On plan",0,F279)</f>
        <v/>
      </c>
    </row>
    <row r="280">
      <c r="A280">
        <f>'Raw Orders'!A280</f>
        <v/>
      </c>
      <c r="B280">
        <f>'Raw Orders'!B280</f>
        <v/>
      </c>
      <c r="C280">
        <f>'Raw Orders'!C280</f>
        <v/>
      </c>
      <c r="D280" s="13">
        <f>'Raw Orders'!E280</f>
        <v/>
      </c>
      <c r="E280" s="14">
        <f>'Raw Orders'!F280</f>
        <v/>
      </c>
      <c r="F280" s="14">
        <f>'Raw Orders'!F280*0.5</f>
        <v/>
      </c>
      <c r="G280" s="12">
        <f>'Raw Orders'!H280</f>
        <v/>
      </c>
      <c r="H280" s="12">
        <f>'Raw Orders'!I280</f>
        <v/>
      </c>
      <c r="I280" s="13">
        <f>'Raw Orders'!K280</f>
        <v/>
      </c>
      <c r="J280" s="13">
        <f>IF('Raw Orders'!J280,"",(YEAR('Raw Orders'!I280)-YEAR('Raw Orders'!H280))*12+MONTH('Raw Orders'!I280)-MONTH('Raw Orders'!H280))</f>
        <v/>
      </c>
      <c r="K280">
        <f>IF('Raw Orders'!J280,"Cancelled",IF('Raw Orders'!K280&gt;=2,"Slipped","On plan"))</f>
        <v/>
      </c>
      <c r="L280" s="14">
        <f>IF(K280="On plan",0,F280)</f>
        <v/>
      </c>
    </row>
    <row r="281">
      <c r="A281">
        <f>'Raw Orders'!A281</f>
        <v/>
      </c>
      <c r="B281">
        <f>'Raw Orders'!B281</f>
        <v/>
      </c>
      <c r="C281">
        <f>'Raw Orders'!C281</f>
        <v/>
      </c>
      <c r="D281" s="13">
        <f>'Raw Orders'!E281</f>
        <v/>
      </c>
      <c r="E281" s="14">
        <f>'Raw Orders'!F281</f>
        <v/>
      </c>
      <c r="F281" s="14">
        <f>'Raw Orders'!F281*0.5</f>
        <v/>
      </c>
      <c r="G281" s="12">
        <f>'Raw Orders'!H281</f>
        <v/>
      </c>
      <c r="H281" s="12">
        <f>'Raw Orders'!I281</f>
        <v/>
      </c>
      <c r="I281" s="13">
        <f>'Raw Orders'!K281</f>
        <v/>
      </c>
      <c r="J281" s="13">
        <f>IF('Raw Orders'!J281,"",(YEAR('Raw Orders'!I281)-YEAR('Raw Orders'!H281))*12+MONTH('Raw Orders'!I281)-MONTH('Raw Orders'!H281))</f>
        <v/>
      </c>
      <c r="K281">
        <f>IF('Raw Orders'!J281,"Cancelled",IF('Raw Orders'!K281&gt;=2,"Slipped","On plan"))</f>
        <v/>
      </c>
      <c r="L281" s="14">
        <f>IF(K281="On plan",0,F281)</f>
        <v/>
      </c>
    </row>
    <row r="282">
      <c r="A282">
        <f>'Raw Orders'!A282</f>
        <v/>
      </c>
      <c r="B282">
        <f>'Raw Orders'!B282</f>
        <v/>
      </c>
      <c r="C282">
        <f>'Raw Orders'!C282</f>
        <v/>
      </c>
      <c r="D282" s="13">
        <f>'Raw Orders'!E282</f>
        <v/>
      </c>
      <c r="E282" s="14">
        <f>'Raw Orders'!F282</f>
        <v/>
      </c>
      <c r="F282" s="14">
        <f>'Raw Orders'!F282*0.5</f>
        <v/>
      </c>
      <c r="G282" s="12">
        <f>'Raw Orders'!H282</f>
        <v/>
      </c>
      <c r="H282" s="12">
        <f>'Raw Orders'!I282</f>
        <v/>
      </c>
      <c r="I282" s="13">
        <f>'Raw Orders'!K282</f>
        <v/>
      </c>
      <c r="J282" s="13">
        <f>IF('Raw Orders'!J282,"",(YEAR('Raw Orders'!I282)-YEAR('Raw Orders'!H282))*12+MONTH('Raw Orders'!I282)-MONTH('Raw Orders'!H282))</f>
        <v/>
      </c>
      <c r="K282">
        <f>IF('Raw Orders'!J282,"Cancelled",IF('Raw Orders'!K282&gt;=2,"Slipped","On plan"))</f>
        <v/>
      </c>
      <c r="L282" s="14">
        <f>IF(K282="On plan",0,F282)</f>
        <v/>
      </c>
    </row>
    <row r="283">
      <c r="A283">
        <f>'Raw Orders'!A283</f>
        <v/>
      </c>
      <c r="B283">
        <f>'Raw Orders'!B283</f>
        <v/>
      </c>
      <c r="C283">
        <f>'Raw Orders'!C283</f>
        <v/>
      </c>
      <c r="D283" s="13">
        <f>'Raw Orders'!E283</f>
        <v/>
      </c>
      <c r="E283" s="14">
        <f>'Raw Orders'!F283</f>
        <v/>
      </c>
      <c r="F283" s="14">
        <f>'Raw Orders'!F283*0.5</f>
        <v/>
      </c>
      <c r="G283" s="12">
        <f>'Raw Orders'!H283</f>
        <v/>
      </c>
      <c r="H283" s="12">
        <f>'Raw Orders'!I283</f>
        <v/>
      </c>
      <c r="I283" s="13">
        <f>'Raw Orders'!K283</f>
        <v/>
      </c>
      <c r="J283" s="13">
        <f>IF('Raw Orders'!J283,"",(YEAR('Raw Orders'!I283)-YEAR('Raw Orders'!H283))*12+MONTH('Raw Orders'!I283)-MONTH('Raw Orders'!H283))</f>
        <v/>
      </c>
      <c r="K283">
        <f>IF('Raw Orders'!J283,"Cancelled",IF('Raw Orders'!K283&gt;=2,"Slipped","On plan"))</f>
        <v/>
      </c>
      <c r="L283" s="14">
        <f>IF(K283="On plan",0,F283)</f>
        <v/>
      </c>
    </row>
    <row r="284">
      <c r="A284">
        <f>'Raw Orders'!A284</f>
        <v/>
      </c>
      <c r="B284">
        <f>'Raw Orders'!B284</f>
        <v/>
      </c>
      <c r="C284">
        <f>'Raw Orders'!C284</f>
        <v/>
      </c>
      <c r="D284" s="13">
        <f>'Raw Orders'!E284</f>
        <v/>
      </c>
      <c r="E284" s="14">
        <f>'Raw Orders'!F284</f>
        <v/>
      </c>
      <c r="F284" s="14">
        <f>'Raw Orders'!F284*0.5</f>
        <v/>
      </c>
      <c r="G284" s="12">
        <f>'Raw Orders'!H284</f>
        <v/>
      </c>
      <c r="H284" s="12">
        <f>'Raw Orders'!I284</f>
        <v/>
      </c>
      <c r="I284" s="13">
        <f>'Raw Orders'!K284</f>
        <v/>
      </c>
      <c r="J284" s="13">
        <f>IF('Raw Orders'!J284,"",(YEAR('Raw Orders'!I284)-YEAR('Raw Orders'!H284))*12+MONTH('Raw Orders'!I284)-MONTH('Raw Orders'!H284))</f>
        <v/>
      </c>
      <c r="K284">
        <f>IF('Raw Orders'!J284,"Cancelled",IF('Raw Orders'!K284&gt;=2,"Slipped","On plan"))</f>
        <v/>
      </c>
      <c r="L284" s="14">
        <f>IF(K284="On plan",0,F284)</f>
        <v/>
      </c>
    </row>
    <row r="285">
      <c r="A285">
        <f>'Raw Orders'!A285</f>
        <v/>
      </c>
      <c r="B285">
        <f>'Raw Orders'!B285</f>
        <v/>
      </c>
      <c r="C285">
        <f>'Raw Orders'!C285</f>
        <v/>
      </c>
      <c r="D285" s="13">
        <f>'Raw Orders'!E285</f>
        <v/>
      </c>
      <c r="E285" s="14">
        <f>'Raw Orders'!F285</f>
        <v/>
      </c>
      <c r="F285" s="14">
        <f>'Raw Orders'!F285*0.5</f>
        <v/>
      </c>
      <c r="G285" s="12">
        <f>'Raw Orders'!H285</f>
        <v/>
      </c>
      <c r="H285" s="12">
        <f>'Raw Orders'!I285</f>
        <v/>
      </c>
      <c r="I285" s="13">
        <f>'Raw Orders'!K285</f>
        <v/>
      </c>
      <c r="J285" s="13">
        <f>IF('Raw Orders'!J285,"",(YEAR('Raw Orders'!I285)-YEAR('Raw Orders'!H285))*12+MONTH('Raw Orders'!I285)-MONTH('Raw Orders'!H285))</f>
        <v/>
      </c>
      <c r="K285">
        <f>IF('Raw Orders'!J285,"Cancelled",IF('Raw Orders'!K285&gt;=2,"Slipped","On plan"))</f>
        <v/>
      </c>
      <c r="L285" s="14">
        <f>IF(K285="On plan",0,F285)</f>
        <v/>
      </c>
    </row>
    <row r="286">
      <c r="A286">
        <f>'Raw Orders'!A286</f>
        <v/>
      </c>
      <c r="B286">
        <f>'Raw Orders'!B286</f>
        <v/>
      </c>
      <c r="C286">
        <f>'Raw Orders'!C286</f>
        <v/>
      </c>
      <c r="D286" s="13">
        <f>'Raw Orders'!E286</f>
        <v/>
      </c>
      <c r="E286" s="14">
        <f>'Raw Orders'!F286</f>
        <v/>
      </c>
      <c r="F286" s="14">
        <f>'Raw Orders'!F286*0.5</f>
        <v/>
      </c>
      <c r="G286" s="12">
        <f>'Raw Orders'!H286</f>
        <v/>
      </c>
      <c r="H286" s="12">
        <f>'Raw Orders'!I286</f>
        <v/>
      </c>
      <c r="I286" s="13">
        <f>'Raw Orders'!K286</f>
        <v/>
      </c>
      <c r="J286" s="13">
        <f>IF('Raw Orders'!J286,"",(YEAR('Raw Orders'!I286)-YEAR('Raw Orders'!H286))*12+MONTH('Raw Orders'!I286)-MONTH('Raw Orders'!H286))</f>
        <v/>
      </c>
      <c r="K286">
        <f>IF('Raw Orders'!J286,"Cancelled",IF('Raw Orders'!K286&gt;=2,"Slipped","On plan"))</f>
        <v/>
      </c>
      <c r="L286" s="14">
        <f>IF(K286="On plan",0,F286)</f>
        <v/>
      </c>
    </row>
    <row r="287">
      <c r="A287">
        <f>'Raw Orders'!A287</f>
        <v/>
      </c>
      <c r="B287">
        <f>'Raw Orders'!B287</f>
        <v/>
      </c>
      <c r="C287">
        <f>'Raw Orders'!C287</f>
        <v/>
      </c>
      <c r="D287" s="13">
        <f>'Raw Orders'!E287</f>
        <v/>
      </c>
      <c r="E287" s="14">
        <f>'Raw Orders'!F287</f>
        <v/>
      </c>
      <c r="F287" s="14">
        <f>'Raw Orders'!F287*0.5</f>
        <v/>
      </c>
      <c r="G287" s="12">
        <f>'Raw Orders'!H287</f>
        <v/>
      </c>
      <c r="H287" s="12">
        <f>'Raw Orders'!I287</f>
        <v/>
      </c>
      <c r="I287" s="13">
        <f>'Raw Orders'!K287</f>
        <v/>
      </c>
      <c r="J287" s="13">
        <f>IF('Raw Orders'!J287,"",(YEAR('Raw Orders'!I287)-YEAR('Raw Orders'!H287))*12+MONTH('Raw Orders'!I287)-MONTH('Raw Orders'!H287))</f>
        <v/>
      </c>
      <c r="K287">
        <f>IF('Raw Orders'!J287,"Cancelled",IF('Raw Orders'!K287&gt;=2,"Slipped","On plan"))</f>
        <v/>
      </c>
      <c r="L287" s="14">
        <f>IF(K287="On plan",0,F287)</f>
        <v/>
      </c>
    </row>
    <row r="288">
      <c r="A288">
        <f>'Raw Orders'!A288</f>
        <v/>
      </c>
      <c r="B288">
        <f>'Raw Orders'!B288</f>
        <v/>
      </c>
      <c r="C288">
        <f>'Raw Orders'!C288</f>
        <v/>
      </c>
      <c r="D288" s="13">
        <f>'Raw Orders'!E288</f>
        <v/>
      </c>
      <c r="E288" s="14">
        <f>'Raw Orders'!F288</f>
        <v/>
      </c>
      <c r="F288" s="14">
        <f>'Raw Orders'!F288*0.5</f>
        <v/>
      </c>
      <c r="G288" s="12">
        <f>'Raw Orders'!H288</f>
        <v/>
      </c>
      <c r="H288" s="12">
        <f>'Raw Orders'!I288</f>
        <v/>
      </c>
      <c r="I288" s="13">
        <f>'Raw Orders'!K288</f>
        <v/>
      </c>
      <c r="J288" s="13">
        <f>IF('Raw Orders'!J288,"",(YEAR('Raw Orders'!I288)-YEAR('Raw Orders'!H288))*12+MONTH('Raw Orders'!I288)-MONTH('Raw Orders'!H288))</f>
        <v/>
      </c>
      <c r="K288">
        <f>IF('Raw Orders'!J288,"Cancelled",IF('Raw Orders'!K288&gt;=2,"Slipped","On plan"))</f>
        <v/>
      </c>
      <c r="L288" s="14">
        <f>IF(K288="On plan",0,F288)</f>
        <v/>
      </c>
    </row>
    <row r="289">
      <c r="A289">
        <f>'Raw Orders'!A289</f>
        <v/>
      </c>
      <c r="B289">
        <f>'Raw Orders'!B289</f>
        <v/>
      </c>
      <c r="C289">
        <f>'Raw Orders'!C289</f>
        <v/>
      </c>
      <c r="D289" s="13">
        <f>'Raw Orders'!E289</f>
        <v/>
      </c>
      <c r="E289" s="14">
        <f>'Raw Orders'!F289</f>
        <v/>
      </c>
      <c r="F289" s="14">
        <f>'Raw Orders'!F289*0.5</f>
        <v/>
      </c>
      <c r="G289" s="12">
        <f>'Raw Orders'!H289</f>
        <v/>
      </c>
      <c r="H289" s="12">
        <f>'Raw Orders'!I289</f>
        <v/>
      </c>
      <c r="I289" s="13">
        <f>'Raw Orders'!K289</f>
        <v/>
      </c>
      <c r="J289" s="13">
        <f>IF('Raw Orders'!J289,"",(YEAR('Raw Orders'!I289)-YEAR('Raw Orders'!H289))*12+MONTH('Raw Orders'!I289)-MONTH('Raw Orders'!H289))</f>
        <v/>
      </c>
      <c r="K289">
        <f>IF('Raw Orders'!J289,"Cancelled",IF('Raw Orders'!K289&gt;=2,"Slipped","On plan"))</f>
        <v/>
      </c>
      <c r="L289" s="14">
        <f>IF(K289="On plan",0,F289)</f>
        <v/>
      </c>
    </row>
    <row r="290">
      <c r="A290">
        <f>'Raw Orders'!A290</f>
        <v/>
      </c>
      <c r="B290">
        <f>'Raw Orders'!B290</f>
        <v/>
      </c>
      <c r="C290">
        <f>'Raw Orders'!C290</f>
        <v/>
      </c>
      <c r="D290" s="13">
        <f>'Raw Orders'!E290</f>
        <v/>
      </c>
      <c r="E290" s="14">
        <f>'Raw Orders'!F290</f>
        <v/>
      </c>
      <c r="F290" s="14">
        <f>'Raw Orders'!F290*0.5</f>
        <v/>
      </c>
      <c r="G290" s="12">
        <f>'Raw Orders'!H290</f>
        <v/>
      </c>
      <c r="H290" s="12">
        <f>'Raw Orders'!I290</f>
        <v/>
      </c>
      <c r="I290" s="13">
        <f>'Raw Orders'!K290</f>
        <v/>
      </c>
      <c r="J290" s="13">
        <f>IF('Raw Orders'!J290,"",(YEAR('Raw Orders'!I290)-YEAR('Raw Orders'!H290))*12+MONTH('Raw Orders'!I290)-MONTH('Raw Orders'!H290))</f>
        <v/>
      </c>
      <c r="K290">
        <f>IF('Raw Orders'!J290,"Cancelled",IF('Raw Orders'!K290&gt;=2,"Slipped","On plan"))</f>
        <v/>
      </c>
      <c r="L290" s="14">
        <f>IF(K290="On plan",0,F290)</f>
        <v/>
      </c>
    </row>
    <row r="291">
      <c r="A291">
        <f>'Raw Orders'!A291</f>
        <v/>
      </c>
      <c r="B291">
        <f>'Raw Orders'!B291</f>
        <v/>
      </c>
      <c r="C291">
        <f>'Raw Orders'!C291</f>
        <v/>
      </c>
      <c r="D291" s="13">
        <f>'Raw Orders'!E291</f>
        <v/>
      </c>
      <c r="E291" s="14">
        <f>'Raw Orders'!F291</f>
        <v/>
      </c>
      <c r="F291" s="14">
        <f>'Raw Orders'!F291*0.5</f>
        <v/>
      </c>
      <c r="G291" s="12">
        <f>'Raw Orders'!H291</f>
        <v/>
      </c>
      <c r="H291" s="12">
        <f>'Raw Orders'!I291</f>
        <v/>
      </c>
      <c r="I291" s="13">
        <f>'Raw Orders'!K291</f>
        <v/>
      </c>
      <c r="J291" s="13">
        <f>IF('Raw Orders'!J291,"",(YEAR('Raw Orders'!I291)-YEAR('Raw Orders'!H291))*12+MONTH('Raw Orders'!I291)-MONTH('Raw Orders'!H291))</f>
        <v/>
      </c>
      <c r="K291">
        <f>IF('Raw Orders'!J291,"Cancelled",IF('Raw Orders'!K291&gt;=2,"Slipped","On plan"))</f>
        <v/>
      </c>
      <c r="L291" s="14">
        <f>IF(K291="On plan",0,F291)</f>
        <v/>
      </c>
    </row>
    <row r="292">
      <c r="A292">
        <f>'Raw Orders'!A292</f>
        <v/>
      </c>
      <c r="B292">
        <f>'Raw Orders'!B292</f>
        <v/>
      </c>
      <c r="C292">
        <f>'Raw Orders'!C292</f>
        <v/>
      </c>
      <c r="D292" s="13">
        <f>'Raw Orders'!E292</f>
        <v/>
      </c>
      <c r="E292" s="14">
        <f>'Raw Orders'!F292</f>
        <v/>
      </c>
      <c r="F292" s="14">
        <f>'Raw Orders'!F292*0.5</f>
        <v/>
      </c>
      <c r="G292" s="12">
        <f>'Raw Orders'!H292</f>
        <v/>
      </c>
      <c r="H292" s="12">
        <f>'Raw Orders'!I292</f>
        <v/>
      </c>
      <c r="I292" s="13">
        <f>'Raw Orders'!K292</f>
        <v/>
      </c>
      <c r="J292" s="13">
        <f>IF('Raw Orders'!J292,"",(YEAR('Raw Orders'!I292)-YEAR('Raw Orders'!H292))*12+MONTH('Raw Orders'!I292)-MONTH('Raw Orders'!H292))</f>
        <v/>
      </c>
      <c r="K292">
        <f>IF('Raw Orders'!J292,"Cancelled",IF('Raw Orders'!K292&gt;=2,"Slipped","On plan"))</f>
        <v/>
      </c>
      <c r="L292" s="14">
        <f>IF(K292="On plan",0,F292)</f>
        <v/>
      </c>
    </row>
    <row r="293">
      <c r="A293">
        <f>'Raw Orders'!A293</f>
        <v/>
      </c>
      <c r="B293">
        <f>'Raw Orders'!B293</f>
        <v/>
      </c>
      <c r="C293">
        <f>'Raw Orders'!C293</f>
        <v/>
      </c>
      <c r="D293" s="13">
        <f>'Raw Orders'!E293</f>
        <v/>
      </c>
      <c r="E293" s="14">
        <f>'Raw Orders'!F293</f>
        <v/>
      </c>
      <c r="F293" s="14">
        <f>'Raw Orders'!F293*0.5</f>
        <v/>
      </c>
      <c r="G293" s="12">
        <f>'Raw Orders'!H293</f>
        <v/>
      </c>
      <c r="H293" s="12">
        <f>'Raw Orders'!I293</f>
        <v/>
      </c>
      <c r="I293" s="13">
        <f>'Raw Orders'!K293</f>
        <v/>
      </c>
      <c r="J293" s="13">
        <f>IF('Raw Orders'!J293,"",(YEAR('Raw Orders'!I293)-YEAR('Raw Orders'!H293))*12+MONTH('Raw Orders'!I293)-MONTH('Raw Orders'!H293))</f>
        <v/>
      </c>
      <c r="K293">
        <f>IF('Raw Orders'!J293,"Cancelled",IF('Raw Orders'!K293&gt;=2,"Slipped","On plan"))</f>
        <v/>
      </c>
      <c r="L293" s="14">
        <f>IF(K293="On plan",0,F293)</f>
        <v/>
      </c>
    </row>
    <row r="294">
      <c r="A294">
        <f>'Raw Orders'!A294</f>
        <v/>
      </c>
      <c r="B294">
        <f>'Raw Orders'!B294</f>
        <v/>
      </c>
      <c r="C294">
        <f>'Raw Orders'!C294</f>
        <v/>
      </c>
      <c r="D294" s="13">
        <f>'Raw Orders'!E294</f>
        <v/>
      </c>
      <c r="E294" s="14">
        <f>'Raw Orders'!F294</f>
        <v/>
      </c>
      <c r="F294" s="14">
        <f>'Raw Orders'!F294*0.5</f>
        <v/>
      </c>
      <c r="G294" s="12">
        <f>'Raw Orders'!H294</f>
        <v/>
      </c>
      <c r="H294" s="12">
        <f>'Raw Orders'!I294</f>
        <v/>
      </c>
      <c r="I294" s="13">
        <f>'Raw Orders'!K294</f>
        <v/>
      </c>
      <c r="J294" s="13">
        <f>IF('Raw Orders'!J294,"",(YEAR('Raw Orders'!I294)-YEAR('Raw Orders'!H294))*12+MONTH('Raw Orders'!I294)-MONTH('Raw Orders'!H294))</f>
        <v/>
      </c>
      <c r="K294">
        <f>IF('Raw Orders'!J294,"Cancelled",IF('Raw Orders'!K294&gt;=2,"Slipped","On plan"))</f>
        <v/>
      </c>
      <c r="L294" s="14">
        <f>IF(K294="On plan",0,F294)</f>
        <v/>
      </c>
    </row>
    <row r="295">
      <c r="A295">
        <f>'Raw Orders'!A295</f>
        <v/>
      </c>
      <c r="B295">
        <f>'Raw Orders'!B295</f>
        <v/>
      </c>
      <c r="C295">
        <f>'Raw Orders'!C295</f>
        <v/>
      </c>
      <c r="D295" s="13">
        <f>'Raw Orders'!E295</f>
        <v/>
      </c>
      <c r="E295" s="14">
        <f>'Raw Orders'!F295</f>
        <v/>
      </c>
      <c r="F295" s="14">
        <f>'Raw Orders'!F295*0.5</f>
        <v/>
      </c>
      <c r="G295" s="12">
        <f>'Raw Orders'!H295</f>
        <v/>
      </c>
      <c r="H295" s="12">
        <f>'Raw Orders'!I295</f>
        <v/>
      </c>
      <c r="I295" s="13">
        <f>'Raw Orders'!K295</f>
        <v/>
      </c>
      <c r="J295" s="13">
        <f>IF('Raw Orders'!J295,"",(YEAR('Raw Orders'!I295)-YEAR('Raw Orders'!H295))*12+MONTH('Raw Orders'!I295)-MONTH('Raw Orders'!H295))</f>
        <v/>
      </c>
      <c r="K295">
        <f>IF('Raw Orders'!J295,"Cancelled",IF('Raw Orders'!K295&gt;=2,"Slipped","On plan"))</f>
        <v/>
      </c>
      <c r="L295" s="14">
        <f>IF(K295="On plan",0,F295)</f>
        <v/>
      </c>
    </row>
    <row r="296">
      <c r="A296">
        <f>'Raw Orders'!A296</f>
        <v/>
      </c>
      <c r="B296">
        <f>'Raw Orders'!B296</f>
        <v/>
      </c>
      <c r="C296">
        <f>'Raw Orders'!C296</f>
        <v/>
      </c>
      <c r="D296" s="13">
        <f>'Raw Orders'!E296</f>
        <v/>
      </c>
      <c r="E296" s="14">
        <f>'Raw Orders'!F296</f>
        <v/>
      </c>
      <c r="F296" s="14">
        <f>'Raw Orders'!F296*0.5</f>
        <v/>
      </c>
      <c r="G296" s="12">
        <f>'Raw Orders'!H296</f>
        <v/>
      </c>
      <c r="H296" s="12">
        <f>'Raw Orders'!I296</f>
        <v/>
      </c>
      <c r="I296" s="13">
        <f>'Raw Orders'!K296</f>
        <v/>
      </c>
      <c r="J296" s="13">
        <f>IF('Raw Orders'!J296,"",(YEAR('Raw Orders'!I296)-YEAR('Raw Orders'!H296))*12+MONTH('Raw Orders'!I296)-MONTH('Raw Orders'!H296))</f>
        <v/>
      </c>
      <c r="K296">
        <f>IF('Raw Orders'!J296,"Cancelled",IF('Raw Orders'!K296&gt;=2,"Slipped","On plan"))</f>
        <v/>
      </c>
      <c r="L296" s="14">
        <f>IF(K296="On plan",0,F296)</f>
        <v/>
      </c>
    </row>
    <row r="297">
      <c r="A297">
        <f>'Raw Orders'!A297</f>
        <v/>
      </c>
      <c r="B297">
        <f>'Raw Orders'!B297</f>
        <v/>
      </c>
      <c r="C297">
        <f>'Raw Orders'!C297</f>
        <v/>
      </c>
      <c r="D297" s="13">
        <f>'Raw Orders'!E297</f>
        <v/>
      </c>
      <c r="E297" s="14">
        <f>'Raw Orders'!F297</f>
        <v/>
      </c>
      <c r="F297" s="14">
        <f>'Raw Orders'!F297*0.5</f>
        <v/>
      </c>
      <c r="G297" s="12">
        <f>'Raw Orders'!H297</f>
        <v/>
      </c>
      <c r="H297" s="12">
        <f>'Raw Orders'!I297</f>
        <v/>
      </c>
      <c r="I297" s="13">
        <f>'Raw Orders'!K297</f>
        <v/>
      </c>
      <c r="J297" s="13">
        <f>IF('Raw Orders'!J297,"",(YEAR('Raw Orders'!I297)-YEAR('Raw Orders'!H297))*12+MONTH('Raw Orders'!I297)-MONTH('Raw Orders'!H297))</f>
        <v/>
      </c>
      <c r="K297">
        <f>IF('Raw Orders'!J297,"Cancelled",IF('Raw Orders'!K297&gt;=2,"Slipped","On plan"))</f>
        <v/>
      </c>
      <c r="L297" s="14">
        <f>IF(K297="On plan",0,F297)</f>
        <v/>
      </c>
    </row>
    <row r="298">
      <c r="A298">
        <f>'Raw Orders'!A298</f>
        <v/>
      </c>
      <c r="B298">
        <f>'Raw Orders'!B298</f>
        <v/>
      </c>
      <c r="C298">
        <f>'Raw Orders'!C298</f>
        <v/>
      </c>
      <c r="D298" s="13">
        <f>'Raw Orders'!E298</f>
        <v/>
      </c>
      <c r="E298" s="14">
        <f>'Raw Orders'!F298</f>
        <v/>
      </c>
      <c r="F298" s="14">
        <f>'Raw Orders'!F298*0.5</f>
        <v/>
      </c>
      <c r="G298" s="12">
        <f>'Raw Orders'!H298</f>
        <v/>
      </c>
      <c r="H298" s="12">
        <f>'Raw Orders'!I298</f>
        <v/>
      </c>
      <c r="I298" s="13">
        <f>'Raw Orders'!K298</f>
        <v/>
      </c>
      <c r="J298" s="13">
        <f>IF('Raw Orders'!J298,"",(YEAR('Raw Orders'!I298)-YEAR('Raw Orders'!H298))*12+MONTH('Raw Orders'!I298)-MONTH('Raw Orders'!H298))</f>
        <v/>
      </c>
      <c r="K298">
        <f>IF('Raw Orders'!J298,"Cancelled",IF('Raw Orders'!K298&gt;=2,"Slipped","On plan"))</f>
        <v/>
      </c>
      <c r="L298" s="14">
        <f>IF(K298="On plan",0,F298)</f>
        <v/>
      </c>
    </row>
    <row r="299">
      <c r="A299">
        <f>'Raw Orders'!A299</f>
        <v/>
      </c>
      <c r="B299">
        <f>'Raw Orders'!B299</f>
        <v/>
      </c>
      <c r="C299">
        <f>'Raw Orders'!C299</f>
        <v/>
      </c>
      <c r="D299" s="13">
        <f>'Raw Orders'!E299</f>
        <v/>
      </c>
      <c r="E299" s="14">
        <f>'Raw Orders'!F299</f>
        <v/>
      </c>
      <c r="F299" s="14">
        <f>'Raw Orders'!F299*0.5</f>
        <v/>
      </c>
      <c r="G299" s="12">
        <f>'Raw Orders'!H299</f>
        <v/>
      </c>
      <c r="H299" s="12">
        <f>'Raw Orders'!I299</f>
        <v/>
      </c>
      <c r="I299" s="13">
        <f>'Raw Orders'!K299</f>
        <v/>
      </c>
      <c r="J299" s="13">
        <f>IF('Raw Orders'!J299,"",(YEAR('Raw Orders'!I299)-YEAR('Raw Orders'!H299))*12+MONTH('Raw Orders'!I299)-MONTH('Raw Orders'!H299))</f>
        <v/>
      </c>
      <c r="K299">
        <f>IF('Raw Orders'!J299,"Cancelled",IF('Raw Orders'!K299&gt;=2,"Slipped","On plan"))</f>
        <v/>
      </c>
      <c r="L299" s="14">
        <f>IF(K299="On plan",0,F299)</f>
        <v/>
      </c>
    </row>
    <row r="300">
      <c r="A300">
        <f>'Raw Orders'!A300</f>
        <v/>
      </c>
      <c r="B300">
        <f>'Raw Orders'!B300</f>
        <v/>
      </c>
      <c r="C300">
        <f>'Raw Orders'!C300</f>
        <v/>
      </c>
      <c r="D300" s="13">
        <f>'Raw Orders'!E300</f>
        <v/>
      </c>
      <c r="E300" s="14">
        <f>'Raw Orders'!F300</f>
        <v/>
      </c>
      <c r="F300" s="14">
        <f>'Raw Orders'!F300*0.5</f>
        <v/>
      </c>
      <c r="G300" s="12">
        <f>'Raw Orders'!H300</f>
        <v/>
      </c>
      <c r="H300" s="12">
        <f>'Raw Orders'!I300</f>
        <v/>
      </c>
      <c r="I300" s="13">
        <f>'Raw Orders'!K300</f>
        <v/>
      </c>
      <c r="J300" s="13">
        <f>IF('Raw Orders'!J300,"",(YEAR('Raw Orders'!I300)-YEAR('Raw Orders'!H300))*12+MONTH('Raw Orders'!I300)-MONTH('Raw Orders'!H300))</f>
        <v/>
      </c>
      <c r="K300">
        <f>IF('Raw Orders'!J300,"Cancelled",IF('Raw Orders'!K300&gt;=2,"Slipped","On plan"))</f>
        <v/>
      </c>
      <c r="L300" s="14">
        <f>IF(K300="On plan",0,F300)</f>
        <v/>
      </c>
    </row>
    <row r="301">
      <c r="A301">
        <f>'Raw Orders'!A301</f>
        <v/>
      </c>
      <c r="B301">
        <f>'Raw Orders'!B301</f>
        <v/>
      </c>
      <c r="C301">
        <f>'Raw Orders'!C301</f>
        <v/>
      </c>
      <c r="D301" s="13">
        <f>'Raw Orders'!E301</f>
        <v/>
      </c>
      <c r="E301" s="14">
        <f>'Raw Orders'!F301</f>
        <v/>
      </c>
      <c r="F301" s="14">
        <f>'Raw Orders'!F301*0.5</f>
        <v/>
      </c>
      <c r="G301" s="12">
        <f>'Raw Orders'!H301</f>
        <v/>
      </c>
      <c r="H301" s="12">
        <f>'Raw Orders'!I301</f>
        <v/>
      </c>
      <c r="I301" s="13">
        <f>'Raw Orders'!K301</f>
        <v/>
      </c>
      <c r="J301" s="13">
        <f>IF('Raw Orders'!J301,"",(YEAR('Raw Orders'!I301)-YEAR('Raw Orders'!H301))*12+MONTH('Raw Orders'!I301)-MONTH('Raw Orders'!H301))</f>
        <v/>
      </c>
      <c r="K301">
        <f>IF('Raw Orders'!J301,"Cancelled",IF('Raw Orders'!K301&gt;=2,"Slipped","On plan"))</f>
        <v/>
      </c>
      <c r="L301" s="14">
        <f>IF(K301="On plan",0,F301)</f>
        <v/>
      </c>
    </row>
    <row r="302">
      <c r="A302">
        <f>'Raw Orders'!A302</f>
        <v/>
      </c>
      <c r="B302">
        <f>'Raw Orders'!B302</f>
        <v/>
      </c>
      <c r="C302">
        <f>'Raw Orders'!C302</f>
        <v/>
      </c>
      <c r="D302" s="13">
        <f>'Raw Orders'!E302</f>
        <v/>
      </c>
      <c r="E302" s="14">
        <f>'Raw Orders'!F302</f>
        <v/>
      </c>
      <c r="F302" s="14">
        <f>'Raw Orders'!F302*0.5</f>
        <v/>
      </c>
      <c r="G302" s="12">
        <f>'Raw Orders'!H302</f>
        <v/>
      </c>
      <c r="H302" s="12">
        <f>'Raw Orders'!I302</f>
        <v/>
      </c>
      <c r="I302" s="13">
        <f>'Raw Orders'!K302</f>
        <v/>
      </c>
      <c r="J302" s="13">
        <f>IF('Raw Orders'!J302,"",(YEAR('Raw Orders'!I302)-YEAR('Raw Orders'!H302))*12+MONTH('Raw Orders'!I302)-MONTH('Raw Orders'!H302))</f>
        <v/>
      </c>
      <c r="K302">
        <f>IF('Raw Orders'!J302,"Cancelled",IF('Raw Orders'!K302&gt;=2,"Slipped","On plan"))</f>
        <v/>
      </c>
      <c r="L302" s="14">
        <f>IF(K302="On plan",0,F302)</f>
        <v/>
      </c>
    </row>
    <row r="303">
      <c r="A303">
        <f>'Raw Orders'!A303</f>
        <v/>
      </c>
      <c r="B303">
        <f>'Raw Orders'!B303</f>
        <v/>
      </c>
      <c r="C303">
        <f>'Raw Orders'!C303</f>
        <v/>
      </c>
      <c r="D303" s="13">
        <f>'Raw Orders'!E303</f>
        <v/>
      </c>
      <c r="E303" s="14">
        <f>'Raw Orders'!F303</f>
        <v/>
      </c>
      <c r="F303" s="14">
        <f>'Raw Orders'!F303*0.5</f>
        <v/>
      </c>
      <c r="G303" s="12">
        <f>'Raw Orders'!H303</f>
        <v/>
      </c>
      <c r="H303" s="12">
        <f>'Raw Orders'!I303</f>
        <v/>
      </c>
      <c r="I303" s="13">
        <f>'Raw Orders'!K303</f>
        <v/>
      </c>
      <c r="J303" s="13">
        <f>IF('Raw Orders'!J303,"",(YEAR('Raw Orders'!I303)-YEAR('Raw Orders'!H303))*12+MONTH('Raw Orders'!I303)-MONTH('Raw Orders'!H303))</f>
        <v/>
      </c>
      <c r="K303">
        <f>IF('Raw Orders'!J303,"Cancelled",IF('Raw Orders'!K303&gt;=2,"Slipped","On plan"))</f>
        <v/>
      </c>
      <c r="L303" s="14">
        <f>IF(K303="On plan",0,F303)</f>
        <v/>
      </c>
    </row>
    <row r="304">
      <c r="A304">
        <f>'Raw Orders'!A304</f>
        <v/>
      </c>
      <c r="B304">
        <f>'Raw Orders'!B304</f>
        <v/>
      </c>
      <c r="C304">
        <f>'Raw Orders'!C304</f>
        <v/>
      </c>
      <c r="D304" s="13">
        <f>'Raw Orders'!E304</f>
        <v/>
      </c>
      <c r="E304" s="14">
        <f>'Raw Orders'!F304</f>
        <v/>
      </c>
      <c r="F304" s="14">
        <f>'Raw Orders'!F304*0.5</f>
        <v/>
      </c>
      <c r="G304" s="12">
        <f>'Raw Orders'!H304</f>
        <v/>
      </c>
      <c r="H304" s="12">
        <f>'Raw Orders'!I304</f>
        <v/>
      </c>
      <c r="I304" s="13">
        <f>'Raw Orders'!K304</f>
        <v/>
      </c>
      <c r="J304" s="13">
        <f>IF('Raw Orders'!J304,"",(YEAR('Raw Orders'!I304)-YEAR('Raw Orders'!H304))*12+MONTH('Raw Orders'!I304)-MONTH('Raw Orders'!H304))</f>
        <v/>
      </c>
      <c r="K304">
        <f>IF('Raw Orders'!J304,"Cancelled",IF('Raw Orders'!K304&gt;=2,"Slipped","On plan"))</f>
        <v/>
      </c>
      <c r="L304" s="14">
        <f>IF(K304="On plan",0,F304)</f>
        <v/>
      </c>
    </row>
    <row r="305">
      <c r="A305">
        <f>'Raw Orders'!A305</f>
        <v/>
      </c>
      <c r="B305">
        <f>'Raw Orders'!B305</f>
        <v/>
      </c>
      <c r="C305">
        <f>'Raw Orders'!C305</f>
        <v/>
      </c>
      <c r="D305" s="13">
        <f>'Raw Orders'!E305</f>
        <v/>
      </c>
      <c r="E305" s="14">
        <f>'Raw Orders'!F305</f>
        <v/>
      </c>
      <c r="F305" s="14">
        <f>'Raw Orders'!F305*0.5</f>
        <v/>
      </c>
      <c r="G305" s="12">
        <f>'Raw Orders'!H305</f>
        <v/>
      </c>
      <c r="H305" s="12">
        <f>'Raw Orders'!I305</f>
        <v/>
      </c>
      <c r="I305" s="13">
        <f>'Raw Orders'!K305</f>
        <v/>
      </c>
      <c r="J305" s="13">
        <f>IF('Raw Orders'!J305,"",(YEAR('Raw Orders'!I305)-YEAR('Raw Orders'!H305))*12+MONTH('Raw Orders'!I305)-MONTH('Raw Orders'!H305))</f>
        <v/>
      </c>
      <c r="K305">
        <f>IF('Raw Orders'!J305,"Cancelled",IF('Raw Orders'!K305&gt;=2,"Slipped","On plan"))</f>
        <v/>
      </c>
      <c r="L305" s="14">
        <f>IF(K305="On plan",0,F305)</f>
        <v/>
      </c>
    </row>
    <row r="306">
      <c r="A306">
        <f>'Raw Orders'!A306</f>
        <v/>
      </c>
      <c r="B306">
        <f>'Raw Orders'!B306</f>
        <v/>
      </c>
      <c r="C306">
        <f>'Raw Orders'!C306</f>
        <v/>
      </c>
      <c r="D306" s="13">
        <f>'Raw Orders'!E306</f>
        <v/>
      </c>
      <c r="E306" s="14">
        <f>'Raw Orders'!F306</f>
        <v/>
      </c>
      <c r="F306" s="14">
        <f>'Raw Orders'!F306*0.5</f>
        <v/>
      </c>
      <c r="G306" s="12">
        <f>'Raw Orders'!H306</f>
        <v/>
      </c>
      <c r="H306" s="12">
        <f>'Raw Orders'!I306</f>
        <v/>
      </c>
      <c r="I306" s="13">
        <f>'Raw Orders'!K306</f>
        <v/>
      </c>
      <c r="J306" s="13">
        <f>IF('Raw Orders'!J306,"",(YEAR('Raw Orders'!I306)-YEAR('Raw Orders'!H306))*12+MONTH('Raw Orders'!I306)-MONTH('Raw Orders'!H306))</f>
        <v/>
      </c>
      <c r="K306">
        <f>IF('Raw Orders'!J306,"Cancelled",IF('Raw Orders'!K306&gt;=2,"Slipped","On plan"))</f>
        <v/>
      </c>
      <c r="L306" s="14">
        <f>IF(K306="On plan",0,F306)</f>
        <v/>
      </c>
    </row>
    <row r="307">
      <c r="A307">
        <f>'Raw Orders'!A307</f>
        <v/>
      </c>
      <c r="B307">
        <f>'Raw Orders'!B307</f>
        <v/>
      </c>
      <c r="C307">
        <f>'Raw Orders'!C307</f>
        <v/>
      </c>
      <c r="D307" s="13">
        <f>'Raw Orders'!E307</f>
        <v/>
      </c>
      <c r="E307" s="14">
        <f>'Raw Orders'!F307</f>
        <v/>
      </c>
      <c r="F307" s="14">
        <f>'Raw Orders'!F307*0.5</f>
        <v/>
      </c>
      <c r="G307" s="12">
        <f>'Raw Orders'!H307</f>
        <v/>
      </c>
      <c r="H307" s="12">
        <f>'Raw Orders'!I307</f>
        <v/>
      </c>
      <c r="I307" s="13">
        <f>'Raw Orders'!K307</f>
        <v/>
      </c>
      <c r="J307" s="13">
        <f>IF('Raw Orders'!J307,"",(YEAR('Raw Orders'!I307)-YEAR('Raw Orders'!H307))*12+MONTH('Raw Orders'!I307)-MONTH('Raw Orders'!H307))</f>
        <v/>
      </c>
      <c r="K307">
        <f>IF('Raw Orders'!J307,"Cancelled",IF('Raw Orders'!K307&gt;=2,"Slipped","On plan"))</f>
        <v/>
      </c>
      <c r="L307" s="14">
        <f>IF(K307="On plan",0,F307)</f>
        <v/>
      </c>
    </row>
    <row r="308">
      <c r="A308">
        <f>'Raw Orders'!A308</f>
        <v/>
      </c>
      <c r="B308">
        <f>'Raw Orders'!B308</f>
        <v/>
      </c>
      <c r="C308">
        <f>'Raw Orders'!C308</f>
        <v/>
      </c>
      <c r="D308" s="13">
        <f>'Raw Orders'!E308</f>
        <v/>
      </c>
      <c r="E308" s="14">
        <f>'Raw Orders'!F308</f>
        <v/>
      </c>
      <c r="F308" s="14">
        <f>'Raw Orders'!F308*0.5</f>
        <v/>
      </c>
      <c r="G308" s="12">
        <f>'Raw Orders'!H308</f>
        <v/>
      </c>
      <c r="H308" s="12">
        <f>'Raw Orders'!I308</f>
        <v/>
      </c>
      <c r="I308" s="13">
        <f>'Raw Orders'!K308</f>
        <v/>
      </c>
      <c r="J308" s="13">
        <f>IF('Raw Orders'!J308,"",(YEAR('Raw Orders'!I308)-YEAR('Raw Orders'!H308))*12+MONTH('Raw Orders'!I308)-MONTH('Raw Orders'!H308))</f>
        <v/>
      </c>
      <c r="K308">
        <f>IF('Raw Orders'!J308,"Cancelled",IF('Raw Orders'!K308&gt;=2,"Slipped","On plan"))</f>
        <v/>
      </c>
      <c r="L308" s="14">
        <f>IF(K308="On plan",0,F308)</f>
        <v/>
      </c>
    </row>
    <row r="309">
      <c r="A309">
        <f>'Raw Orders'!A309</f>
        <v/>
      </c>
      <c r="B309">
        <f>'Raw Orders'!B309</f>
        <v/>
      </c>
      <c r="C309">
        <f>'Raw Orders'!C309</f>
        <v/>
      </c>
      <c r="D309" s="13">
        <f>'Raw Orders'!E309</f>
        <v/>
      </c>
      <c r="E309" s="14">
        <f>'Raw Orders'!F309</f>
        <v/>
      </c>
      <c r="F309" s="14">
        <f>'Raw Orders'!F309*0.5</f>
        <v/>
      </c>
      <c r="G309" s="12">
        <f>'Raw Orders'!H309</f>
        <v/>
      </c>
      <c r="H309" s="12">
        <f>'Raw Orders'!I309</f>
        <v/>
      </c>
      <c r="I309" s="13">
        <f>'Raw Orders'!K309</f>
        <v/>
      </c>
      <c r="J309" s="13">
        <f>IF('Raw Orders'!J309,"",(YEAR('Raw Orders'!I309)-YEAR('Raw Orders'!H309))*12+MONTH('Raw Orders'!I309)-MONTH('Raw Orders'!H309))</f>
        <v/>
      </c>
      <c r="K309">
        <f>IF('Raw Orders'!J309,"Cancelled",IF('Raw Orders'!K309&gt;=2,"Slipped","On plan"))</f>
        <v/>
      </c>
      <c r="L309" s="14">
        <f>IF(K309="On plan",0,F309)</f>
        <v/>
      </c>
    </row>
    <row r="310">
      <c r="A310">
        <f>'Raw Orders'!A310</f>
        <v/>
      </c>
      <c r="B310">
        <f>'Raw Orders'!B310</f>
        <v/>
      </c>
      <c r="C310">
        <f>'Raw Orders'!C310</f>
        <v/>
      </c>
      <c r="D310" s="13">
        <f>'Raw Orders'!E310</f>
        <v/>
      </c>
      <c r="E310" s="14">
        <f>'Raw Orders'!F310</f>
        <v/>
      </c>
      <c r="F310" s="14">
        <f>'Raw Orders'!F310*0.5</f>
        <v/>
      </c>
      <c r="G310" s="12">
        <f>'Raw Orders'!H310</f>
        <v/>
      </c>
      <c r="H310" s="12">
        <f>'Raw Orders'!I310</f>
        <v/>
      </c>
      <c r="I310" s="13">
        <f>'Raw Orders'!K310</f>
        <v/>
      </c>
      <c r="J310" s="13">
        <f>IF('Raw Orders'!J310,"",(YEAR('Raw Orders'!I310)-YEAR('Raw Orders'!H310))*12+MONTH('Raw Orders'!I310)-MONTH('Raw Orders'!H310))</f>
        <v/>
      </c>
      <c r="K310">
        <f>IF('Raw Orders'!J310,"Cancelled",IF('Raw Orders'!K310&gt;=2,"Slipped","On plan"))</f>
        <v/>
      </c>
      <c r="L310" s="14">
        <f>IF(K310="On plan",0,F310)</f>
        <v/>
      </c>
    </row>
    <row r="311">
      <c r="A311">
        <f>'Raw Orders'!A311</f>
        <v/>
      </c>
      <c r="B311">
        <f>'Raw Orders'!B311</f>
        <v/>
      </c>
      <c r="C311">
        <f>'Raw Orders'!C311</f>
        <v/>
      </c>
      <c r="D311" s="13">
        <f>'Raw Orders'!E311</f>
        <v/>
      </c>
      <c r="E311" s="14">
        <f>'Raw Orders'!F311</f>
        <v/>
      </c>
      <c r="F311" s="14">
        <f>'Raw Orders'!F311*0.5</f>
        <v/>
      </c>
      <c r="G311" s="12">
        <f>'Raw Orders'!H311</f>
        <v/>
      </c>
      <c r="H311" s="12">
        <f>'Raw Orders'!I311</f>
        <v/>
      </c>
      <c r="I311" s="13">
        <f>'Raw Orders'!K311</f>
        <v/>
      </c>
      <c r="J311" s="13">
        <f>IF('Raw Orders'!J311,"",(YEAR('Raw Orders'!I311)-YEAR('Raw Orders'!H311))*12+MONTH('Raw Orders'!I311)-MONTH('Raw Orders'!H311))</f>
        <v/>
      </c>
      <c r="K311">
        <f>IF('Raw Orders'!J311,"Cancelled",IF('Raw Orders'!K311&gt;=2,"Slipped","On plan"))</f>
        <v/>
      </c>
      <c r="L311" s="14">
        <f>IF(K311="On plan",0,F311)</f>
        <v/>
      </c>
    </row>
    <row r="312">
      <c r="A312">
        <f>'Raw Orders'!A312</f>
        <v/>
      </c>
      <c r="B312">
        <f>'Raw Orders'!B312</f>
        <v/>
      </c>
      <c r="C312">
        <f>'Raw Orders'!C312</f>
        <v/>
      </c>
      <c r="D312" s="13">
        <f>'Raw Orders'!E312</f>
        <v/>
      </c>
      <c r="E312" s="14">
        <f>'Raw Orders'!F312</f>
        <v/>
      </c>
      <c r="F312" s="14">
        <f>'Raw Orders'!F312*0.5</f>
        <v/>
      </c>
      <c r="G312" s="12">
        <f>'Raw Orders'!H312</f>
        <v/>
      </c>
      <c r="H312" s="12">
        <f>'Raw Orders'!I312</f>
        <v/>
      </c>
      <c r="I312" s="13">
        <f>'Raw Orders'!K312</f>
        <v/>
      </c>
      <c r="J312" s="13">
        <f>IF('Raw Orders'!J312,"",(YEAR('Raw Orders'!I312)-YEAR('Raw Orders'!H312))*12+MONTH('Raw Orders'!I312)-MONTH('Raw Orders'!H312))</f>
        <v/>
      </c>
      <c r="K312">
        <f>IF('Raw Orders'!J312,"Cancelled",IF('Raw Orders'!K312&gt;=2,"Slipped","On plan"))</f>
        <v/>
      </c>
      <c r="L312" s="14">
        <f>IF(K312="On plan",0,F312)</f>
        <v/>
      </c>
    </row>
    <row r="313">
      <c r="A313">
        <f>'Raw Orders'!A313</f>
        <v/>
      </c>
      <c r="B313">
        <f>'Raw Orders'!B313</f>
        <v/>
      </c>
      <c r="C313">
        <f>'Raw Orders'!C313</f>
        <v/>
      </c>
      <c r="D313" s="13">
        <f>'Raw Orders'!E313</f>
        <v/>
      </c>
      <c r="E313" s="14">
        <f>'Raw Orders'!F313</f>
        <v/>
      </c>
      <c r="F313" s="14">
        <f>'Raw Orders'!F313*0.5</f>
        <v/>
      </c>
      <c r="G313" s="12">
        <f>'Raw Orders'!H313</f>
        <v/>
      </c>
      <c r="H313" s="12">
        <f>'Raw Orders'!I313</f>
        <v/>
      </c>
      <c r="I313" s="13">
        <f>'Raw Orders'!K313</f>
        <v/>
      </c>
      <c r="J313" s="13">
        <f>IF('Raw Orders'!J313,"",(YEAR('Raw Orders'!I313)-YEAR('Raw Orders'!H313))*12+MONTH('Raw Orders'!I313)-MONTH('Raw Orders'!H313))</f>
        <v/>
      </c>
      <c r="K313">
        <f>IF('Raw Orders'!J313,"Cancelled",IF('Raw Orders'!K313&gt;=2,"Slipped","On plan"))</f>
        <v/>
      </c>
      <c r="L313" s="14">
        <f>IF(K313="On plan",0,F313)</f>
        <v/>
      </c>
    </row>
    <row r="314">
      <c r="A314">
        <f>'Raw Orders'!A314</f>
        <v/>
      </c>
      <c r="B314">
        <f>'Raw Orders'!B314</f>
        <v/>
      </c>
      <c r="C314">
        <f>'Raw Orders'!C314</f>
        <v/>
      </c>
      <c r="D314" s="13">
        <f>'Raw Orders'!E314</f>
        <v/>
      </c>
      <c r="E314" s="14">
        <f>'Raw Orders'!F314</f>
        <v/>
      </c>
      <c r="F314" s="14">
        <f>'Raw Orders'!F314*0.5</f>
        <v/>
      </c>
      <c r="G314" s="12">
        <f>'Raw Orders'!H314</f>
        <v/>
      </c>
      <c r="H314" s="12">
        <f>'Raw Orders'!I314</f>
        <v/>
      </c>
      <c r="I314" s="13">
        <f>'Raw Orders'!K314</f>
        <v/>
      </c>
      <c r="J314" s="13">
        <f>IF('Raw Orders'!J314,"",(YEAR('Raw Orders'!I314)-YEAR('Raw Orders'!H314))*12+MONTH('Raw Orders'!I314)-MONTH('Raw Orders'!H314))</f>
        <v/>
      </c>
      <c r="K314">
        <f>IF('Raw Orders'!J314,"Cancelled",IF('Raw Orders'!K314&gt;=2,"Slipped","On plan"))</f>
        <v/>
      </c>
      <c r="L314" s="14">
        <f>IF(K314="On plan",0,F314)</f>
        <v/>
      </c>
    </row>
    <row r="315">
      <c r="A315">
        <f>'Raw Orders'!A315</f>
        <v/>
      </c>
      <c r="B315">
        <f>'Raw Orders'!B315</f>
        <v/>
      </c>
      <c r="C315">
        <f>'Raw Orders'!C315</f>
        <v/>
      </c>
      <c r="D315" s="13">
        <f>'Raw Orders'!E315</f>
        <v/>
      </c>
      <c r="E315" s="14">
        <f>'Raw Orders'!F315</f>
        <v/>
      </c>
      <c r="F315" s="14">
        <f>'Raw Orders'!F315*0.5</f>
        <v/>
      </c>
      <c r="G315" s="12">
        <f>'Raw Orders'!H315</f>
        <v/>
      </c>
      <c r="H315" s="12">
        <f>'Raw Orders'!I315</f>
        <v/>
      </c>
      <c r="I315" s="13">
        <f>'Raw Orders'!K315</f>
        <v/>
      </c>
      <c r="J315" s="13">
        <f>IF('Raw Orders'!J315,"",(YEAR('Raw Orders'!I315)-YEAR('Raw Orders'!H315))*12+MONTH('Raw Orders'!I315)-MONTH('Raw Orders'!H315))</f>
        <v/>
      </c>
      <c r="K315">
        <f>IF('Raw Orders'!J315,"Cancelled",IF('Raw Orders'!K315&gt;=2,"Slipped","On plan"))</f>
        <v/>
      </c>
      <c r="L315" s="14">
        <f>IF(K315="On plan",0,F315)</f>
        <v/>
      </c>
    </row>
    <row r="316">
      <c r="A316">
        <f>'Raw Orders'!A316</f>
        <v/>
      </c>
      <c r="B316">
        <f>'Raw Orders'!B316</f>
        <v/>
      </c>
      <c r="C316">
        <f>'Raw Orders'!C316</f>
        <v/>
      </c>
      <c r="D316" s="13">
        <f>'Raw Orders'!E316</f>
        <v/>
      </c>
      <c r="E316" s="14">
        <f>'Raw Orders'!F316</f>
        <v/>
      </c>
      <c r="F316" s="14">
        <f>'Raw Orders'!F316*0.5</f>
        <v/>
      </c>
      <c r="G316" s="12">
        <f>'Raw Orders'!H316</f>
        <v/>
      </c>
      <c r="H316" s="12">
        <f>'Raw Orders'!I316</f>
        <v/>
      </c>
      <c r="I316" s="13">
        <f>'Raw Orders'!K316</f>
        <v/>
      </c>
      <c r="J316" s="13">
        <f>IF('Raw Orders'!J316,"",(YEAR('Raw Orders'!I316)-YEAR('Raw Orders'!H316))*12+MONTH('Raw Orders'!I316)-MONTH('Raw Orders'!H316))</f>
        <v/>
      </c>
      <c r="K316">
        <f>IF('Raw Orders'!J316,"Cancelled",IF('Raw Orders'!K316&gt;=2,"Slipped","On plan"))</f>
        <v/>
      </c>
      <c r="L316" s="14">
        <f>IF(K316="On plan",0,F316)</f>
        <v/>
      </c>
    </row>
    <row r="317">
      <c r="A317">
        <f>'Raw Orders'!A317</f>
        <v/>
      </c>
      <c r="B317">
        <f>'Raw Orders'!B317</f>
        <v/>
      </c>
      <c r="C317">
        <f>'Raw Orders'!C317</f>
        <v/>
      </c>
      <c r="D317" s="13">
        <f>'Raw Orders'!E317</f>
        <v/>
      </c>
      <c r="E317" s="14">
        <f>'Raw Orders'!F317</f>
        <v/>
      </c>
      <c r="F317" s="14">
        <f>'Raw Orders'!F317*0.5</f>
        <v/>
      </c>
      <c r="G317" s="12">
        <f>'Raw Orders'!H317</f>
        <v/>
      </c>
      <c r="H317" s="12">
        <f>'Raw Orders'!I317</f>
        <v/>
      </c>
      <c r="I317" s="13">
        <f>'Raw Orders'!K317</f>
        <v/>
      </c>
      <c r="J317" s="13">
        <f>IF('Raw Orders'!J317,"",(YEAR('Raw Orders'!I317)-YEAR('Raw Orders'!H317))*12+MONTH('Raw Orders'!I317)-MONTH('Raw Orders'!H317))</f>
        <v/>
      </c>
      <c r="K317">
        <f>IF('Raw Orders'!J317,"Cancelled",IF('Raw Orders'!K317&gt;=2,"Slipped","On plan"))</f>
        <v/>
      </c>
      <c r="L317" s="14">
        <f>IF(K317="On plan",0,F317)</f>
        <v/>
      </c>
    </row>
    <row r="318">
      <c r="A318">
        <f>'Raw Orders'!A318</f>
        <v/>
      </c>
      <c r="B318">
        <f>'Raw Orders'!B318</f>
        <v/>
      </c>
      <c r="C318">
        <f>'Raw Orders'!C318</f>
        <v/>
      </c>
      <c r="D318" s="13">
        <f>'Raw Orders'!E318</f>
        <v/>
      </c>
      <c r="E318" s="14">
        <f>'Raw Orders'!F318</f>
        <v/>
      </c>
      <c r="F318" s="14">
        <f>'Raw Orders'!F318*0.5</f>
        <v/>
      </c>
      <c r="G318" s="12">
        <f>'Raw Orders'!H318</f>
        <v/>
      </c>
      <c r="H318" s="12">
        <f>'Raw Orders'!I318</f>
        <v/>
      </c>
      <c r="I318" s="13">
        <f>'Raw Orders'!K318</f>
        <v/>
      </c>
      <c r="J318" s="13">
        <f>IF('Raw Orders'!J318,"",(YEAR('Raw Orders'!I318)-YEAR('Raw Orders'!H318))*12+MONTH('Raw Orders'!I318)-MONTH('Raw Orders'!H318))</f>
        <v/>
      </c>
      <c r="K318">
        <f>IF('Raw Orders'!J318,"Cancelled",IF('Raw Orders'!K318&gt;=2,"Slipped","On plan"))</f>
        <v/>
      </c>
      <c r="L318" s="14">
        <f>IF(K318="On plan",0,F318)</f>
        <v/>
      </c>
    </row>
    <row r="319">
      <c r="A319">
        <f>'Raw Orders'!A319</f>
        <v/>
      </c>
      <c r="B319">
        <f>'Raw Orders'!B319</f>
        <v/>
      </c>
      <c r="C319">
        <f>'Raw Orders'!C319</f>
        <v/>
      </c>
      <c r="D319" s="13">
        <f>'Raw Orders'!E319</f>
        <v/>
      </c>
      <c r="E319" s="14">
        <f>'Raw Orders'!F319</f>
        <v/>
      </c>
      <c r="F319" s="14">
        <f>'Raw Orders'!F319*0.5</f>
        <v/>
      </c>
      <c r="G319" s="12">
        <f>'Raw Orders'!H319</f>
        <v/>
      </c>
      <c r="H319" s="12">
        <f>'Raw Orders'!I319</f>
        <v/>
      </c>
      <c r="I319" s="13">
        <f>'Raw Orders'!K319</f>
        <v/>
      </c>
      <c r="J319" s="13">
        <f>IF('Raw Orders'!J319,"",(YEAR('Raw Orders'!I319)-YEAR('Raw Orders'!H319))*12+MONTH('Raw Orders'!I319)-MONTH('Raw Orders'!H319))</f>
        <v/>
      </c>
      <c r="K319">
        <f>IF('Raw Orders'!J319,"Cancelled",IF('Raw Orders'!K319&gt;=2,"Slipped","On plan"))</f>
        <v/>
      </c>
      <c r="L319" s="14">
        <f>IF(K319="On plan",0,F319)</f>
        <v/>
      </c>
    </row>
    <row r="320">
      <c r="A320">
        <f>'Raw Orders'!A320</f>
        <v/>
      </c>
      <c r="B320">
        <f>'Raw Orders'!B320</f>
        <v/>
      </c>
      <c r="C320">
        <f>'Raw Orders'!C320</f>
        <v/>
      </c>
      <c r="D320" s="13">
        <f>'Raw Orders'!E320</f>
        <v/>
      </c>
      <c r="E320" s="14">
        <f>'Raw Orders'!F320</f>
        <v/>
      </c>
      <c r="F320" s="14">
        <f>'Raw Orders'!F320*0.5</f>
        <v/>
      </c>
      <c r="G320" s="12">
        <f>'Raw Orders'!H320</f>
        <v/>
      </c>
      <c r="H320" s="12">
        <f>'Raw Orders'!I320</f>
        <v/>
      </c>
      <c r="I320" s="13">
        <f>'Raw Orders'!K320</f>
        <v/>
      </c>
      <c r="J320" s="13">
        <f>IF('Raw Orders'!J320,"",(YEAR('Raw Orders'!I320)-YEAR('Raw Orders'!H320))*12+MONTH('Raw Orders'!I320)-MONTH('Raw Orders'!H320))</f>
        <v/>
      </c>
      <c r="K320">
        <f>IF('Raw Orders'!J320,"Cancelled",IF('Raw Orders'!K320&gt;=2,"Slipped","On plan"))</f>
        <v/>
      </c>
      <c r="L320" s="14">
        <f>IF(K320="On plan",0,F320)</f>
        <v/>
      </c>
    </row>
    <row r="321">
      <c r="A321">
        <f>'Raw Orders'!A321</f>
        <v/>
      </c>
      <c r="B321">
        <f>'Raw Orders'!B321</f>
        <v/>
      </c>
      <c r="C321">
        <f>'Raw Orders'!C321</f>
        <v/>
      </c>
      <c r="D321" s="13">
        <f>'Raw Orders'!E321</f>
        <v/>
      </c>
      <c r="E321" s="14">
        <f>'Raw Orders'!F321</f>
        <v/>
      </c>
      <c r="F321" s="14">
        <f>'Raw Orders'!F321*0.5</f>
        <v/>
      </c>
      <c r="G321" s="12">
        <f>'Raw Orders'!H321</f>
        <v/>
      </c>
      <c r="H321" s="12">
        <f>'Raw Orders'!I321</f>
        <v/>
      </c>
      <c r="I321" s="13">
        <f>'Raw Orders'!K321</f>
        <v/>
      </c>
      <c r="J321" s="13">
        <f>IF('Raw Orders'!J321,"",(YEAR('Raw Orders'!I321)-YEAR('Raw Orders'!H321))*12+MONTH('Raw Orders'!I321)-MONTH('Raw Orders'!H321))</f>
        <v/>
      </c>
      <c r="K321">
        <f>IF('Raw Orders'!J321,"Cancelled",IF('Raw Orders'!K321&gt;=2,"Slipped","On plan"))</f>
        <v/>
      </c>
      <c r="L321" s="14">
        <f>IF(K321="On plan",0,F321)</f>
        <v/>
      </c>
    </row>
    <row r="322">
      <c r="A322">
        <f>'Raw Orders'!A322</f>
        <v/>
      </c>
      <c r="B322">
        <f>'Raw Orders'!B322</f>
        <v/>
      </c>
      <c r="C322">
        <f>'Raw Orders'!C322</f>
        <v/>
      </c>
      <c r="D322" s="13">
        <f>'Raw Orders'!E322</f>
        <v/>
      </c>
      <c r="E322" s="14">
        <f>'Raw Orders'!F322</f>
        <v/>
      </c>
      <c r="F322" s="14">
        <f>'Raw Orders'!F322*0.5</f>
        <v/>
      </c>
      <c r="G322" s="12">
        <f>'Raw Orders'!H322</f>
        <v/>
      </c>
      <c r="H322" s="12">
        <f>'Raw Orders'!I322</f>
        <v/>
      </c>
      <c r="I322" s="13">
        <f>'Raw Orders'!K322</f>
        <v/>
      </c>
      <c r="J322" s="13">
        <f>IF('Raw Orders'!J322,"",(YEAR('Raw Orders'!I322)-YEAR('Raw Orders'!H322))*12+MONTH('Raw Orders'!I322)-MONTH('Raw Orders'!H322))</f>
        <v/>
      </c>
      <c r="K322">
        <f>IF('Raw Orders'!J322,"Cancelled",IF('Raw Orders'!K322&gt;=2,"Slipped","On plan"))</f>
        <v/>
      </c>
      <c r="L322" s="14">
        <f>IF(K322="On plan",0,F322)</f>
        <v/>
      </c>
    </row>
    <row r="323">
      <c r="A323">
        <f>'Raw Orders'!A323</f>
        <v/>
      </c>
      <c r="B323">
        <f>'Raw Orders'!B323</f>
        <v/>
      </c>
      <c r="C323">
        <f>'Raw Orders'!C323</f>
        <v/>
      </c>
      <c r="D323" s="13">
        <f>'Raw Orders'!E323</f>
        <v/>
      </c>
      <c r="E323" s="14">
        <f>'Raw Orders'!F323</f>
        <v/>
      </c>
      <c r="F323" s="14">
        <f>'Raw Orders'!F323*0.5</f>
        <v/>
      </c>
      <c r="G323" s="12">
        <f>'Raw Orders'!H323</f>
        <v/>
      </c>
      <c r="H323" s="12">
        <f>'Raw Orders'!I323</f>
        <v/>
      </c>
      <c r="I323" s="13">
        <f>'Raw Orders'!K323</f>
        <v/>
      </c>
      <c r="J323" s="13">
        <f>IF('Raw Orders'!J323,"",(YEAR('Raw Orders'!I323)-YEAR('Raw Orders'!H323))*12+MONTH('Raw Orders'!I323)-MONTH('Raw Orders'!H323))</f>
        <v/>
      </c>
      <c r="K323">
        <f>IF('Raw Orders'!J323,"Cancelled",IF('Raw Orders'!K323&gt;=2,"Slipped","On plan"))</f>
        <v/>
      </c>
      <c r="L323" s="14">
        <f>IF(K323="On plan",0,F323)</f>
        <v/>
      </c>
    </row>
    <row r="324">
      <c r="A324">
        <f>'Raw Orders'!A324</f>
        <v/>
      </c>
      <c r="B324">
        <f>'Raw Orders'!B324</f>
        <v/>
      </c>
      <c r="C324">
        <f>'Raw Orders'!C324</f>
        <v/>
      </c>
      <c r="D324" s="13">
        <f>'Raw Orders'!E324</f>
        <v/>
      </c>
      <c r="E324" s="14">
        <f>'Raw Orders'!F324</f>
        <v/>
      </c>
      <c r="F324" s="14">
        <f>'Raw Orders'!F324*0.5</f>
        <v/>
      </c>
      <c r="G324" s="12">
        <f>'Raw Orders'!H324</f>
        <v/>
      </c>
      <c r="H324" s="12">
        <f>'Raw Orders'!I324</f>
        <v/>
      </c>
      <c r="I324" s="13">
        <f>'Raw Orders'!K324</f>
        <v/>
      </c>
      <c r="J324" s="13">
        <f>IF('Raw Orders'!J324,"",(YEAR('Raw Orders'!I324)-YEAR('Raw Orders'!H324))*12+MONTH('Raw Orders'!I324)-MONTH('Raw Orders'!H324))</f>
        <v/>
      </c>
      <c r="K324">
        <f>IF('Raw Orders'!J324,"Cancelled",IF('Raw Orders'!K324&gt;=2,"Slipped","On plan"))</f>
        <v/>
      </c>
      <c r="L324" s="14">
        <f>IF(K324="On plan",0,F324)</f>
        <v/>
      </c>
    </row>
    <row r="325">
      <c r="A325">
        <f>'Raw Orders'!A325</f>
        <v/>
      </c>
      <c r="B325">
        <f>'Raw Orders'!B325</f>
        <v/>
      </c>
      <c r="C325">
        <f>'Raw Orders'!C325</f>
        <v/>
      </c>
      <c r="D325" s="13">
        <f>'Raw Orders'!E325</f>
        <v/>
      </c>
      <c r="E325" s="14">
        <f>'Raw Orders'!F325</f>
        <v/>
      </c>
      <c r="F325" s="14">
        <f>'Raw Orders'!F325*0.5</f>
        <v/>
      </c>
      <c r="G325" s="12">
        <f>'Raw Orders'!H325</f>
        <v/>
      </c>
      <c r="H325" s="12">
        <f>'Raw Orders'!I325</f>
        <v/>
      </c>
      <c r="I325" s="13">
        <f>'Raw Orders'!K325</f>
        <v/>
      </c>
      <c r="J325" s="13">
        <f>IF('Raw Orders'!J325,"",(YEAR('Raw Orders'!I325)-YEAR('Raw Orders'!H325))*12+MONTH('Raw Orders'!I325)-MONTH('Raw Orders'!H325))</f>
        <v/>
      </c>
      <c r="K325">
        <f>IF('Raw Orders'!J325,"Cancelled",IF('Raw Orders'!K325&gt;=2,"Slipped","On plan"))</f>
        <v/>
      </c>
      <c r="L325" s="14">
        <f>IF(K325="On plan",0,F325)</f>
        <v/>
      </c>
    </row>
    <row r="326">
      <c r="A326">
        <f>'Raw Orders'!A326</f>
        <v/>
      </c>
      <c r="B326">
        <f>'Raw Orders'!B326</f>
        <v/>
      </c>
      <c r="C326">
        <f>'Raw Orders'!C326</f>
        <v/>
      </c>
      <c r="D326" s="13">
        <f>'Raw Orders'!E326</f>
        <v/>
      </c>
      <c r="E326" s="14">
        <f>'Raw Orders'!F326</f>
        <v/>
      </c>
      <c r="F326" s="14">
        <f>'Raw Orders'!F326*0.5</f>
        <v/>
      </c>
      <c r="G326" s="12">
        <f>'Raw Orders'!H326</f>
        <v/>
      </c>
      <c r="H326" s="12">
        <f>'Raw Orders'!I326</f>
        <v/>
      </c>
      <c r="I326" s="13">
        <f>'Raw Orders'!K326</f>
        <v/>
      </c>
      <c r="J326" s="13">
        <f>IF('Raw Orders'!J326,"",(YEAR('Raw Orders'!I326)-YEAR('Raw Orders'!H326))*12+MONTH('Raw Orders'!I326)-MONTH('Raw Orders'!H326))</f>
        <v/>
      </c>
      <c r="K326">
        <f>IF('Raw Orders'!J326,"Cancelled",IF('Raw Orders'!K326&gt;=2,"Slipped","On plan"))</f>
        <v/>
      </c>
      <c r="L326" s="14">
        <f>IF(K326="On plan",0,F326)</f>
        <v/>
      </c>
    </row>
    <row r="327">
      <c r="A327">
        <f>'Raw Orders'!A327</f>
        <v/>
      </c>
      <c r="B327">
        <f>'Raw Orders'!B327</f>
        <v/>
      </c>
      <c r="C327">
        <f>'Raw Orders'!C327</f>
        <v/>
      </c>
      <c r="D327" s="13">
        <f>'Raw Orders'!E327</f>
        <v/>
      </c>
      <c r="E327" s="14">
        <f>'Raw Orders'!F327</f>
        <v/>
      </c>
      <c r="F327" s="14">
        <f>'Raw Orders'!F327*0.5</f>
        <v/>
      </c>
      <c r="G327" s="12">
        <f>'Raw Orders'!H327</f>
        <v/>
      </c>
      <c r="H327" s="12">
        <f>'Raw Orders'!I327</f>
        <v/>
      </c>
      <c r="I327" s="13">
        <f>'Raw Orders'!K327</f>
        <v/>
      </c>
      <c r="J327" s="13">
        <f>IF('Raw Orders'!J327,"",(YEAR('Raw Orders'!I327)-YEAR('Raw Orders'!H327))*12+MONTH('Raw Orders'!I327)-MONTH('Raw Orders'!H327))</f>
        <v/>
      </c>
      <c r="K327">
        <f>IF('Raw Orders'!J327,"Cancelled",IF('Raw Orders'!K327&gt;=2,"Slipped","On plan"))</f>
        <v/>
      </c>
      <c r="L327" s="14">
        <f>IF(K327="On plan",0,F327)</f>
        <v/>
      </c>
    </row>
    <row r="328">
      <c r="A328">
        <f>'Raw Orders'!A328</f>
        <v/>
      </c>
      <c r="B328">
        <f>'Raw Orders'!B328</f>
        <v/>
      </c>
      <c r="C328">
        <f>'Raw Orders'!C328</f>
        <v/>
      </c>
      <c r="D328" s="13">
        <f>'Raw Orders'!E328</f>
        <v/>
      </c>
      <c r="E328" s="14">
        <f>'Raw Orders'!F328</f>
        <v/>
      </c>
      <c r="F328" s="14">
        <f>'Raw Orders'!F328*0.5</f>
        <v/>
      </c>
      <c r="G328" s="12">
        <f>'Raw Orders'!H328</f>
        <v/>
      </c>
      <c r="H328" s="12">
        <f>'Raw Orders'!I328</f>
        <v/>
      </c>
      <c r="I328" s="13">
        <f>'Raw Orders'!K328</f>
        <v/>
      </c>
      <c r="J328" s="13">
        <f>IF('Raw Orders'!J328,"",(YEAR('Raw Orders'!I328)-YEAR('Raw Orders'!H328))*12+MONTH('Raw Orders'!I328)-MONTH('Raw Orders'!H328))</f>
        <v/>
      </c>
      <c r="K328">
        <f>IF('Raw Orders'!J328,"Cancelled",IF('Raw Orders'!K328&gt;=2,"Slipped","On plan"))</f>
        <v/>
      </c>
      <c r="L328" s="14">
        <f>IF(K328="On plan",0,F328)</f>
        <v/>
      </c>
    </row>
    <row r="329">
      <c r="A329">
        <f>'Raw Orders'!A329</f>
        <v/>
      </c>
      <c r="B329">
        <f>'Raw Orders'!B329</f>
        <v/>
      </c>
      <c r="C329">
        <f>'Raw Orders'!C329</f>
        <v/>
      </c>
      <c r="D329" s="13">
        <f>'Raw Orders'!E329</f>
        <v/>
      </c>
      <c r="E329" s="14">
        <f>'Raw Orders'!F329</f>
        <v/>
      </c>
      <c r="F329" s="14">
        <f>'Raw Orders'!F329*0.5</f>
        <v/>
      </c>
      <c r="G329" s="12">
        <f>'Raw Orders'!H329</f>
        <v/>
      </c>
      <c r="H329" s="12">
        <f>'Raw Orders'!I329</f>
        <v/>
      </c>
      <c r="I329" s="13">
        <f>'Raw Orders'!K329</f>
        <v/>
      </c>
      <c r="J329" s="13">
        <f>IF('Raw Orders'!J329,"",(YEAR('Raw Orders'!I329)-YEAR('Raw Orders'!H329))*12+MONTH('Raw Orders'!I329)-MONTH('Raw Orders'!H329))</f>
        <v/>
      </c>
      <c r="K329">
        <f>IF('Raw Orders'!J329,"Cancelled",IF('Raw Orders'!K329&gt;=2,"Slipped","On plan"))</f>
        <v/>
      </c>
      <c r="L329" s="14">
        <f>IF(K329="On plan",0,F329)</f>
        <v/>
      </c>
    </row>
    <row r="330">
      <c r="A330">
        <f>'Raw Orders'!A330</f>
        <v/>
      </c>
      <c r="B330">
        <f>'Raw Orders'!B330</f>
        <v/>
      </c>
      <c r="C330">
        <f>'Raw Orders'!C330</f>
        <v/>
      </c>
      <c r="D330" s="13">
        <f>'Raw Orders'!E330</f>
        <v/>
      </c>
      <c r="E330" s="14">
        <f>'Raw Orders'!F330</f>
        <v/>
      </c>
      <c r="F330" s="14">
        <f>'Raw Orders'!F330*0.5</f>
        <v/>
      </c>
      <c r="G330" s="12">
        <f>'Raw Orders'!H330</f>
        <v/>
      </c>
      <c r="H330" s="12">
        <f>'Raw Orders'!I330</f>
        <v/>
      </c>
      <c r="I330" s="13">
        <f>'Raw Orders'!K330</f>
        <v/>
      </c>
      <c r="J330" s="13">
        <f>IF('Raw Orders'!J330,"",(YEAR('Raw Orders'!I330)-YEAR('Raw Orders'!H330))*12+MONTH('Raw Orders'!I330)-MONTH('Raw Orders'!H330))</f>
        <v/>
      </c>
      <c r="K330">
        <f>IF('Raw Orders'!J330,"Cancelled",IF('Raw Orders'!K330&gt;=2,"Slipped","On plan"))</f>
        <v/>
      </c>
      <c r="L330" s="14">
        <f>IF(K330="On plan",0,F330)</f>
        <v/>
      </c>
    </row>
    <row r="331">
      <c r="A331">
        <f>'Raw Orders'!A331</f>
        <v/>
      </c>
      <c r="B331">
        <f>'Raw Orders'!B331</f>
        <v/>
      </c>
      <c r="C331">
        <f>'Raw Orders'!C331</f>
        <v/>
      </c>
      <c r="D331" s="13">
        <f>'Raw Orders'!E331</f>
        <v/>
      </c>
      <c r="E331" s="14">
        <f>'Raw Orders'!F331</f>
        <v/>
      </c>
      <c r="F331" s="14">
        <f>'Raw Orders'!F331*0.5</f>
        <v/>
      </c>
      <c r="G331" s="12">
        <f>'Raw Orders'!H331</f>
        <v/>
      </c>
      <c r="H331" s="12">
        <f>'Raw Orders'!I331</f>
        <v/>
      </c>
      <c r="I331" s="13">
        <f>'Raw Orders'!K331</f>
        <v/>
      </c>
      <c r="J331" s="13">
        <f>IF('Raw Orders'!J331,"",(YEAR('Raw Orders'!I331)-YEAR('Raw Orders'!H331))*12+MONTH('Raw Orders'!I331)-MONTH('Raw Orders'!H331))</f>
        <v/>
      </c>
      <c r="K331">
        <f>IF('Raw Orders'!J331,"Cancelled",IF('Raw Orders'!K331&gt;=2,"Slipped","On plan"))</f>
        <v/>
      </c>
      <c r="L331" s="14">
        <f>IF(K331="On plan",0,F331)</f>
        <v/>
      </c>
    </row>
    <row r="332">
      <c r="A332">
        <f>'Raw Orders'!A332</f>
        <v/>
      </c>
      <c r="B332">
        <f>'Raw Orders'!B332</f>
        <v/>
      </c>
      <c r="C332">
        <f>'Raw Orders'!C332</f>
        <v/>
      </c>
      <c r="D332" s="13">
        <f>'Raw Orders'!E332</f>
        <v/>
      </c>
      <c r="E332" s="14">
        <f>'Raw Orders'!F332</f>
        <v/>
      </c>
      <c r="F332" s="14">
        <f>'Raw Orders'!F332*0.5</f>
        <v/>
      </c>
      <c r="G332" s="12">
        <f>'Raw Orders'!H332</f>
        <v/>
      </c>
      <c r="H332" s="12">
        <f>'Raw Orders'!I332</f>
        <v/>
      </c>
      <c r="I332" s="13">
        <f>'Raw Orders'!K332</f>
        <v/>
      </c>
      <c r="J332" s="13">
        <f>IF('Raw Orders'!J332,"",(YEAR('Raw Orders'!I332)-YEAR('Raw Orders'!H332))*12+MONTH('Raw Orders'!I332)-MONTH('Raw Orders'!H332))</f>
        <v/>
      </c>
      <c r="K332">
        <f>IF('Raw Orders'!J332,"Cancelled",IF('Raw Orders'!K332&gt;=2,"Slipped","On plan"))</f>
        <v/>
      </c>
      <c r="L332" s="14">
        <f>IF(K332="On plan",0,F332)</f>
        <v/>
      </c>
    </row>
    <row r="333">
      <c r="A333">
        <f>'Raw Orders'!A333</f>
        <v/>
      </c>
      <c r="B333">
        <f>'Raw Orders'!B333</f>
        <v/>
      </c>
      <c r="C333">
        <f>'Raw Orders'!C333</f>
        <v/>
      </c>
      <c r="D333" s="13">
        <f>'Raw Orders'!E333</f>
        <v/>
      </c>
      <c r="E333" s="14">
        <f>'Raw Orders'!F333</f>
        <v/>
      </c>
      <c r="F333" s="14">
        <f>'Raw Orders'!F333*0.5</f>
        <v/>
      </c>
      <c r="G333" s="12">
        <f>'Raw Orders'!H333</f>
        <v/>
      </c>
      <c r="H333" s="12">
        <f>'Raw Orders'!I333</f>
        <v/>
      </c>
      <c r="I333" s="13">
        <f>'Raw Orders'!K333</f>
        <v/>
      </c>
      <c r="J333" s="13">
        <f>IF('Raw Orders'!J333,"",(YEAR('Raw Orders'!I333)-YEAR('Raw Orders'!H333))*12+MONTH('Raw Orders'!I333)-MONTH('Raw Orders'!H333))</f>
        <v/>
      </c>
      <c r="K333">
        <f>IF('Raw Orders'!J333,"Cancelled",IF('Raw Orders'!K333&gt;=2,"Slipped","On plan"))</f>
        <v/>
      </c>
      <c r="L333" s="14">
        <f>IF(K333="On plan",0,F333)</f>
        <v/>
      </c>
    </row>
    <row r="334">
      <c r="A334">
        <f>'Raw Orders'!A334</f>
        <v/>
      </c>
      <c r="B334">
        <f>'Raw Orders'!B334</f>
        <v/>
      </c>
      <c r="C334">
        <f>'Raw Orders'!C334</f>
        <v/>
      </c>
      <c r="D334" s="13">
        <f>'Raw Orders'!E334</f>
        <v/>
      </c>
      <c r="E334" s="14">
        <f>'Raw Orders'!F334</f>
        <v/>
      </c>
      <c r="F334" s="14">
        <f>'Raw Orders'!F334*0.5</f>
        <v/>
      </c>
      <c r="G334" s="12">
        <f>'Raw Orders'!H334</f>
        <v/>
      </c>
      <c r="H334" s="12">
        <f>'Raw Orders'!I334</f>
        <v/>
      </c>
      <c r="I334" s="13">
        <f>'Raw Orders'!K334</f>
        <v/>
      </c>
      <c r="J334" s="13">
        <f>IF('Raw Orders'!J334,"",(YEAR('Raw Orders'!I334)-YEAR('Raw Orders'!H334))*12+MONTH('Raw Orders'!I334)-MONTH('Raw Orders'!H334))</f>
        <v/>
      </c>
      <c r="K334">
        <f>IF('Raw Orders'!J334,"Cancelled",IF('Raw Orders'!K334&gt;=2,"Slipped","On plan"))</f>
        <v/>
      </c>
      <c r="L334" s="14">
        <f>IF(K334="On plan",0,F334)</f>
        <v/>
      </c>
    </row>
    <row r="335">
      <c r="A335">
        <f>'Raw Orders'!A335</f>
        <v/>
      </c>
      <c r="B335">
        <f>'Raw Orders'!B335</f>
        <v/>
      </c>
      <c r="C335">
        <f>'Raw Orders'!C335</f>
        <v/>
      </c>
      <c r="D335" s="13">
        <f>'Raw Orders'!E335</f>
        <v/>
      </c>
      <c r="E335" s="14">
        <f>'Raw Orders'!F335</f>
        <v/>
      </c>
      <c r="F335" s="14">
        <f>'Raw Orders'!F335*0.5</f>
        <v/>
      </c>
      <c r="G335" s="12">
        <f>'Raw Orders'!H335</f>
        <v/>
      </c>
      <c r="H335" s="12">
        <f>'Raw Orders'!I335</f>
        <v/>
      </c>
      <c r="I335" s="13">
        <f>'Raw Orders'!K335</f>
        <v/>
      </c>
      <c r="J335" s="13">
        <f>IF('Raw Orders'!J335,"",(YEAR('Raw Orders'!I335)-YEAR('Raw Orders'!H335))*12+MONTH('Raw Orders'!I335)-MONTH('Raw Orders'!H335))</f>
        <v/>
      </c>
      <c r="K335">
        <f>IF('Raw Orders'!J335,"Cancelled",IF('Raw Orders'!K335&gt;=2,"Slipped","On plan"))</f>
        <v/>
      </c>
      <c r="L335" s="14">
        <f>IF(K335="On plan",0,F335)</f>
        <v/>
      </c>
    </row>
    <row r="336">
      <c r="A336">
        <f>'Raw Orders'!A336</f>
        <v/>
      </c>
      <c r="B336">
        <f>'Raw Orders'!B336</f>
        <v/>
      </c>
      <c r="C336">
        <f>'Raw Orders'!C336</f>
        <v/>
      </c>
      <c r="D336" s="13">
        <f>'Raw Orders'!E336</f>
        <v/>
      </c>
      <c r="E336" s="14">
        <f>'Raw Orders'!F336</f>
        <v/>
      </c>
      <c r="F336" s="14">
        <f>'Raw Orders'!F336*0.5</f>
        <v/>
      </c>
      <c r="G336" s="12">
        <f>'Raw Orders'!H336</f>
        <v/>
      </c>
      <c r="H336" s="12">
        <f>'Raw Orders'!I336</f>
        <v/>
      </c>
      <c r="I336" s="13">
        <f>'Raw Orders'!K336</f>
        <v/>
      </c>
      <c r="J336" s="13">
        <f>IF('Raw Orders'!J336,"",(YEAR('Raw Orders'!I336)-YEAR('Raw Orders'!H336))*12+MONTH('Raw Orders'!I336)-MONTH('Raw Orders'!H336))</f>
        <v/>
      </c>
      <c r="K336">
        <f>IF('Raw Orders'!J336,"Cancelled",IF('Raw Orders'!K336&gt;=2,"Slipped","On plan"))</f>
        <v/>
      </c>
      <c r="L336" s="14">
        <f>IF(K336="On plan",0,F336)</f>
        <v/>
      </c>
    </row>
    <row r="337">
      <c r="A337">
        <f>'Raw Orders'!A337</f>
        <v/>
      </c>
      <c r="B337">
        <f>'Raw Orders'!B337</f>
        <v/>
      </c>
      <c r="C337">
        <f>'Raw Orders'!C337</f>
        <v/>
      </c>
      <c r="D337" s="13">
        <f>'Raw Orders'!E337</f>
        <v/>
      </c>
      <c r="E337" s="14">
        <f>'Raw Orders'!F337</f>
        <v/>
      </c>
      <c r="F337" s="14">
        <f>'Raw Orders'!F337*0.5</f>
        <v/>
      </c>
      <c r="G337" s="12">
        <f>'Raw Orders'!H337</f>
        <v/>
      </c>
      <c r="H337" s="12">
        <f>'Raw Orders'!I337</f>
        <v/>
      </c>
      <c r="I337" s="13">
        <f>'Raw Orders'!K337</f>
        <v/>
      </c>
      <c r="J337" s="13">
        <f>IF('Raw Orders'!J337,"",(YEAR('Raw Orders'!I337)-YEAR('Raw Orders'!H337))*12+MONTH('Raw Orders'!I337)-MONTH('Raw Orders'!H337))</f>
        <v/>
      </c>
      <c r="K337">
        <f>IF('Raw Orders'!J337,"Cancelled",IF('Raw Orders'!K337&gt;=2,"Slipped","On plan"))</f>
        <v/>
      </c>
      <c r="L337" s="14">
        <f>IF(K337="On plan",0,F337)</f>
        <v/>
      </c>
    </row>
    <row r="338">
      <c r="A338">
        <f>'Raw Orders'!A338</f>
        <v/>
      </c>
      <c r="B338">
        <f>'Raw Orders'!B338</f>
        <v/>
      </c>
      <c r="C338">
        <f>'Raw Orders'!C338</f>
        <v/>
      </c>
      <c r="D338" s="13">
        <f>'Raw Orders'!E338</f>
        <v/>
      </c>
      <c r="E338" s="14">
        <f>'Raw Orders'!F338</f>
        <v/>
      </c>
      <c r="F338" s="14">
        <f>'Raw Orders'!F338*0.5</f>
        <v/>
      </c>
      <c r="G338" s="12">
        <f>'Raw Orders'!H338</f>
        <v/>
      </c>
      <c r="H338" s="12">
        <f>'Raw Orders'!I338</f>
        <v/>
      </c>
      <c r="I338" s="13">
        <f>'Raw Orders'!K338</f>
        <v/>
      </c>
      <c r="J338" s="13">
        <f>IF('Raw Orders'!J338,"",(YEAR('Raw Orders'!I338)-YEAR('Raw Orders'!H338))*12+MONTH('Raw Orders'!I338)-MONTH('Raw Orders'!H338))</f>
        <v/>
      </c>
      <c r="K338">
        <f>IF('Raw Orders'!J338,"Cancelled",IF('Raw Orders'!K338&gt;=2,"Slipped","On plan"))</f>
        <v/>
      </c>
      <c r="L338" s="14">
        <f>IF(K338="On plan",0,F338)</f>
        <v/>
      </c>
    </row>
    <row r="339">
      <c r="A339">
        <f>'Raw Orders'!A339</f>
        <v/>
      </c>
      <c r="B339">
        <f>'Raw Orders'!B339</f>
        <v/>
      </c>
      <c r="C339">
        <f>'Raw Orders'!C339</f>
        <v/>
      </c>
      <c r="D339" s="13">
        <f>'Raw Orders'!E339</f>
        <v/>
      </c>
      <c r="E339" s="14">
        <f>'Raw Orders'!F339</f>
        <v/>
      </c>
      <c r="F339" s="14">
        <f>'Raw Orders'!F339*0.5</f>
        <v/>
      </c>
      <c r="G339" s="12">
        <f>'Raw Orders'!H339</f>
        <v/>
      </c>
      <c r="H339" s="12">
        <f>'Raw Orders'!I339</f>
        <v/>
      </c>
      <c r="I339" s="13">
        <f>'Raw Orders'!K339</f>
        <v/>
      </c>
      <c r="J339" s="13">
        <f>IF('Raw Orders'!J339,"",(YEAR('Raw Orders'!I339)-YEAR('Raw Orders'!H339))*12+MONTH('Raw Orders'!I339)-MONTH('Raw Orders'!H339))</f>
        <v/>
      </c>
      <c r="K339">
        <f>IF('Raw Orders'!J339,"Cancelled",IF('Raw Orders'!K339&gt;=2,"Slipped","On plan"))</f>
        <v/>
      </c>
      <c r="L339" s="14">
        <f>IF(K339="On plan",0,F339)</f>
        <v/>
      </c>
    </row>
    <row r="340">
      <c r="A340">
        <f>'Raw Orders'!A340</f>
        <v/>
      </c>
      <c r="B340">
        <f>'Raw Orders'!B340</f>
        <v/>
      </c>
      <c r="C340">
        <f>'Raw Orders'!C340</f>
        <v/>
      </c>
      <c r="D340" s="13">
        <f>'Raw Orders'!E340</f>
        <v/>
      </c>
      <c r="E340" s="14">
        <f>'Raw Orders'!F340</f>
        <v/>
      </c>
      <c r="F340" s="14">
        <f>'Raw Orders'!F340*0.5</f>
        <v/>
      </c>
      <c r="G340" s="12">
        <f>'Raw Orders'!H340</f>
        <v/>
      </c>
      <c r="H340" s="12">
        <f>'Raw Orders'!I340</f>
        <v/>
      </c>
      <c r="I340" s="13">
        <f>'Raw Orders'!K340</f>
        <v/>
      </c>
      <c r="J340" s="13">
        <f>IF('Raw Orders'!J340,"",(YEAR('Raw Orders'!I340)-YEAR('Raw Orders'!H340))*12+MONTH('Raw Orders'!I340)-MONTH('Raw Orders'!H340))</f>
        <v/>
      </c>
      <c r="K340">
        <f>IF('Raw Orders'!J340,"Cancelled",IF('Raw Orders'!K340&gt;=2,"Slipped","On plan"))</f>
        <v/>
      </c>
      <c r="L340" s="14">
        <f>IF(K340="On plan",0,F340)</f>
        <v/>
      </c>
    </row>
    <row r="341">
      <c r="A341">
        <f>'Raw Orders'!A341</f>
        <v/>
      </c>
      <c r="B341">
        <f>'Raw Orders'!B341</f>
        <v/>
      </c>
      <c r="C341">
        <f>'Raw Orders'!C341</f>
        <v/>
      </c>
      <c r="D341" s="13">
        <f>'Raw Orders'!E341</f>
        <v/>
      </c>
      <c r="E341" s="14">
        <f>'Raw Orders'!F341</f>
        <v/>
      </c>
      <c r="F341" s="14">
        <f>'Raw Orders'!F341*0.5</f>
        <v/>
      </c>
      <c r="G341" s="12">
        <f>'Raw Orders'!H341</f>
        <v/>
      </c>
      <c r="H341" s="12">
        <f>'Raw Orders'!I341</f>
        <v/>
      </c>
      <c r="I341" s="13">
        <f>'Raw Orders'!K341</f>
        <v/>
      </c>
      <c r="J341" s="13">
        <f>IF('Raw Orders'!J341,"",(YEAR('Raw Orders'!I341)-YEAR('Raw Orders'!H341))*12+MONTH('Raw Orders'!I341)-MONTH('Raw Orders'!H341))</f>
        <v/>
      </c>
      <c r="K341">
        <f>IF('Raw Orders'!J341,"Cancelled",IF('Raw Orders'!K341&gt;=2,"Slipped","On plan"))</f>
        <v/>
      </c>
      <c r="L341" s="14">
        <f>IF(K341="On plan",0,F341)</f>
        <v/>
      </c>
    </row>
    <row r="342">
      <c r="A342">
        <f>'Raw Orders'!A342</f>
        <v/>
      </c>
      <c r="B342">
        <f>'Raw Orders'!B342</f>
        <v/>
      </c>
      <c r="C342">
        <f>'Raw Orders'!C342</f>
        <v/>
      </c>
      <c r="D342" s="13">
        <f>'Raw Orders'!E342</f>
        <v/>
      </c>
      <c r="E342" s="14">
        <f>'Raw Orders'!F342</f>
        <v/>
      </c>
      <c r="F342" s="14">
        <f>'Raw Orders'!F342*0.5</f>
        <v/>
      </c>
      <c r="G342" s="12">
        <f>'Raw Orders'!H342</f>
        <v/>
      </c>
      <c r="H342" s="12">
        <f>'Raw Orders'!I342</f>
        <v/>
      </c>
      <c r="I342" s="13">
        <f>'Raw Orders'!K342</f>
        <v/>
      </c>
      <c r="J342" s="13">
        <f>IF('Raw Orders'!J342,"",(YEAR('Raw Orders'!I342)-YEAR('Raw Orders'!H342))*12+MONTH('Raw Orders'!I342)-MONTH('Raw Orders'!H342))</f>
        <v/>
      </c>
      <c r="K342">
        <f>IF('Raw Orders'!J342,"Cancelled",IF('Raw Orders'!K342&gt;=2,"Slipped","On plan"))</f>
        <v/>
      </c>
      <c r="L342" s="14">
        <f>IF(K342="On plan",0,F342)</f>
        <v/>
      </c>
    </row>
    <row r="343">
      <c r="A343">
        <f>'Raw Orders'!A343</f>
        <v/>
      </c>
      <c r="B343">
        <f>'Raw Orders'!B343</f>
        <v/>
      </c>
      <c r="C343">
        <f>'Raw Orders'!C343</f>
        <v/>
      </c>
      <c r="D343" s="13">
        <f>'Raw Orders'!E343</f>
        <v/>
      </c>
      <c r="E343" s="14">
        <f>'Raw Orders'!F343</f>
        <v/>
      </c>
      <c r="F343" s="14">
        <f>'Raw Orders'!F343*0.5</f>
        <v/>
      </c>
      <c r="G343" s="12">
        <f>'Raw Orders'!H343</f>
        <v/>
      </c>
      <c r="H343" s="12">
        <f>'Raw Orders'!I343</f>
        <v/>
      </c>
      <c r="I343" s="13">
        <f>'Raw Orders'!K343</f>
        <v/>
      </c>
      <c r="J343" s="13">
        <f>IF('Raw Orders'!J343,"",(YEAR('Raw Orders'!I343)-YEAR('Raw Orders'!H343))*12+MONTH('Raw Orders'!I343)-MONTH('Raw Orders'!H343))</f>
        <v/>
      </c>
      <c r="K343">
        <f>IF('Raw Orders'!J343,"Cancelled",IF('Raw Orders'!K343&gt;=2,"Slipped","On plan"))</f>
        <v/>
      </c>
      <c r="L343" s="14">
        <f>IF(K343="On plan",0,F343)</f>
        <v/>
      </c>
    </row>
    <row r="344">
      <c r="A344">
        <f>'Raw Orders'!A344</f>
        <v/>
      </c>
      <c r="B344">
        <f>'Raw Orders'!B344</f>
        <v/>
      </c>
      <c r="C344">
        <f>'Raw Orders'!C344</f>
        <v/>
      </c>
      <c r="D344" s="13">
        <f>'Raw Orders'!E344</f>
        <v/>
      </c>
      <c r="E344" s="14">
        <f>'Raw Orders'!F344</f>
        <v/>
      </c>
      <c r="F344" s="14">
        <f>'Raw Orders'!F344*0.5</f>
        <v/>
      </c>
      <c r="G344" s="12">
        <f>'Raw Orders'!H344</f>
        <v/>
      </c>
      <c r="H344" s="12">
        <f>'Raw Orders'!I344</f>
        <v/>
      </c>
      <c r="I344" s="13">
        <f>'Raw Orders'!K344</f>
        <v/>
      </c>
      <c r="J344" s="13">
        <f>IF('Raw Orders'!J344,"",(YEAR('Raw Orders'!I344)-YEAR('Raw Orders'!H344))*12+MONTH('Raw Orders'!I344)-MONTH('Raw Orders'!H344))</f>
        <v/>
      </c>
      <c r="K344">
        <f>IF('Raw Orders'!J344,"Cancelled",IF('Raw Orders'!K344&gt;=2,"Slipped","On plan"))</f>
        <v/>
      </c>
      <c r="L344" s="14">
        <f>IF(K344="On plan",0,F344)</f>
        <v/>
      </c>
    </row>
    <row r="345">
      <c r="A345">
        <f>'Raw Orders'!A345</f>
        <v/>
      </c>
      <c r="B345">
        <f>'Raw Orders'!B345</f>
        <v/>
      </c>
      <c r="C345">
        <f>'Raw Orders'!C345</f>
        <v/>
      </c>
      <c r="D345" s="13">
        <f>'Raw Orders'!E345</f>
        <v/>
      </c>
      <c r="E345" s="14">
        <f>'Raw Orders'!F345</f>
        <v/>
      </c>
      <c r="F345" s="14">
        <f>'Raw Orders'!F345*0.5</f>
        <v/>
      </c>
      <c r="G345" s="12">
        <f>'Raw Orders'!H345</f>
        <v/>
      </c>
      <c r="H345" s="12">
        <f>'Raw Orders'!I345</f>
        <v/>
      </c>
      <c r="I345" s="13">
        <f>'Raw Orders'!K345</f>
        <v/>
      </c>
      <c r="J345" s="13">
        <f>IF('Raw Orders'!J345,"",(YEAR('Raw Orders'!I345)-YEAR('Raw Orders'!H345))*12+MONTH('Raw Orders'!I345)-MONTH('Raw Orders'!H345))</f>
        <v/>
      </c>
      <c r="K345">
        <f>IF('Raw Orders'!J345,"Cancelled",IF('Raw Orders'!K345&gt;=2,"Slipped","On plan"))</f>
        <v/>
      </c>
      <c r="L345" s="14">
        <f>IF(K345="On plan",0,F345)</f>
        <v/>
      </c>
    </row>
    <row r="346">
      <c r="A346">
        <f>'Raw Orders'!A346</f>
        <v/>
      </c>
      <c r="B346">
        <f>'Raw Orders'!B346</f>
        <v/>
      </c>
      <c r="C346">
        <f>'Raw Orders'!C346</f>
        <v/>
      </c>
      <c r="D346" s="13">
        <f>'Raw Orders'!E346</f>
        <v/>
      </c>
      <c r="E346" s="14">
        <f>'Raw Orders'!F346</f>
        <v/>
      </c>
      <c r="F346" s="14">
        <f>'Raw Orders'!F346*0.5</f>
        <v/>
      </c>
      <c r="G346" s="12">
        <f>'Raw Orders'!H346</f>
        <v/>
      </c>
      <c r="H346" s="12">
        <f>'Raw Orders'!I346</f>
        <v/>
      </c>
      <c r="I346" s="13">
        <f>'Raw Orders'!K346</f>
        <v/>
      </c>
      <c r="J346" s="13">
        <f>IF('Raw Orders'!J346,"",(YEAR('Raw Orders'!I346)-YEAR('Raw Orders'!H346))*12+MONTH('Raw Orders'!I346)-MONTH('Raw Orders'!H346))</f>
        <v/>
      </c>
      <c r="K346">
        <f>IF('Raw Orders'!J346,"Cancelled",IF('Raw Orders'!K346&gt;=2,"Slipped","On plan"))</f>
        <v/>
      </c>
      <c r="L346" s="14">
        <f>IF(K346="On plan",0,F346)</f>
        <v/>
      </c>
    </row>
    <row r="347">
      <c r="A347">
        <f>'Raw Orders'!A347</f>
        <v/>
      </c>
      <c r="B347">
        <f>'Raw Orders'!B347</f>
        <v/>
      </c>
      <c r="C347">
        <f>'Raw Orders'!C347</f>
        <v/>
      </c>
      <c r="D347" s="13">
        <f>'Raw Orders'!E347</f>
        <v/>
      </c>
      <c r="E347" s="14">
        <f>'Raw Orders'!F347</f>
        <v/>
      </c>
      <c r="F347" s="14">
        <f>'Raw Orders'!F347*0.5</f>
        <v/>
      </c>
      <c r="G347" s="12">
        <f>'Raw Orders'!H347</f>
        <v/>
      </c>
      <c r="H347" s="12">
        <f>'Raw Orders'!I347</f>
        <v/>
      </c>
      <c r="I347" s="13">
        <f>'Raw Orders'!K347</f>
        <v/>
      </c>
      <c r="J347" s="13">
        <f>IF('Raw Orders'!J347,"",(YEAR('Raw Orders'!I347)-YEAR('Raw Orders'!H347))*12+MONTH('Raw Orders'!I347)-MONTH('Raw Orders'!H347))</f>
        <v/>
      </c>
      <c r="K347">
        <f>IF('Raw Orders'!J347,"Cancelled",IF('Raw Orders'!K347&gt;=2,"Slipped","On plan"))</f>
        <v/>
      </c>
      <c r="L347" s="14">
        <f>IF(K347="On plan",0,F347)</f>
        <v/>
      </c>
    </row>
    <row r="348">
      <c r="A348">
        <f>'Raw Orders'!A348</f>
        <v/>
      </c>
      <c r="B348">
        <f>'Raw Orders'!B348</f>
        <v/>
      </c>
      <c r="C348">
        <f>'Raw Orders'!C348</f>
        <v/>
      </c>
      <c r="D348" s="13">
        <f>'Raw Orders'!E348</f>
        <v/>
      </c>
      <c r="E348" s="14">
        <f>'Raw Orders'!F348</f>
        <v/>
      </c>
      <c r="F348" s="14">
        <f>'Raw Orders'!F348*0.5</f>
        <v/>
      </c>
      <c r="G348" s="12">
        <f>'Raw Orders'!H348</f>
        <v/>
      </c>
      <c r="H348" s="12">
        <f>'Raw Orders'!I348</f>
        <v/>
      </c>
      <c r="I348" s="13">
        <f>'Raw Orders'!K348</f>
        <v/>
      </c>
      <c r="J348" s="13">
        <f>IF('Raw Orders'!J348,"",(YEAR('Raw Orders'!I348)-YEAR('Raw Orders'!H348))*12+MONTH('Raw Orders'!I348)-MONTH('Raw Orders'!H348))</f>
        <v/>
      </c>
      <c r="K348">
        <f>IF('Raw Orders'!J348,"Cancelled",IF('Raw Orders'!K348&gt;=2,"Slipped","On plan"))</f>
        <v/>
      </c>
      <c r="L348" s="14">
        <f>IF(K348="On plan",0,F348)</f>
        <v/>
      </c>
    </row>
    <row r="349">
      <c r="A349">
        <f>'Raw Orders'!A349</f>
        <v/>
      </c>
      <c r="B349">
        <f>'Raw Orders'!B349</f>
        <v/>
      </c>
      <c r="C349">
        <f>'Raw Orders'!C349</f>
        <v/>
      </c>
      <c r="D349" s="13">
        <f>'Raw Orders'!E349</f>
        <v/>
      </c>
      <c r="E349" s="14">
        <f>'Raw Orders'!F349</f>
        <v/>
      </c>
      <c r="F349" s="14">
        <f>'Raw Orders'!F349*0.5</f>
        <v/>
      </c>
      <c r="G349" s="12">
        <f>'Raw Orders'!H349</f>
        <v/>
      </c>
      <c r="H349" s="12">
        <f>'Raw Orders'!I349</f>
        <v/>
      </c>
      <c r="I349" s="13">
        <f>'Raw Orders'!K349</f>
        <v/>
      </c>
      <c r="J349" s="13">
        <f>IF('Raw Orders'!J349,"",(YEAR('Raw Orders'!I349)-YEAR('Raw Orders'!H349))*12+MONTH('Raw Orders'!I349)-MONTH('Raw Orders'!H349))</f>
        <v/>
      </c>
      <c r="K349">
        <f>IF('Raw Orders'!J349,"Cancelled",IF('Raw Orders'!K349&gt;=2,"Slipped","On plan"))</f>
        <v/>
      </c>
      <c r="L349" s="14">
        <f>IF(K349="On plan",0,F349)</f>
        <v/>
      </c>
    </row>
    <row r="350">
      <c r="A350">
        <f>'Raw Orders'!A350</f>
        <v/>
      </c>
      <c r="B350">
        <f>'Raw Orders'!B350</f>
        <v/>
      </c>
      <c r="C350">
        <f>'Raw Orders'!C350</f>
        <v/>
      </c>
      <c r="D350" s="13">
        <f>'Raw Orders'!E350</f>
        <v/>
      </c>
      <c r="E350" s="14">
        <f>'Raw Orders'!F350</f>
        <v/>
      </c>
      <c r="F350" s="14">
        <f>'Raw Orders'!F350*0.5</f>
        <v/>
      </c>
      <c r="G350" s="12">
        <f>'Raw Orders'!H350</f>
        <v/>
      </c>
      <c r="H350" s="12">
        <f>'Raw Orders'!I350</f>
        <v/>
      </c>
      <c r="I350" s="13">
        <f>'Raw Orders'!K350</f>
        <v/>
      </c>
      <c r="J350" s="13">
        <f>IF('Raw Orders'!J350,"",(YEAR('Raw Orders'!I350)-YEAR('Raw Orders'!H350))*12+MONTH('Raw Orders'!I350)-MONTH('Raw Orders'!H350))</f>
        <v/>
      </c>
      <c r="K350">
        <f>IF('Raw Orders'!J350,"Cancelled",IF('Raw Orders'!K350&gt;=2,"Slipped","On plan"))</f>
        <v/>
      </c>
      <c r="L350" s="14">
        <f>IF(K350="On plan",0,F350)</f>
        <v/>
      </c>
    </row>
    <row r="351">
      <c r="A351">
        <f>'Raw Orders'!A351</f>
        <v/>
      </c>
      <c r="B351">
        <f>'Raw Orders'!B351</f>
        <v/>
      </c>
      <c r="C351">
        <f>'Raw Orders'!C351</f>
        <v/>
      </c>
      <c r="D351" s="13">
        <f>'Raw Orders'!E351</f>
        <v/>
      </c>
      <c r="E351" s="14">
        <f>'Raw Orders'!F351</f>
        <v/>
      </c>
      <c r="F351" s="14">
        <f>'Raw Orders'!F351*0.5</f>
        <v/>
      </c>
      <c r="G351" s="12">
        <f>'Raw Orders'!H351</f>
        <v/>
      </c>
      <c r="H351" s="12">
        <f>'Raw Orders'!I351</f>
        <v/>
      </c>
      <c r="I351" s="13">
        <f>'Raw Orders'!K351</f>
        <v/>
      </c>
      <c r="J351" s="13">
        <f>IF('Raw Orders'!J351,"",(YEAR('Raw Orders'!I351)-YEAR('Raw Orders'!H351))*12+MONTH('Raw Orders'!I351)-MONTH('Raw Orders'!H351))</f>
        <v/>
      </c>
      <c r="K351">
        <f>IF('Raw Orders'!J351,"Cancelled",IF('Raw Orders'!K351&gt;=2,"Slipped","On plan"))</f>
        <v/>
      </c>
      <c r="L351" s="14">
        <f>IF(K351="On plan",0,F351)</f>
        <v/>
      </c>
    </row>
    <row r="352">
      <c r="A352">
        <f>'Raw Orders'!A352</f>
        <v/>
      </c>
      <c r="B352">
        <f>'Raw Orders'!B352</f>
        <v/>
      </c>
      <c r="C352">
        <f>'Raw Orders'!C352</f>
        <v/>
      </c>
      <c r="D352" s="13">
        <f>'Raw Orders'!E352</f>
        <v/>
      </c>
      <c r="E352" s="14">
        <f>'Raw Orders'!F352</f>
        <v/>
      </c>
      <c r="F352" s="14">
        <f>'Raw Orders'!F352*0.5</f>
        <v/>
      </c>
      <c r="G352" s="12">
        <f>'Raw Orders'!H352</f>
        <v/>
      </c>
      <c r="H352" s="12">
        <f>'Raw Orders'!I352</f>
        <v/>
      </c>
      <c r="I352" s="13">
        <f>'Raw Orders'!K352</f>
        <v/>
      </c>
      <c r="J352" s="13">
        <f>IF('Raw Orders'!J352,"",(YEAR('Raw Orders'!I352)-YEAR('Raw Orders'!H352))*12+MONTH('Raw Orders'!I352)-MONTH('Raw Orders'!H352))</f>
        <v/>
      </c>
      <c r="K352">
        <f>IF('Raw Orders'!J352,"Cancelled",IF('Raw Orders'!K352&gt;=2,"Slipped","On plan"))</f>
        <v/>
      </c>
      <c r="L352" s="14">
        <f>IF(K352="On plan",0,F352)</f>
        <v/>
      </c>
    </row>
    <row r="353">
      <c r="A353">
        <f>'Raw Orders'!A353</f>
        <v/>
      </c>
      <c r="B353">
        <f>'Raw Orders'!B353</f>
        <v/>
      </c>
      <c r="C353">
        <f>'Raw Orders'!C353</f>
        <v/>
      </c>
      <c r="D353" s="13">
        <f>'Raw Orders'!E353</f>
        <v/>
      </c>
      <c r="E353" s="14">
        <f>'Raw Orders'!F353</f>
        <v/>
      </c>
      <c r="F353" s="14">
        <f>'Raw Orders'!F353*0.5</f>
        <v/>
      </c>
      <c r="G353" s="12">
        <f>'Raw Orders'!H353</f>
        <v/>
      </c>
      <c r="H353" s="12">
        <f>'Raw Orders'!I353</f>
        <v/>
      </c>
      <c r="I353" s="13">
        <f>'Raw Orders'!K353</f>
        <v/>
      </c>
      <c r="J353" s="13">
        <f>IF('Raw Orders'!J353,"",(YEAR('Raw Orders'!I353)-YEAR('Raw Orders'!H353))*12+MONTH('Raw Orders'!I353)-MONTH('Raw Orders'!H353))</f>
        <v/>
      </c>
      <c r="K353">
        <f>IF('Raw Orders'!J353,"Cancelled",IF('Raw Orders'!K353&gt;=2,"Slipped","On plan"))</f>
        <v/>
      </c>
      <c r="L353" s="14">
        <f>IF(K353="On plan",0,F353)</f>
        <v/>
      </c>
    </row>
    <row r="354">
      <c r="A354">
        <f>'Raw Orders'!A354</f>
        <v/>
      </c>
      <c r="B354">
        <f>'Raw Orders'!B354</f>
        <v/>
      </c>
      <c r="C354">
        <f>'Raw Orders'!C354</f>
        <v/>
      </c>
      <c r="D354" s="13">
        <f>'Raw Orders'!E354</f>
        <v/>
      </c>
      <c r="E354" s="14">
        <f>'Raw Orders'!F354</f>
        <v/>
      </c>
      <c r="F354" s="14">
        <f>'Raw Orders'!F354*0.5</f>
        <v/>
      </c>
      <c r="G354" s="12">
        <f>'Raw Orders'!H354</f>
        <v/>
      </c>
      <c r="H354" s="12">
        <f>'Raw Orders'!I354</f>
        <v/>
      </c>
      <c r="I354" s="13">
        <f>'Raw Orders'!K354</f>
        <v/>
      </c>
      <c r="J354" s="13">
        <f>IF('Raw Orders'!J354,"",(YEAR('Raw Orders'!I354)-YEAR('Raw Orders'!H354))*12+MONTH('Raw Orders'!I354)-MONTH('Raw Orders'!H354))</f>
        <v/>
      </c>
      <c r="K354">
        <f>IF('Raw Orders'!J354,"Cancelled",IF('Raw Orders'!K354&gt;=2,"Slipped","On plan"))</f>
        <v/>
      </c>
      <c r="L354" s="14">
        <f>IF(K354="On plan",0,F354)</f>
        <v/>
      </c>
    </row>
    <row r="355">
      <c r="A355">
        <f>'Raw Orders'!A355</f>
        <v/>
      </c>
      <c r="B355">
        <f>'Raw Orders'!B355</f>
        <v/>
      </c>
      <c r="C355">
        <f>'Raw Orders'!C355</f>
        <v/>
      </c>
      <c r="D355" s="13">
        <f>'Raw Orders'!E355</f>
        <v/>
      </c>
      <c r="E355" s="14">
        <f>'Raw Orders'!F355</f>
        <v/>
      </c>
      <c r="F355" s="14">
        <f>'Raw Orders'!F355*0.5</f>
        <v/>
      </c>
      <c r="G355" s="12">
        <f>'Raw Orders'!H355</f>
        <v/>
      </c>
      <c r="H355" s="12">
        <f>'Raw Orders'!I355</f>
        <v/>
      </c>
      <c r="I355" s="13">
        <f>'Raw Orders'!K355</f>
        <v/>
      </c>
      <c r="J355" s="13">
        <f>IF('Raw Orders'!J355,"",(YEAR('Raw Orders'!I355)-YEAR('Raw Orders'!H355))*12+MONTH('Raw Orders'!I355)-MONTH('Raw Orders'!H355))</f>
        <v/>
      </c>
      <c r="K355">
        <f>IF('Raw Orders'!J355,"Cancelled",IF('Raw Orders'!K355&gt;=2,"Slipped","On plan"))</f>
        <v/>
      </c>
      <c r="L355" s="14">
        <f>IF(K355="On plan",0,F355)</f>
        <v/>
      </c>
    </row>
    <row r="356">
      <c r="A356">
        <f>'Raw Orders'!A356</f>
        <v/>
      </c>
      <c r="B356">
        <f>'Raw Orders'!B356</f>
        <v/>
      </c>
      <c r="C356">
        <f>'Raw Orders'!C356</f>
        <v/>
      </c>
      <c r="D356" s="13">
        <f>'Raw Orders'!E356</f>
        <v/>
      </c>
      <c r="E356" s="14">
        <f>'Raw Orders'!F356</f>
        <v/>
      </c>
      <c r="F356" s="14">
        <f>'Raw Orders'!F356*0.5</f>
        <v/>
      </c>
      <c r="G356" s="12">
        <f>'Raw Orders'!H356</f>
        <v/>
      </c>
      <c r="H356" s="12">
        <f>'Raw Orders'!I356</f>
        <v/>
      </c>
      <c r="I356" s="13">
        <f>'Raw Orders'!K356</f>
        <v/>
      </c>
      <c r="J356" s="13">
        <f>IF('Raw Orders'!J356,"",(YEAR('Raw Orders'!I356)-YEAR('Raw Orders'!H356))*12+MONTH('Raw Orders'!I356)-MONTH('Raw Orders'!H356))</f>
        <v/>
      </c>
      <c r="K356">
        <f>IF('Raw Orders'!J356,"Cancelled",IF('Raw Orders'!K356&gt;=2,"Slipped","On plan"))</f>
        <v/>
      </c>
      <c r="L356" s="14">
        <f>IF(K356="On plan",0,F356)</f>
        <v/>
      </c>
    </row>
    <row r="357">
      <c r="A357">
        <f>'Raw Orders'!A357</f>
        <v/>
      </c>
      <c r="B357">
        <f>'Raw Orders'!B357</f>
        <v/>
      </c>
      <c r="C357">
        <f>'Raw Orders'!C357</f>
        <v/>
      </c>
      <c r="D357" s="13">
        <f>'Raw Orders'!E357</f>
        <v/>
      </c>
      <c r="E357" s="14">
        <f>'Raw Orders'!F357</f>
        <v/>
      </c>
      <c r="F357" s="14">
        <f>'Raw Orders'!F357*0.5</f>
        <v/>
      </c>
      <c r="G357" s="12">
        <f>'Raw Orders'!H357</f>
        <v/>
      </c>
      <c r="H357" s="12">
        <f>'Raw Orders'!I357</f>
        <v/>
      </c>
      <c r="I357" s="13">
        <f>'Raw Orders'!K357</f>
        <v/>
      </c>
      <c r="J357" s="13">
        <f>IF('Raw Orders'!J357,"",(YEAR('Raw Orders'!I357)-YEAR('Raw Orders'!H357))*12+MONTH('Raw Orders'!I357)-MONTH('Raw Orders'!H357))</f>
        <v/>
      </c>
      <c r="K357">
        <f>IF('Raw Orders'!J357,"Cancelled",IF('Raw Orders'!K357&gt;=2,"Slipped","On plan"))</f>
        <v/>
      </c>
      <c r="L357" s="14">
        <f>IF(K357="On plan",0,F357)</f>
        <v/>
      </c>
    </row>
    <row r="358">
      <c r="A358">
        <f>'Raw Orders'!A358</f>
        <v/>
      </c>
      <c r="B358">
        <f>'Raw Orders'!B358</f>
        <v/>
      </c>
      <c r="C358">
        <f>'Raw Orders'!C358</f>
        <v/>
      </c>
      <c r="D358" s="13">
        <f>'Raw Orders'!E358</f>
        <v/>
      </c>
      <c r="E358" s="14">
        <f>'Raw Orders'!F358</f>
        <v/>
      </c>
      <c r="F358" s="14">
        <f>'Raw Orders'!F358*0.5</f>
        <v/>
      </c>
      <c r="G358" s="12">
        <f>'Raw Orders'!H358</f>
        <v/>
      </c>
      <c r="H358" s="12">
        <f>'Raw Orders'!I358</f>
        <v/>
      </c>
      <c r="I358" s="13">
        <f>'Raw Orders'!K358</f>
        <v/>
      </c>
      <c r="J358" s="13">
        <f>IF('Raw Orders'!J358,"",(YEAR('Raw Orders'!I358)-YEAR('Raw Orders'!H358))*12+MONTH('Raw Orders'!I358)-MONTH('Raw Orders'!H358))</f>
        <v/>
      </c>
      <c r="K358">
        <f>IF('Raw Orders'!J358,"Cancelled",IF('Raw Orders'!K358&gt;=2,"Slipped","On plan"))</f>
        <v/>
      </c>
      <c r="L358" s="14">
        <f>IF(K358="On plan",0,F358)</f>
        <v/>
      </c>
    </row>
    <row r="359">
      <c r="A359">
        <f>'Raw Orders'!A359</f>
        <v/>
      </c>
      <c r="B359">
        <f>'Raw Orders'!B359</f>
        <v/>
      </c>
      <c r="C359">
        <f>'Raw Orders'!C359</f>
        <v/>
      </c>
      <c r="D359" s="13">
        <f>'Raw Orders'!E359</f>
        <v/>
      </c>
      <c r="E359" s="14">
        <f>'Raw Orders'!F359</f>
        <v/>
      </c>
      <c r="F359" s="14">
        <f>'Raw Orders'!F359*0.5</f>
        <v/>
      </c>
      <c r="G359" s="12">
        <f>'Raw Orders'!H359</f>
        <v/>
      </c>
      <c r="H359" s="12">
        <f>'Raw Orders'!I359</f>
        <v/>
      </c>
      <c r="I359" s="13">
        <f>'Raw Orders'!K359</f>
        <v/>
      </c>
      <c r="J359" s="13">
        <f>IF('Raw Orders'!J359,"",(YEAR('Raw Orders'!I359)-YEAR('Raw Orders'!H359))*12+MONTH('Raw Orders'!I359)-MONTH('Raw Orders'!H359))</f>
        <v/>
      </c>
      <c r="K359">
        <f>IF('Raw Orders'!J359,"Cancelled",IF('Raw Orders'!K359&gt;=2,"Slipped","On plan"))</f>
        <v/>
      </c>
      <c r="L359" s="14">
        <f>IF(K359="On plan",0,F359)</f>
        <v/>
      </c>
    </row>
    <row r="360">
      <c r="A360">
        <f>'Raw Orders'!A360</f>
        <v/>
      </c>
      <c r="B360">
        <f>'Raw Orders'!B360</f>
        <v/>
      </c>
      <c r="C360">
        <f>'Raw Orders'!C360</f>
        <v/>
      </c>
      <c r="D360" s="13">
        <f>'Raw Orders'!E360</f>
        <v/>
      </c>
      <c r="E360" s="14">
        <f>'Raw Orders'!F360</f>
        <v/>
      </c>
      <c r="F360" s="14">
        <f>'Raw Orders'!F360*0.5</f>
        <v/>
      </c>
      <c r="G360" s="12">
        <f>'Raw Orders'!H360</f>
        <v/>
      </c>
      <c r="H360" s="12">
        <f>'Raw Orders'!I360</f>
        <v/>
      </c>
      <c r="I360" s="13">
        <f>'Raw Orders'!K360</f>
        <v/>
      </c>
      <c r="J360" s="13">
        <f>IF('Raw Orders'!J360,"",(YEAR('Raw Orders'!I360)-YEAR('Raw Orders'!H360))*12+MONTH('Raw Orders'!I360)-MONTH('Raw Orders'!H360))</f>
        <v/>
      </c>
      <c r="K360">
        <f>IF('Raw Orders'!J360,"Cancelled",IF('Raw Orders'!K360&gt;=2,"Slipped","On plan"))</f>
        <v/>
      </c>
      <c r="L360" s="14">
        <f>IF(K360="On plan",0,F360)</f>
        <v/>
      </c>
    </row>
    <row r="361">
      <c r="A361">
        <f>'Raw Orders'!A361</f>
        <v/>
      </c>
      <c r="B361">
        <f>'Raw Orders'!B361</f>
        <v/>
      </c>
      <c r="C361">
        <f>'Raw Orders'!C361</f>
        <v/>
      </c>
      <c r="D361" s="13">
        <f>'Raw Orders'!E361</f>
        <v/>
      </c>
      <c r="E361" s="14">
        <f>'Raw Orders'!F361</f>
        <v/>
      </c>
      <c r="F361" s="14">
        <f>'Raw Orders'!F361*0.5</f>
        <v/>
      </c>
      <c r="G361" s="12">
        <f>'Raw Orders'!H361</f>
        <v/>
      </c>
      <c r="H361" s="12">
        <f>'Raw Orders'!I361</f>
        <v/>
      </c>
      <c r="I361" s="13">
        <f>'Raw Orders'!K361</f>
        <v/>
      </c>
      <c r="J361" s="13">
        <f>IF('Raw Orders'!J361,"",(YEAR('Raw Orders'!I361)-YEAR('Raw Orders'!H361))*12+MONTH('Raw Orders'!I361)-MONTH('Raw Orders'!H361))</f>
        <v/>
      </c>
      <c r="K361">
        <f>IF('Raw Orders'!J361,"Cancelled",IF('Raw Orders'!K361&gt;=2,"Slipped","On plan"))</f>
        <v/>
      </c>
      <c r="L361" s="14">
        <f>IF(K361="On plan",0,F361)</f>
        <v/>
      </c>
    </row>
    <row r="362">
      <c r="A362">
        <f>'Raw Orders'!A362</f>
        <v/>
      </c>
      <c r="B362">
        <f>'Raw Orders'!B362</f>
        <v/>
      </c>
      <c r="C362">
        <f>'Raw Orders'!C362</f>
        <v/>
      </c>
      <c r="D362" s="13">
        <f>'Raw Orders'!E362</f>
        <v/>
      </c>
      <c r="E362" s="14">
        <f>'Raw Orders'!F362</f>
        <v/>
      </c>
      <c r="F362" s="14">
        <f>'Raw Orders'!F362*0.5</f>
        <v/>
      </c>
      <c r="G362" s="12">
        <f>'Raw Orders'!H362</f>
        <v/>
      </c>
      <c r="H362" s="12">
        <f>'Raw Orders'!I362</f>
        <v/>
      </c>
      <c r="I362" s="13">
        <f>'Raw Orders'!K362</f>
        <v/>
      </c>
      <c r="J362" s="13">
        <f>IF('Raw Orders'!J362,"",(YEAR('Raw Orders'!I362)-YEAR('Raw Orders'!H362))*12+MONTH('Raw Orders'!I362)-MONTH('Raw Orders'!H362))</f>
        <v/>
      </c>
      <c r="K362">
        <f>IF('Raw Orders'!J362,"Cancelled",IF('Raw Orders'!K362&gt;=2,"Slipped","On plan"))</f>
        <v/>
      </c>
      <c r="L362" s="14">
        <f>IF(K362="On plan",0,F362)</f>
        <v/>
      </c>
    </row>
    <row r="363">
      <c r="A363">
        <f>'Raw Orders'!A363</f>
        <v/>
      </c>
      <c r="B363">
        <f>'Raw Orders'!B363</f>
        <v/>
      </c>
      <c r="C363">
        <f>'Raw Orders'!C363</f>
        <v/>
      </c>
      <c r="D363" s="13">
        <f>'Raw Orders'!E363</f>
        <v/>
      </c>
      <c r="E363" s="14">
        <f>'Raw Orders'!F363</f>
        <v/>
      </c>
      <c r="F363" s="14">
        <f>'Raw Orders'!F363*0.5</f>
        <v/>
      </c>
      <c r="G363" s="12">
        <f>'Raw Orders'!H363</f>
        <v/>
      </c>
      <c r="H363" s="12">
        <f>'Raw Orders'!I363</f>
        <v/>
      </c>
      <c r="I363" s="13">
        <f>'Raw Orders'!K363</f>
        <v/>
      </c>
      <c r="J363" s="13">
        <f>IF('Raw Orders'!J363,"",(YEAR('Raw Orders'!I363)-YEAR('Raw Orders'!H363))*12+MONTH('Raw Orders'!I363)-MONTH('Raw Orders'!H363))</f>
        <v/>
      </c>
      <c r="K363">
        <f>IF('Raw Orders'!J363,"Cancelled",IF('Raw Orders'!K363&gt;=2,"Slipped","On plan"))</f>
        <v/>
      </c>
      <c r="L363" s="14">
        <f>IF(K363="On plan",0,F363)</f>
        <v/>
      </c>
    </row>
    <row r="364">
      <c r="A364">
        <f>'Raw Orders'!A364</f>
        <v/>
      </c>
      <c r="B364">
        <f>'Raw Orders'!B364</f>
        <v/>
      </c>
      <c r="C364">
        <f>'Raw Orders'!C364</f>
        <v/>
      </c>
      <c r="D364" s="13">
        <f>'Raw Orders'!E364</f>
        <v/>
      </c>
      <c r="E364" s="14">
        <f>'Raw Orders'!F364</f>
        <v/>
      </c>
      <c r="F364" s="14">
        <f>'Raw Orders'!F364*0.5</f>
        <v/>
      </c>
      <c r="G364" s="12">
        <f>'Raw Orders'!H364</f>
        <v/>
      </c>
      <c r="H364" s="12">
        <f>'Raw Orders'!I364</f>
        <v/>
      </c>
      <c r="I364" s="13">
        <f>'Raw Orders'!K364</f>
        <v/>
      </c>
      <c r="J364" s="13">
        <f>IF('Raw Orders'!J364,"",(YEAR('Raw Orders'!I364)-YEAR('Raw Orders'!H364))*12+MONTH('Raw Orders'!I364)-MONTH('Raw Orders'!H364))</f>
        <v/>
      </c>
      <c r="K364">
        <f>IF('Raw Orders'!J364,"Cancelled",IF('Raw Orders'!K364&gt;=2,"Slipped","On plan"))</f>
        <v/>
      </c>
      <c r="L364" s="14">
        <f>IF(K364="On plan",0,F364)</f>
        <v/>
      </c>
    </row>
    <row r="365">
      <c r="A365">
        <f>'Raw Orders'!A365</f>
        <v/>
      </c>
      <c r="B365">
        <f>'Raw Orders'!B365</f>
        <v/>
      </c>
      <c r="C365">
        <f>'Raw Orders'!C365</f>
        <v/>
      </c>
      <c r="D365" s="13">
        <f>'Raw Orders'!E365</f>
        <v/>
      </c>
      <c r="E365" s="14">
        <f>'Raw Orders'!F365</f>
        <v/>
      </c>
      <c r="F365" s="14">
        <f>'Raw Orders'!F365*0.5</f>
        <v/>
      </c>
      <c r="G365" s="12">
        <f>'Raw Orders'!H365</f>
        <v/>
      </c>
      <c r="H365" s="12">
        <f>'Raw Orders'!I365</f>
        <v/>
      </c>
      <c r="I365" s="13">
        <f>'Raw Orders'!K365</f>
        <v/>
      </c>
      <c r="J365" s="13">
        <f>IF('Raw Orders'!J365,"",(YEAR('Raw Orders'!I365)-YEAR('Raw Orders'!H365))*12+MONTH('Raw Orders'!I365)-MONTH('Raw Orders'!H365))</f>
        <v/>
      </c>
      <c r="K365">
        <f>IF('Raw Orders'!J365,"Cancelled",IF('Raw Orders'!K365&gt;=2,"Slipped","On plan"))</f>
        <v/>
      </c>
      <c r="L365" s="14">
        <f>IF(K365="On plan",0,F365)</f>
        <v/>
      </c>
    </row>
    <row r="366">
      <c r="A366">
        <f>'Raw Orders'!A366</f>
        <v/>
      </c>
      <c r="B366">
        <f>'Raw Orders'!B366</f>
        <v/>
      </c>
      <c r="C366">
        <f>'Raw Orders'!C366</f>
        <v/>
      </c>
      <c r="D366" s="13">
        <f>'Raw Orders'!E366</f>
        <v/>
      </c>
      <c r="E366" s="14">
        <f>'Raw Orders'!F366</f>
        <v/>
      </c>
      <c r="F366" s="14">
        <f>'Raw Orders'!F366*0.5</f>
        <v/>
      </c>
      <c r="G366" s="12">
        <f>'Raw Orders'!H366</f>
        <v/>
      </c>
      <c r="H366" s="12">
        <f>'Raw Orders'!I366</f>
        <v/>
      </c>
      <c r="I366" s="13">
        <f>'Raw Orders'!K366</f>
        <v/>
      </c>
      <c r="J366" s="13">
        <f>IF('Raw Orders'!J366,"",(YEAR('Raw Orders'!I366)-YEAR('Raw Orders'!H366))*12+MONTH('Raw Orders'!I366)-MONTH('Raw Orders'!H366))</f>
        <v/>
      </c>
      <c r="K366">
        <f>IF('Raw Orders'!J366,"Cancelled",IF('Raw Orders'!K366&gt;=2,"Slipped","On plan"))</f>
        <v/>
      </c>
      <c r="L366" s="14">
        <f>IF(K366="On plan",0,F366)</f>
        <v/>
      </c>
    </row>
    <row r="367">
      <c r="A367">
        <f>'Raw Orders'!A367</f>
        <v/>
      </c>
      <c r="B367">
        <f>'Raw Orders'!B367</f>
        <v/>
      </c>
      <c r="C367">
        <f>'Raw Orders'!C367</f>
        <v/>
      </c>
      <c r="D367" s="13">
        <f>'Raw Orders'!E367</f>
        <v/>
      </c>
      <c r="E367" s="14">
        <f>'Raw Orders'!F367</f>
        <v/>
      </c>
      <c r="F367" s="14">
        <f>'Raw Orders'!F367*0.5</f>
        <v/>
      </c>
      <c r="G367" s="12">
        <f>'Raw Orders'!H367</f>
        <v/>
      </c>
      <c r="H367" s="12">
        <f>'Raw Orders'!I367</f>
        <v/>
      </c>
      <c r="I367" s="13">
        <f>'Raw Orders'!K367</f>
        <v/>
      </c>
      <c r="J367" s="13">
        <f>IF('Raw Orders'!J367,"",(YEAR('Raw Orders'!I367)-YEAR('Raw Orders'!H367))*12+MONTH('Raw Orders'!I367)-MONTH('Raw Orders'!H367))</f>
        <v/>
      </c>
      <c r="K367">
        <f>IF('Raw Orders'!J367,"Cancelled",IF('Raw Orders'!K367&gt;=2,"Slipped","On plan"))</f>
        <v/>
      </c>
      <c r="L367" s="14">
        <f>IF(K367="On plan",0,F367)</f>
        <v/>
      </c>
    </row>
    <row r="368">
      <c r="A368">
        <f>'Raw Orders'!A368</f>
        <v/>
      </c>
      <c r="B368">
        <f>'Raw Orders'!B368</f>
        <v/>
      </c>
      <c r="C368">
        <f>'Raw Orders'!C368</f>
        <v/>
      </c>
      <c r="D368" s="13">
        <f>'Raw Orders'!E368</f>
        <v/>
      </c>
      <c r="E368" s="14">
        <f>'Raw Orders'!F368</f>
        <v/>
      </c>
      <c r="F368" s="14">
        <f>'Raw Orders'!F368*0.5</f>
        <v/>
      </c>
      <c r="G368" s="12">
        <f>'Raw Orders'!H368</f>
        <v/>
      </c>
      <c r="H368" s="12">
        <f>'Raw Orders'!I368</f>
        <v/>
      </c>
      <c r="I368" s="13">
        <f>'Raw Orders'!K368</f>
        <v/>
      </c>
      <c r="J368" s="13">
        <f>IF('Raw Orders'!J368,"",(YEAR('Raw Orders'!I368)-YEAR('Raw Orders'!H368))*12+MONTH('Raw Orders'!I368)-MONTH('Raw Orders'!H368))</f>
        <v/>
      </c>
      <c r="K368">
        <f>IF('Raw Orders'!J368,"Cancelled",IF('Raw Orders'!K368&gt;=2,"Slipped","On plan"))</f>
        <v/>
      </c>
      <c r="L368" s="14">
        <f>IF(K368="On plan",0,F368)</f>
        <v/>
      </c>
    </row>
    <row r="369">
      <c r="A369">
        <f>'Raw Orders'!A369</f>
        <v/>
      </c>
      <c r="B369">
        <f>'Raw Orders'!B369</f>
        <v/>
      </c>
      <c r="C369">
        <f>'Raw Orders'!C369</f>
        <v/>
      </c>
      <c r="D369" s="13">
        <f>'Raw Orders'!E369</f>
        <v/>
      </c>
      <c r="E369" s="14">
        <f>'Raw Orders'!F369</f>
        <v/>
      </c>
      <c r="F369" s="14">
        <f>'Raw Orders'!F369*0.5</f>
        <v/>
      </c>
      <c r="G369" s="12">
        <f>'Raw Orders'!H369</f>
        <v/>
      </c>
      <c r="H369" s="12">
        <f>'Raw Orders'!I369</f>
        <v/>
      </c>
      <c r="I369" s="13">
        <f>'Raw Orders'!K369</f>
        <v/>
      </c>
      <c r="J369" s="13">
        <f>IF('Raw Orders'!J369,"",(YEAR('Raw Orders'!I369)-YEAR('Raw Orders'!H369))*12+MONTH('Raw Orders'!I369)-MONTH('Raw Orders'!H369))</f>
        <v/>
      </c>
      <c r="K369">
        <f>IF('Raw Orders'!J369,"Cancelled",IF('Raw Orders'!K369&gt;=2,"Slipped","On plan"))</f>
        <v/>
      </c>
      <c r="L369" s="14">
        <f>IF(K369="On plan",0,F369)</f>
        <v/>
      </c>
    </row>
    <row r="370">
      <c r="A370">
        <f>'Raw Orders'!A370</f>
        <v/>
      </c>
      <c r="B370">
        <f>'Raw Orders'!B370</f>
        <v/>
      </c>
      <c r="C370">
        <f>'Raw Orders'!C370</f>
        <v/>
      </c>
      <c r="D370" s="13">
        <f>'Raw Orders'!E370</f>
        <v/>
      </c>
      <c r="E370" s="14">
        <f>'Raw Orders'!F370</f>
        <v/>
      </c>
      <c r="F370" s="14">
        <f>'Raw Orders'!F370*0.5</f>
        <v/>
      </c>
      <c r="G370" s="12">
        <f>'Raw Orders'!H370</f>
        <v/>
      </c>
      <c r="H370" s="12">
        <f>'Raw Orders'!I370</f>
        <v/>
      </c>
      <c r="I370" s="13">
        <f>'Raw Orders'!K370</f>
        <v/>
      </c>
      <c r="J370" s="13">
        <f>IF('Raw Orders'!J370,"",(YEAR('Raw Orders'!I370)-YEAR('Raw Orders'!H370))*12+MONTH('Raw Orders'!I370)-MONTH('Raw Orders'!H370))</f>
        <v/>
      </c>
      <c r="K370">
        <f>IF('Raw Orders'!J370,"Cancelled",IF('Raw Orders'!K370&gt;=2,"Slipped","On plan"))</f>
        <v/>
      </c>
      <c r="L370" s="14">
        <f>IF(K370="On plan",0,F370)</f>
        <v/>
      </c>
    </row>
    <row r="371">
      <c r="A371">
        <f>'Raw Orders'!A371</f>
        <v/>
      </c>
      <c r="B371">
        <f>'Raw Orders'!B371</f>
        <v/>
      </c>
      <c r="C371">
        <f>'Raw Orders'!C371</f>
        <v/>
      </c>
      <c r="D371" s="13">
        <f>'Raw Orders'!E371</f>
        <v/>
      </c>
      <c r="E371" s="14">
        <f>'Raw Orders'!F371</f>
        <v/>
      </c>
      <c r="F371" s="14">
        <f>'Raw Orders'!F371*0.5</f>
        <v/>
      </c>
      <c r="G371" s="12">
        <f>'Raw Orders'!H371</f>
        <v/>
      </c>
      <c r="H371" s="12">
        <f>'Raw Orders'!I371</f>
        <v/>
      </c>
      <c r="I371" s="13">
        <f>'Raw Orders'!K371</f>
        <v/>
      </c>
      <c r="J371" s="13">
        <f>IF('Raw Orders'!J371,"",(YEAR('Raw Orders'!I371)-YEAR('Raw Orders'!H371))*12+MONTH('Raw Orders'!I371)-MONTH('Raw Orders'!H371))</f>
        <v/>
      </c>
      <c r="K371">
        <f>IF('Raw Orders'!J371,"Cancelled",IF('Raw Orders'!K371&gt;=2,"Slipped","On plan"))</f>
        <v/>
      </c>
      <c r="L371" s="14">
        <f>IF(K371="On plan",0,F371)</f>
        <v/>
      </c>
    </row>
    <row r="372">
      <c r="A372">
        <f>'Raw Orders'!A372</f>
        <v/>
      </c>
      <c r="B372">
        <f>'Raw Orders'!B372</f>
        <v/>
      </c>
      <c r="C372">
        <f>'Raw Orders'!C372</f>
        <v/>
      </c>
      <c r="D372" s="13">
        <f>'Raw Orders'!E372</f>
        <v/>
      </c>
      <c r="E372" s="14">
        <f>'Raw Orders'!F372</f>
        <v/>
      </c>
      <c r="F372" s="14">
        <f>'Raw Orders'!F372*0.5</f>
        <v/>
      </c>
      <c r="G372" s="12">
        <f>'Raw Orders'!H372</f>
        <v/>
      </c>
      <c r="H372" s="12">
        <f>'Raw Orders'!I372</f>
        <v/>
      </c>
      <c r="I372" s="13">
        <f>'Raw Orders'!K372</f>
        <v/>
      </c>
      <c r="J372" s="13">
        <f>IF('Raw Orders'!J372,"",(YEAR('Raw Orders'!I372)-YEAR('Raw Orders'!H372))*12+MONTH('Raw Orders'!I372)-MONTH('Raw Orders'!H372))</f>
        <v/>
      </c>
      <c r="K372">
        <f>IF('Raw Orders'!J372,"Cancelled",IF('Raw Orders'!K372&gt;=2,"Slipped","On plan"))</f>
        <v/>
      </c>
      <c r="L372" s="14">
        <f>IF(K372="On plan",0,F372)</f>
        <v/>
      </c>
    </row>
    <row r="373">
      <c r="A373">
        <f>'Raw Orders'!A373</f>
        <v/>
      </c>
      <c r="B373">
        <f>'Raw Orders'!B373</f>
        <v/>
      </c>
      <c r="C373">
        <f>'Raw Orders'!C373</f>
        <v/>
      </c>
      <c r="D373" s="13">
        <f>'Raw Orders'!E373</f>
        <v/>
      </c>
      <c r="E373" s="14">
        <f>'Raw Orders'!F373</f>
        <v/>
      </c>
      <c r="F373" s="14">
        <f>'Raw Orders'!F373*0.5</f>
        <v/>
      </c>
      <c r="G373" s="12">
        <f>'Raw Orders'!H373</f>
        <v/>
      </c>
      <c r="H373" s="12">
        <f>'Raw Orders'!I373</f>
        <v/>
      </c>
      <c r="I373" s="13">
        <f>'Raw Orders'!K373</f>
        <v/>
      </c>
      <c r="J373" s="13">
        <f>IF('Raw Orders'!J373,"",(YEAR('Raw Orders'!I373)-YEAR('Raw Orders'!H373))*12+MONTH('Raw Orders'!I373)-MONTH('Raw Orders'!H373))</f>
        <v/>
      </c>
      <c r="K373">
        <f>IF('Raw Orders'!J373,"Cancelled",IF('Raw Orders'!K373&gt;=2,"Slipped","On plan"))</f>
        <v/>
      </c>
      <c r="L373" s="14">
        <f>IF(K373="On plan",0,F373)</f>
        <v/>
      </c>
    </row>
    <row r="374">
      <c r="A374">
        <f>'Raw Orders'!A374</f>
        <v/>
      </c>
      <c r="B374">
        <f>'Raw Orders'!B374</f>
        <v/>
      </c>
      <c r="C374">
        <f>'Raw Orders'!C374</f>
        <v/>
      </c>
      <c r="D374" s="13">
        <f>'Raw Orders'!E374</f>
        <v/>
      </c>
      <c r="E374" s="14">
        <f>'Raw Orders'!F374</f>
        <v/>
      </c>
      <c r="F374" s="14">
        <f>'Raw Orders'!F374*0.5</f>
        <v/>
      </c>
      <c r="G374" s="12">
        <f>'Raw Orders'!H374</f>
        <v/>
      </c>
      <c r="H374" s="12">
        <f>'Raw Orders'!I374</f>
        <v/>
      </c>
      <c r="I374" s="13">
        <f>'Raw Orders'!K374</f>
        <v/>
      </c>
      <c r="J374" s="13">
        <f>IF('Raw Orders'!J374,"",(YEAR('Raw Orders'!I374)-YEAR('Raw Orders'!H374))*12+MONTH('Raw Orders'!I374)-MONTH('Raw Orders'!H374))</f>
        <v/>
      </c>
      <c r="K374">
        <f>IF('Raw Orders'!J374,"Cancelled",IF('Raw Orders'!K374&gt;=2,"Slipped","On plan"))</f>
        <v/>
      </c>
      <c r="L374" s="14">
        <f>IF(K374="On plan",0,F374)</f>
        <v/>
      </c>
    </row>
    <row r="375">
      <c r="A375">
        <f>'Raw Orders'!A375</f>
        <v/>
      </c>
      <c r="B375">
        <f>'Raw Orders'!B375</f>
        <v/>
      </c>
      <c r="C375">
        <f>'Raw Orders'!C375</f>
        <v/>
      </c>
      <c r="D375" s="13">
        <f>'Raw Orders'!E375</f>
        <v/>
      </c>
      <c r="E375" s="14">
        <f>'Raw Orders'!F375</f>
        <v/>
      </c>
      <c r="F375" s="14">
        <f>'Raw Orders'!F375*0.5</f>
        <v/>
      </c>
      <c r="G375" s="12">
        <f>'Raw Orders'!H375</f>
        <v/>
      </c>
      <c r="H375" s="12">
        <f>'Raw Orders'!I375</f>
        <v/>
      </c>
      <c r="I375" s="13">
        <f>'Raw Orders'!K375</f>
        <v/>
      </c>
      <c r="J375" s="13">
        <f>IF('Raw Orders'!J375,"",(YEAR('Raw Orders'!I375)-YEAR('Raw Orders'!H375))*12+MONTH('Raw Orders'!I375)-MONTH('Raw Orders'!H375))</f>
        <v/>
      </c>
      <c r="K375">
        <f>IF('Raw Orders'!J375,"Cancelled",IF('Raw Orders'!K375&gt;=2,"Slipped","On plan"))</f>
        <v/>
      </c>
      <c r="L375" s="14">
        <f>IF(K375="On plan",0,F375)</f>
        <v/>
      </c>
    </row>
    <row r="376">
      <c r="A376">
        <f>'Raw Orders'!A376</f>
        <v/>
      </c>
      <c r="B376">
        <f>'Raw Orders'!B376</f>
        <v/>
      </c>
      <c r="C376">
        <f>'Raw Orders'!C376</f>
        <v/>
      </c>
      <c r="D376" s="13">
        <f>'Raw Orders'!E376</f>
        <v/>
      </c>
      <c r="E376" s="14">
        <f>'Raw Orders'!F376</f>
        <v/>
      </c>
      <c r="F376" s="14">
        <f>'Raw Orders'!F376*0.5</f>
        <v/>
      </c>
      <c r="G376" s="12">
        <f>'Raw Orders'!H376</f>
        <v/>
      </c>
      <c r="H376" s="12">
        <f>'Raw Orders'!I376</f>
        <v/>
      </c>
      <c r="I376" s="13">
        <f>'Raw Orders'!K376</f>
        <v/>
      </c>
      <c r="J376" s="13">
        <f>IF('Raw Orders'!J376,"",(YEAR('Raw Orders'!I376)-YEAR('Raw Orders'!H376))*12+MONTH('Raw Orders'!I376)-MONTH('Raw Orders'!H376))</f>
        <v/>
      </c>
      <c r="K376">
        <f>IF('Raw Orders'!J376,"Cancelled",IF('Raw Orders'!K376&gt;=2,"Slipped","On plan"))</f>
        <v/>
      </c>
      <c r="L376" s="14">
        <f>IF(K376="On plan",0,F376)</f>
        <v/>
      </c>
    </row>
    <row r="377">
      <c r="A377">
        <f>'Raw Orders'!A377</f>
        <v/>
      </c>
      <c r="B377">
        <f>'Raw Orders'!B377</f>
        <v/>
      </c>
      <c r="C377">
        <f>'Raw Orders'!C377</f>
        <v/>
      </c>
      <c r="D377" s="13">
        <f>'Raw Orders'!E377</f>
        <v/>
      </c>
      <c r="E377" s="14">
        <f>'Raw Orders'!F377</f>
        <v/>
      </c>
      <c r="F377" s="14">
        <f>'Raw Orders'!F377*0.5</f>
        <v/>
      </c>
      <c r="G377" s="12">
        <f>'Raw Orders'!H377</f>
        <v/>
      </c>
      <c r="H377" s="12">
        <f>'Raw Orders'!I377</f>
        <v/>
      </c>
      <c r="I377" s="13">
        <f>'Raw Orders'!K377</f>
        <v/>
      </c>
      <c r="J377" s="13">
        <f>IF('Raw Orders'!J377,"",(YEAR('Raw Orders'!I377)-YEAR('Raw Orders'!H377))*12+MONTH('Raw Orders'!I377)-MONTH('Raw Orders'!H377))</f>
        <v/>
      </c>
      <c r="K377">
        <f>IF('Raw Orders'!J377,"Cancelled",IF('Raw Orders'!K377&gt;=2,"Slipped","On plan"))</f>
        <v/>
      </c>
      <c r="L377" s="14">
        <f>IF(K377="On plan",0,F377)</f>
        <v/>
      </c>
    </row>
    <row r="378">
      <c r="A378">
        <f>'Raw Orders'!A378</f>
        <v/>
      </c>
      <c r="B378">
        <f>'Raw Orders'!B378</f>
        <v/>
      </c>
      <c r="C378">
        <f>'Raw Orders'!C378</f>
        <v/>
      </c>
      <c r="D378" s="13">
        <f>'Raw Orders'!E378</f>
        <v/>
      </c>
      <c r="E378" s="14">
        <f>'Raw Orders'!F378</f>
        <v/>
      </c>
      <c r="F378" s="14">
        <f>'Raw Orders'!F378*0.5</f>
        <v/>
      </c>
      <c r="G378" s="12">
        <f>'Raw Orders'!H378</f>
        <v/>
      </c>
      <c r="H378" s="12">
        <f>'Raw Orders'!I378</f>
        <v/>
      </c>
      <c r="I378" s="13">
        <f>'Raw Orders'!K378</f>
        <v/>
      </c>
      <c r="J378" s="13">
        <f>IF('Raw Orders'!J378,"",(YEAR('Raw Orders'!I378)-YEAR('Raw Orders'!H378))*12+MONTH('Raw Orders'!I378)-MONTH('Raw Orders'!H378))</f>
        <v/>
      </c>
      <c r="K378">
        <f>IF('Raw Orders'!J378,"Cancelled",IF('Raw Orders'!K378&gt;=2,"Slipped","On plan"))</f>
        <v/>
      </c>
      <c r="L378" s="14">
        <f>IF(K378="On plan",0,F378)</f>
        <v/>
      </c>
    </row>
    <row r="379">
      <c r="A379">
        <f>'Raw Orders'!A379</f>
        <v/>
      </c>
      <c r="B379">
        <f>'Raw Orders'!B379</f>
        <v/>
      </c>
      <c r="C379">
        <f>'Raw Orders'!C379</f>
        <v/>
      </c>
      <c r="D379" s="13">
        <f>'Raw Orders'!E379</f>
        <v/>
      </c>
      <c r="E379" s="14">
        <f>'Raw Orders'!F379</f>
        <v/>
      </c>
      <c r="F379" s="14">
        <f>'Raw Orders'!F379*0.5</f>
        <v/>
      </c>
      <c r="G379" s="12">
        <f>'Raw Orders'!H379</f>
        <v/>
      </c>
      <c r="H379" s="12">
        <f>'Raw Orders'!I379</f>
        <v/>
      </c>
      <c r="I379" s="13">
        <f>'Raw Orders'!K379</f>
        <v/>
      </c>
      <c r="J379" s="13">
        <f>IF('Raw Orders'!J379,"",(YEAR('Raw Orders'!I379)-YEAR('Raw Orders'!H379))*12+MONTH('Raw Orders'!I379)-MONTH('Raw Orders'!H379))</f>
        <v/>
      </c>
      <c r="K379">
        <f>IF('Raw Orders'!J379,"Cancelled",IF('Raw Orders'!K379&gt;=2,"Slipped","On plan"))</f>
        <v/>
      </c>
      <c r="L379" s="14">
        <f>IF(K379="On plan",0,F379)</f>
        <v/>
      </c>
    </row>
    <row r="380">
      <c r="A380">
        <f>'Raw Orders'!A380</f>
        <v/>
      </c>
      <c r="B380">
        <f>'Raw Orders'!B380</f>
        <v/>
      </c>
      <c r="C380">
        <f>'Raw Orders'!C380</f>
        <v/>
      </c>
      <c r="D380" s="13">
        <f>'Raw Orders'!E380</f>
        <v/>
      </c>
      <c r="E380" s="14">
        <f>'Raw Orders'!F380</f>
        <v/>
      </c>
      <c r="F380" s="14">
        <f>'Raw Orders'!F380*0.5</f>
        <v/>
      </c>
      <c r="G380" s="12">
        <f>'Raw Orders'!H380</f>
        <v/>
      </c>
      <c r="H380" s="12">
        <f>'Raw Orders'!I380</f>
        <v/>
      </c>
      <c r="I380" s="13">
        <f>'Raw Orders'!K380</f>
        <v/>
      </c>
      <c r="J380" s="13">
        <f>IF('Raw Orders'!J380,"",(YEAR('Raw Orders'!I380)-YEAR('Raw Orders'!H380))*12+MONTH('Raw Orders'!I380)-MONTH('Raw Orders'!H380))</f>
        <v/>
      </c>
      <c r="K380">
        <f>IF('Raw Orders'!J380,"Cancelled",IF('Raw Orders'!K380&gt;=2,"Slipped","On plan"))</f>
        <v/>
      </c>
      <c r="L380" s="14">
        <f>IF(K380="On plan",0,F380)</f>
        <v/>
      </c>
    </row>
    <row r="381">
      <c r="A381">
        <f>'Raw Orders'!A381</f>
        <v/>
      </c>
      <c r="B381">
        <f>'Raw Orders'!B381</f>
        <v/>
      </c>
      <c r="C381">
        <f>'Raw Orders'!C381</f>
        <v/>
      </c>
      <c r="D381" s="13">
        <f>'Raw Orders'!E381</f>
        <v/>
      </c>
      <c r="E381" s="14">
        <f>'Raw Orders'!F381</f>
        <v/>
      </c>
      <c r="F381" s="14">
        <f>'Raw Orders'!F381*0.5</f>
        <v/>
      </c>
      <c r="G381" s="12">
        <f>'Raw Orders'!H381</f>
        <v/>
      </c>
      <c r="H381" s="12">
        <f>'Raw Orders'!I381</f>
        <v/>
      </c>
      <c r="I381" s="13">
        <f>'Raw Orders'!K381</f>
        <v/>
      </c>
      <c r="J381" s="13">
        <f>IF('Raw Orders'!J381,"",(YEAR('Raw Orders'!I381)-YEAR('Raw Orders'!H381))*12+MONTH('Raw Orders'!I381)-MONTH('Raw Orders'!H381))</f>
        <v/>
      </c>
      <c r="K381">
        <f>IF('Raw Orders'!J381,"Cancelled",IF('Raw Orders'!K381&gt;=2,"Slipped","On plan"))</f>
        <v/>
      </c>
      <c r="L381" s="14">
        <f>IF(K381="On plan",0,F381)</f>
        <v/>
      </c>
    </row>
    <row r="382">
      <c r="A382">
        <f>'Raw Orders'!A382</f>
        <v/>
      </c>
      <c r="B382">
        <f>'Raw Orders'!B382</f>
        <v/>
      </c>
      <c r="C382">
        <f>'Raw Orders'!C382</f>
        <v/>
      </c>
      <c r="D382" s="13">
        <f>'Raw Orders'!E382</f>
        <v/>
      </c>
      <c r="E382" s="14">
        <f>'Raw Orders'!F382</f>
        <v/>
      </c>
      <c r="F382" s="14">
        <f>'Raw Orders'!F382*0.5</f>
        <v/>
      </c>
      <c r="G382" s="12">
        <f>'Raw Orders'!H382</f>
        <v/>
      </c>
      <c r="H382" s="12">
        <f>'Raw Orders'!I382</f>
        <v/>
      </c>
      <c r="I382" s="13">
        <f>'Raw Orders'!K382</f>
        <v/>
      </c>
      <c r="J382" s="13">
        <f>IF('Raw Orders'!J382,"",(YEAR('Raw Orders'!I382)-YEAR('Raw Orders'!H382))*12+MONTH('Raw Orders'!I382)-MONTH('Raw Orders'!H382))</f>
        <v/>
      </c>
      <c r="K382">
        <f>IF('Raw Orders'!J382,"Cancelled",IF('Raw Orders'!K382&gt;=2,"Slipped","On plan"))</f>
        <v/>
      </c>
      <c r="L382" s="14">
        <f>IF(K382="On plan",0,F382)</f>
        <v/>
      </c>
    </row>
    <row r="383">
      <c r="A383">
        <f>'Raw Orders'!A383</f>
        <v/>
      </c>
      <c r="B383">
        <f>'Raw Orders'!B383</f>
        <v/>
      </c>
      <c r="C383">
        <f>'Raw Orders'!C383</f>
        <v/>
      </c>
      <c r="D383" s="13">
        <f>'Raw Orders'!E383</f>
        <v/>
      </c>
      <c r="E383" s="14">
        <f>'Raw Orders'!F383</f>
        <v/>
      </c>
      <c r="F383" s="14">
        <f>'Raw Orders'!F383*0.5</f>
        <v/>
      </c>
      <c r="G383" s="12">
        <f>'Raw Orders'!H383</f>
        <v/>
      </c>
      <c r="H383" s="12">
        <f>'Raw Orders'!I383</f>
        <v/>
      </c>
      <c r="I383" s="13">
        <f>'Raw Orders'!K383</f>
        <v/>
      </c>
      <c r="J383" s="13">
        <f>IF('Raw Orders'!J383,"",(YEAR('Raw Orders'!I383)-YEAR('Raw Orders'!H383))*12+MONTH('Raw Orders'!I383)-MONTH('Raw Orders'!H383))</f>
        <v/>
      </c>
      <c r="K383">
        <f>IF('Raw Orders'!J383,"Cancelled",IF('Raw Orders'!K383&gt;=2,"Slipped","On plan"))</f>
        <v/>
      </c>
      <c r="L383" s="14">
        <f>IF(K383="On plan",0,F383)</f>
        <v/>
      </c>
    </row>
    <row r="384">
      <c r="A384">
        <f>'Raw Orders'!A384</f>
        <v/>
      </c>
      <c r="B384">
        <f>'Raw Orders'!B384</f>
        <v/>
      </c>
      <c r="C384">
        <f>'Raw Orders'!C384</f>
        <v/>
      </c>
      <c r="D384" s="13">
        <f>'Raw Orders'!E384</f>
        <v/>
      </c>
      <c r="E384" s="14">
        <f>'Raw Orders'!F384</f>
        <v/>
      </c>
      <c r="F384" s="14">
        <f>'Raw Orders'!F384*0.5</f>
        <v/>
      </c>
      <c r="G384" s="12">
        <f>'Raw Orders'!H384</f>
        <v/>
      </c>
      <c r="H384" s="12">
        <f>'Raw Orders'!I384</f>
        <v/>
      </c>
      <c r="I384" s="13">
        <f>'Raw Orders'!K384</f>
        <v/>
      </c>
      <c r="J384" s="13">
        <f>IF('Raw Orders'!J384,"",(YEAR('Raw Orders'!I384)-YEAR('Raw Orders'!H384))*12+MONTH('Raw Orders'!I384)-MONTH('Raw Orders'!H384))</f>
        <v/>
      </c>
      <c r="K384">
        <f>IF('Raw Orders'!J384,"Cancelled",IF('Raw Orders'!K384&gt;=2,"Slipped","On plan"))</f>
        <v/>
      </c>
      <c r="L384" s="14">
        <f>IF(K384="On plan",0,F384)</f>
        <v/>
      </c>
    </row>
    <row r="385">
      <c r="A385">
        <f>'Raw Orders'!A385</f>
        <v/>
      </c>
      <c r="B385">
        <f>'Raw Orders'!B385</f>
        <v/>
      </c>
      <c r="C385">
        <f>'Raw Orders'!C385</f>
        <v/>
      </c>
      <c r="D385" s="13">
        <f>'Raw Orders'!E385</f>
        <v/>
      </c>
      <c r="E385" s="14">
        <f>'Raw Orders'!F385</f>
        <v/>
      </c>
      <c r="F385" s="14">
        <f>'Raw Orders'!F385*0.5</f>
        <v/>
      </c>
      <c r="G385" s="12">
        <f>'Raw Orders'!H385</f>
        <v/>
      </c>
      <c r="H385" s="12">
        <f>'Raw Orders'!I385</f>
        <v/>
      </c>
      <c r="I385" s="13">
        <f>'Raw Orders'!K385</f>
        <v/>
      </c>
      <c r="J385" s="13">
        <f>IF('Raw Orders'!J385,"",(YEAR('Raw Orders'!I385)-YEAR('Raw Orders'!H385))*12+MONTH('Raw Orders'!I385)-MONTH('Raw Orders'!H385))</f>
        <v/>
      </c>
      <c r="K385">
        <f>IF('Raw Orders'!J385,"Cancelled",IF('Raw Orders'!K385&gt;=2,"Slipped","On plan"))</f>
        <v/>
      </c>
      <c r="L385" s="14">
        <f>IF(K385="On plan",0,F385)</f>
        <v/>
      </c>
    </row>
    <row r="386">
      <c r="A386">
        <f>'Raw Orders'!A386</f>
        <v/>
      </c>
      <c r="B386">
        <f>'Raw Orders'!B386</f>
        <v/>
      </c>
      <c r="C386">
        <f>'Raw Orders'!C386</f>
        <v/>
      </c>
      <c r="D386" s="13">
        <f>'Raw Orders'!E386</f>
        <v/>
      </c>
      <c r="E386" s="14">
        <f>'Raw Orders'!F386</f>
        <v/>
      </c>
      <c r="F386" s="14">
        <f>'Raw Orders'!F386*0.5</f>
        <v/>
      </c>
      <c r="G386" s="12">
        <f>'Raw Orders'!H386</f>
        <v/>
      </c>
      <c r="H386" s="12">
        <f>'Raw Orders'!I386</f>
        <v/>
      </c>
      <c r="I386" s="13">
        <f>'Raw Orders'!K386</f>
        <v/>
      </c>
      <c r="J386" s="13">
        <f>IF('Raw Orders'!J386,"",(YEAR('Raw Orders'!I386)-YEAR('Raw Orders'!H386))*12+MONTH('Raw Orders'!I386)-MONTH('Raw Orders'!H386))</f>
        <v/>
      </c>
      <c r="K386">
        <f>IF('Raw Orders'!J386,"Cancelled",IF('Raw Orders'!K386&gt;=2,"Slipped","On plan"))</f>
        <v/>
      </c>
      <c r="L386" s="14">
        <f>IF(K386="On plan",0,F386)</f>
        <v/>
      </c>
    </row>
    <row r="387">
      <c r="A387">
        <f>'Raw Orders'!A387</f>
        <v/>
      </c>
      <c r="B387">
        <f>'Raw Orders'!B387</f>
        <v/>
      </c>
      <c r="C387">
        <f>'Raw Orders'!C387</f>
        <v/>
      </c>
      <c r="D387" s="13">
        <f>'Raw Orders'!E387</f>
        <v/>
      </c>
      <c r="E387" s="14">
        <f>'Raw Orders'!F387</f>
        <v/>
      </c>
      <c r="F387" s="14">
        <f>'Raw Orders'!F387*0.5</f>
        <v/>
      </c>
      <c r="G387" s="12">
        <f>'Raw Orders'!H387</f>
        <v/>
      </c>
      <c r="H387" s="12">
        <f>'Raw Orders'!I387</f>
        <v/>
      </c>
      <c r="I387" s="13">
        <f>'Raw Orders'!K387</f>
        <v/>
      </c>
      <c r="J387" s="13">
        <f>IF('Raw Orders'!J387,"",(YEAR('Raw Orders'!I387)-YEAR('Raw Orders'!H387))*12+MONTH('Raw Orders'!I387)-MONTH('Raw Orders'!H387))</f>
        <v/>
      </c>
      <c r="K387">
        <f>IF('Raw Orders'!J387,"Cancelled",IF('Raw Orders'!K387&gt;=2,"Slipped","On plan"))</f>
        <v/>
      </c>
      <c r="L387" s="14">
        <f>IF(K387="On plan",0,F387)</f>
        <v/>
      </c>
    </row>
    <row r="388">
      <c r="A388">
        <f>'Raw Orders'!A388</f>
        <v/>
      </c>
      <c r="B388">
        <f>'Raw Orders'!B388</f>
        <v/>
      </c>
      <c r="C388">
        <f>'Raw Orders'!C388</f>
        <v/>
      </c>
      <c r="D388" s="13">
        <f>'Raw Orders'!E388</f>
        <v/>
      </c>
      <c r="E388" s="14">
        <f>'Raw Orders'!F388</f>
        <v/>
      </c>
      <c r="F388" s="14">
        <f>'Raw Orders'!F388*0.5</f>
        <v/>
      </c>
      <c r="G388" s="12">
        <f>'Raw Orders'!H388</f>
        <v/>
      </c>
      <c r="H388" s="12">
        <f>'Raw Orders'!I388</f>
        <v/>
      </c>
      <c r="I388" s="13">
        <f>'Raw Orders'!K388</f>
        <v/>
      </c>
      <c r="J388" s="13">
        <f>IF('Raw Orders'!J388,"",(YEAR('Raw Orders'!I388)-YEAR('Raw Orders'!H388))*12+MONTH('Raw Orders'!I388)-MONTH('Raw Orders'!H388))</f>
        <v/>
      </c>
      <c r="K388">
        <f>IF('Raw Orders'!J388,"Cancelled",IF('Raw Orders'!K388&gt;=2,"Slipped","On plan"))</f>
        <v/>
      </c>
      <c r="L388" s="14">
        <f>IF(K388="On plan",0,F388)</f>
        <v/>
      </c>
    </row>
    <row r="389">
      <c r="A389">
        <f>'Raw Orders'!A389</f>
        <v/>
      </c>
      <c r="B389">
        <f>'Raw Orders'!B389</f>
        <v/>
      </c>
      <c r="C389">
        <f>'Raw Orders'!C389</f>
        <v/>
      </c>
      <c r="D389" s="13">
        <f>'Raw Orders'!E389</f>
        <v/>
      </c>
      <c r="E389" s="14">
        <f>'Raw Orders'!F389</f>
        <v/>
      </c>
      <c r="F389" s="14">
        <f>'Raw Orders'!F389*0.5</f>
        <v/>
      </c>
      <c r="G389" s="12">
        <f>'Raw Orders'!H389</f>
        <v/>
      </c>
      <c r="H389" s="12">
        <f>'Raw Orders'!I389</f>
        <v/>
      </c>
      <c r="I389" s="13">
        <f>'Raw Orders'!K389</f>
        <v/>
      </c>
      <c r="J389" s="13">
        <f>IF('Raw Orders'!J389,"",(YEAR('Raw Orders'!I389)-YEAR('Raw Orders'!H389))*12+MONTH('Raw Orders'!I389)-MONTH('Raw Orders'!H389))</f>
        <v/>
      </c>
      <c r="K389">
        <f>IF('Raw Orders'!J389,"Cancelled",IF('Raw Orders'!K389&gt;=2,"Slipped","On plan"))</f>
        <v/>
      </c>
      <c r="L389" s="14">
        <f>IF(K389="On plan",0,F389)</f>
        <v/>
      </c>
    </row>
    <row r="390">
      <c r="A390">
        <f>'Raw Orders'!A390</f>
        <v/>
      </c>
      <c r="B390">
        <f>'Raw Orders'!B390</f>
        <v/>
      </c>
      <c r="C390">
        <f>'Raw Orders'!C390</f>
        <v/>
      </c>
      <c r="D390" s="13">
        <f>'Raw Orders'!E390</f>
        <v/>
      </c>
      <c r="E390" s="14">
        <f>'Raw Orders'!F390</f>
        <v/>
      </c>
      <c r="F390" s="14">
        <f>'Raw Orders'!F390*0.5</f>
        <v/>
      </c>
      <c r="G390" s="12">
        <f>'Raw Orders'!H390</f>
        <v/>
      </c>
      <c r="H390" s="12">
        <f>'Raw Orders'!I390</f>
        <v/>
      </c>
      <c r="I390" s="13">
        <f>'Raw Orders'!K390</f>
        <v/>
      </c>
      <c r="J390" s="13">
        <f>IF('Raw Orders'!J390,"",(YEAR('Raw Orders'!I390)-YEAR('Raw Orders'!H390))*12+MONTH('Raw Orders'!I390)-MONTH('Raw Orders'!H390))</f>
        <v/>
      </c>
      <c r="K390">
        <f>IF('Raw Orders'!J390,"Cancelled",IF('Raw Orders'!K390&gt;=2,"Slipped","On plan"))</f>
        <v/>
      </c>
      <c r="L390" s="14">
        <f>IF(K390="On plan",0,F390)</f>
        <v/>
      </c>
    </row>
    <row r="391">
      <c r="A391">
        <f>'Raw Orders'!A391</f>
        <v/>
      </c>
      <c r="B391">
        <f>'Raw Orders'!B391</f>
        <v/>
      </c>
      <c r="C391">
        <f>'Raw Orders'!C391</f>
        <v/>
      </c>
      <c r="D391" s="13">
        <f>'Raw Orders'!E391</f>
        <v/>
      </c>
      <c r="E391" s="14">
        <f>'Raw Orders'!F391</f>
        <v/>
      </c>
      <c r="F391" s="14">
        <f>'Raw Orders'!F391*0.5</f>
        <v/>
      </c>
      <c r="G391" s="12">
        <f>'Raw Orders'!H391</f>
        <v/>
      </c>
      <c r="H391" s="12">
        <f>'Raw Orders'!I391</f>
        <v/>
      </c>
      <c r="I391" s="13">
        <f>'Raw Orders'!K391</f>
        <v/>
      </c>
      <c r="J391" s="13">
        <f>IF('Raw Orders'!J391,"",(YEAR('Raw Orders'!I391)-YEAR('Raw Orders'!H391))*12+MONTH('Raw Orders'!I391)-MONTH('Raw Orders'!H391))</f>
        <v/>
      </c>
      <c r="K391">
        <f>IF('Raw Orders'!J391,"Cancelled",IF('Raw Orders'!K391&gt;=2,"Slipped","On plan"))</f>
        <v/>
      </c>
      <c r="L391" s="14">
        <f>IF(K391="On plan",0,F391)</f>
        <v/>
      </c>
    </row>
    <row r="392">
      <c r="A392">
        <f>'Raw Orders'!A392</f>
        <v/>
      </c>
      <c r="B392">
        <f>'Raw Orders'!B392</f>
        <v/>
      </c>
      <c r="C392">
        <f>'Raw Orders'!C392</f>
        <v/>
      </c>
      <c r="D392" s="13">
        <f>'Raw Orders'!E392</f>
        <v/>
      </c>
      <c r="E392" s="14">
        <f>'Raw Orders'!F392</f>
        <v/>
      </c>
      <c r="F392" s="14">
        <f>'Raw Orders'!F392*0.5</f>
        <v/>
      </c>
      <c r="G392" s="12">
        <f>'Raw Orders'!H392</f>
        <v/>
      </c>
      <c r="H392" s="12">
        <f>'Raw Orders'!I392</f>
        <v/>
      </c>
      <c r="I392" s="13">
        <f>'Raw Orders'!K392</f>
        <v/>
      </c>
      <c r="J392" s="13">
        <f>IF('Raw Orders'!J392,"",(YEAR('Raw Orders'!I392)-YEAR('Raw Orders'!H392))*12+MONTH('Raw Orders'!I392)-MONTH('Raw Orders'!H392))</f>
        <v/>
      </c>
      <c r="K392">
        <f>IF('Raw Orders'!J392,"Cancelled",IF('Raw Orders'!K392&gt;=2,"Slipped","On plan"))</f>
        <v/>
      </c>
      <c r="L392" s="14">
        <f>IF(K392="On plan",0,F392)</f>
        <v/>
      </c>
    </row>
    <row r="393">
      <c r="A393">
        <f>'Raw Orders'!A393</f>
        <v/>
      </c>
      <c r="B393">
        <f>'Raw Orders'!B393</f>
        <v/>
      </c>
      <c r="C393">
        <f>'Raw Orders'!C393</f>
        <v/>
      </c>
      <c r="D393" s="13">
        <f>'Raw Orders'!E393</f>
        <v/>
      </c>
      <c r="E393" s="14">
        <f>'Raw Orders'!F393</f>
        <v/>
      </c>
      <c r="F393" s="14">
        <f>'Raw Orders'!F393*0.5</f>
        <v/>
      </c>
      <c r="G393" s="12">
        <f>'Raw Orders'!H393</f>
        <v/>
      </c>
      <c r="H393" s="12">
        <f>'Raw Orders'!I393</f>
        <v/>
      </c>
      <c r="I393" s="13">
        <f>'Raw Orders'!K393</f>
        <v/>
      </c>
      <c r="J393" s="13">
        <f>IF('Raw Orders'!J393,"",(YEAR('Raw Orders'!I393)-YEAR('Raw Orders'!H393))*12+MONTH('Raw Orders'!I393)-MONTH('Raw Orders'!H393))</f>
        <v/>
      </c>
      <c r="K393">
        <f>IF('Raw Orders'!J393,"Cancelled",IF('Raw Orders'!K393&gt;=2,"Slipped","On plan"))</f>
        <v/>
      </c>
      <c r="L393" s="14">
        <f>IF(K393="On plan",0,F393)</f>
        <v/>
      </c>
    </row>
    <row r="394">
      <c r="A394">
        <f>'Raw Orders'!A394</f>
        <v/>
      </c>
      <c r="B394">
        <f>'Raw Orders'!B394</f>
        <v/>
      </c>
      <c r="C394">
        <f>'Raw Orders'!C394</f>
        <v/>
      </c>
      <c r="D394" s="13">
        <f>'Raw Orders'!E394</f>
        <v/>
      </c>
      <c r="E394" s="14">
        <f>'Raw Orders'!F394</f>
        <v/>
      </c>
      <c r="F394" s="14">
        <f>'Raw Orders'!F394*0.5</f>
        <v/>
      </c>
      <c r="G394" s="12">
        <f>'Raw Orders'!H394</f>
        <v/>
      </c>
      <c r="H394" s="12">
        <f>'Raw Orders'!I394</f>
        <v/>
      </c>
      <c r="I394" s="13">
        <f>'Raw Orders'!K394</f>
        <v/>
      </c>
      <c r="J394" s="13">
        <f>IF('Raw Orders'!J394,"",(YEAR('Raw Orders'!I394)-YEAR('Raw Orders'!H394))*12+MONTH('Raw Orders'!I394)-MONTH('Raw Orders'!H394))</f>
        <v/>
      </c>
      <c r="K394">
        <f>IF('Raw Orders'!J394,"Cancelled",IF('Raw Orders'!K394&gt;=2,"Slipped","On plan"))</f>
        <v/>
      </c>
      <c r="L394" s="14">
        <f>IF(K394="On plan",0,F394)</f>
        <v/>
      </c>
    </row>
    <row r="395">
      <c r="A395">
        <f>'Raw Orders'!A395</f>
        <v/>
      </c>
      <c r="B395">
        <f>'Raw Orders'!B395</f>
        <v/>
      </c>
      <c r="C395">
        <f>'Raw Orders'!C395</f>
        <v/>
      </c>
      <c r="D395" s="13">
        <f>'Raw Orders'!E395</f>
        <v/>
      </c>
      <c r="E395" s="14">
        <f>'Raw Orders'!F395</f>
        <v/>
      </c>
      <c r="F395" s="14">
        <f>'Raw Orders'!F395*0.5</f>
        <v/>
      </c>
      <c r="G395" s="12">
        <f>'Raw Orders'!H395</f>
        <v/>
      </c>
      <c r="H395" s="12">
        <f>'Raw Orders'!I395</f>
        <v/>
      </c>
      <c r="I395" s="13">
        <f>'Raw Orders'!K395</f>
        <v/>
      </c>
      <c r="J395" s="13">
        <f>IF('Raw Orders'!J395,"",(YEAR('Raw Orders'!I395)-YEAR('Raw Orders'!H395))*12+MONTH('Raw Orders'!I395)-MONTH('Raw Orders'!H395))</f>
        <v/>
      </c>
      <c r="K395">
        <f>IF('Raw Orders'!J395,"Cancelled",IF('Raw Orders'!K395&gt;=2,"Slipped","On plan"))</f>
        <v/>
      </c>
      <c r="L395" s="14">
        <f>IF(K395="On plan",0,F395)</f>
        <v/>
      </c>
    </row>
    <row r="396">
      <c r="A396">
        <f>'Raw Orders'!A396</f>
        <v/>
      </c>
      <c r="B396">
        <f>'Raw Orders'!B396</f>
        <v/>
      </c>
      <c r="C396">
        <f>'Raw Orders'!C396</f>
        <v/>
      </c>
      <c r="D396" s="13">
        <f>'Raw Orders'!E396</f>
        <v/>
      </c>
      <c r="E396" s="14">
        <f>'Raw Orders'!F396</f>
        <v/>
      </c>
      <c r="F396" s="14">
        <f>'Raw Orders'!F396*0.5</f>
        <v/>
      </c>
      <c r="G396" s="12">
        <f>'Raw Orders'!H396</f>
        <v/>
      </c>
      <c r="H396" s="12">
        <f>'Raw Orders'!I396</f>
        <v/>
      </c>
      <c r="I396" s="13">
        <f>'Raw Orders'!K396</f>
        <v/>
      </c>
      <c r="J396" s="13">
        <f>IF('Raw Orders'!J396,"",(YEAR('Raw Orders'!I396)-YEAR('Raw Orders'!H396))*12+MONTH('Raw Orders'!I396)-MONTH('Raw Orders'!H396))</f>
        <v/>
      </c>
      <c r="K396">
        <f>IF('Raw Orders'!J396,"Cancelled",IF('Raw Orders'!K396&gt;=2,"Slipped","On plan"))</f>
        <v/>
      </c>
      <c r="L396" s="14">
        <f>IF(K396="On plan",0,F396)</f>
        <v/>
      </c>
    </row>
    <row r="397">
      <c r="A397">
        <f>'Raw Orders'!A397</f>
        <v/>
      </c>
      <c r="B397">
        <f>'Raw Orders'!B397</f>
        <v/>
      </c>
      <c r="C397">
        <f>'Raw Orders'!C397</f>
        <v/>
      </c>
      <c r="D397" s="13">
        <f>'Raw Orders'!E397</f>
        <v/>
      </c>
      <c r="E397" s="14">
        <f>'Raw Orders'!F397</f>
        <v/>
      </c>
      <c r="F397" s="14">
        <f>'Raw Orders'!F397*0.5</f>
        <v/>
      </c>
      <c r="G397" s="12">
        <f>'Raw Orders'!H397</f>
        <v/>
      </c>
      <c r="H397" s="12">
        <f>'Raw Orders'!I397</f>
        <v/>
      </c>
      <c r="I397" s="13">
        <f>'Raw Orders'!K397</f>
        <v/>
      </c>
      <c r="J397" s="13">
        <f>IF('Raw Orders'!J397,"",(YEAR('Raw Orders'!I397)-YEAR('Raw Orders'!H397))*12+MONTH('Raw Orders'!I397)-MONTH('Raw Orders'!H397))</f>
        <v/>
      </c>
      <c r="K397">
        <f>IF('Raw Orders'!J397,"Cancelled",IF('Raw Orders'!K397&gt;=2,"Slipped","On plan"))</f>
        <v/>
      </c>
      <c r="L397" s="14">
        <f>IF(K397="On plan",0,F397)</f>
        <v/>
      </c>
    </row>
    <row r="398">
      <c r="A398">
        <f>'Raw Orders'!A398</f>
        <v/>
      </c>
      <c r="B398">
        <f>'Raw Orders'!B398</f>
        <v/>
      </c>
      <c r="C398">
        <f>'Raw Orders'!C398</f>
        <v/>
      </c>
      <c r="D398" s="13">
        <f>'Raw Orders'!E398</f>
        <v/>
      </c>
      <c r="E398" s="14">
        <f>'Raw Orders'!F398</f>
        <v/>
      </c>
      <c r="F398" s="14">
        <f>'Raw Orders'!F398*0.5</f>
        <v/>
      </c>
      <c r="G398" s="12">
        <f>'Raw Orders'!H398</f>
        <v/>
      </c>
      <c r="H398" s="12">
        <f>'Raw Orders'!I398</f>
        <v/>
      </c>
      <c r="I398" s="13">
        <f>'Raw Orders'!K398</f>
        <v/>
      </c>
      <c r="J398" s="13">
        <f>IF('Raw Orders'!J398,"",(YEAR('Raw Orders'!I398)-YEAR('Raw Orders'!H398))*12+MONTH('Raw Orders'!I398)-MONTH('Raw Orders'!H398))</f>
        <v/>
      </c>
      <c r="K398">
        <f>IF('Raw Orders'!J398,"Cancelled",IF('Raw Orders'!K398&gt;=2,"Slipped","On plan"))</f>
        <v/>
      </c>
      <c r="L398" s="14">
        <f>IF(K398="On plan",0,F398)</f>
        <v/>
      </c>
    </row>
    <row r="399">
      <c r="A399">
        <f>'Raw Orders'!A399</f>
        <v/>
      </c>
      <c r="B399">
        <f>'Raw Orders'!B399</f>
        <v/>
      </c>
      <c r="C399">
        <f>'Raw Orders'!C399</f>
        <v/>
      </c>
      <c r="D399" s="13">
        <f>'Raw Orders'!E399</f>
        <v/>
      </c>
      <c r="E399" s="14">
        <f>'Raw Orders'!F399</f>
        <v/>
      </c>
      <c r="F399" s="14">
        <f>'Raw Orders'!F399*0.5</f>
        <v/>
      </c>
      <c r="G399" s="12">
        <f>'Raw Orders'!H399</f>
        <v/>
      </c>
      <c r="H399" s="12">
        <f>'Raw Orders'!I399</f>
        <v/>
      </c>
      <c r="I399" s="13">
        <f>'Raw Orders'!K399</f>
        <v/>
      </c>
      <c r="J399" s="13">
        <f>IF('Raw Orders'!J399,"",(YEAR('Raw Orders'!I399)-YEAR('Raw Orders'!H399))*12+MONTH('Raw Orders'!I399)-MONTH('Raw Orders'!H399))</f>
        <v/>
      </c>
      <c r="K399">
        <f>IF('Raw Orders'!J399,"Cancelled",IF('Raw Orders'!K399&gt;=2,"Slipped","On plan"))</f>
        <v/>
      </c>
      <c r="L399" s="14">
        <f>IF(K399="On plan",0,F399)</f>
        <v/>
      </c>
    </row>
    <row r="400">
      <c r="A400">
        <f>'Raw Orders'!A400</f>
        <v/>
      </c>
      <c r="B400">
        <f>'Raw Orders'!B400</f>
        <v/>
      </c>
      <c r="C400">
        <f>'Raw Orders'!C400</f>
        <v/>
      </c>
      <c r="D400" s="13">
        <f>'Raw Orders'!E400</f>
        <v/>
      </c>
      <c r="E400" s="14">
        <f>'Raw Orders'!F400</f>
        <v/>
      </c>
      <c r="F400" s="14">
        <f>'Raw Orders'!F400*0.5</f>
        <v/>
      </c>
      <c r="G400" s="12">
        <f>'Raw Orders'!H400</f>
        <v/>
      </c>
      <c r="H400" s="12">
        <f>'Raw Orders'!I400</f>
        <v/>
      </c>
      <c r="I400" s="13">
        <f>'Raw Orders'!K400</f>
        <v/>
      </c>
      <c r="J400" s="13">
        <f>IF('Raw Orders'!J400,"",(YEAR('Raw Orders'!I400)-YEAR('Raw Orders'!H400))*12+MONTH('Raw Orders'!I400)-MONTH('Raw Orders'!H400))</f>
        <v/>
      </c>
      <c r="K400">
        <f>IF('Raw Orders'!J400,"Cancelled",IF('Raw Orders'!K400&gt;=2,"Slipped","On plan"))</f>
        <v/>
      </c>
      <c r="L400" s="14">
        <f>IF(K400="On plan",0,F400)</f>
        <v/>
      </c>
    </row>
    <row r="401">
      <c r="A401">
        <f>'Raw Orders'!A401</f>
        <v/>
      </c>
      <c r="B401">
        <f>'Raw Orders'!B401</f>
        <v/>
      </c>
      <c r="C401">
        <f>'Raw Orders'!C401</f>
        <v/>
      </c>
      <c r="D401" s="13">
        <f>'Raw Orders'!E401</f>
        <v/>
      </c>
      <c r="E401" s="14">
        <f>'Raw Orders'!F401</f>
        <v/>
      </c>
      <c r="F401" s="14">
        <f>'Raw Orders'!F401*0.5</f>
        <v/>
      </c>
      <c r="G401" s="12">
        <f>'Raw Orders'!H401</f>
        <v/>
      </c>
      <c r="H401" s="12">
        <f>'Raw Orders'!I401</f>
        <v/>
      </c>
      <c r="I401" s="13">
        <f>'Raw Orders'!K401</f>
        <v/>
      </c>
      <c r="J401" s="13">
        <f>IF('Raw Orders'!J401,"",(YEAR('Raw Orders'!I401)-YEAR('Raw Orders'!H401))*12+MONTH('Raw Orders'!I401)-MONTH('Raw Orders'!H401))</f>
        <v/>
      </c>
      <c r="K401">
        <f>IF('Raw Orders'!J401,"Cancelled",IF('Raw Orders'!K401&gt;=2,"Slipped","On plan"))</f>
        <v/>
      </c>
      <c r="L401" s="14">
        <f>IF(K401="On plan",0,F401)</f>
        <v/>
      </c>
    </row>
    <row r="402">
      <c r="A402">
        <f>'Raw Orders'!A402</f>
        <v/>
      </c>
      <c r="B402">
        <f>'Raw Orders'!B402</f>
        <v/>
      </c>
      <c r="C402">
        <f>'Raw Orders'!C402</f>
        <v/>
      </c>
      <c r="D402" s="13">
        <f>'Raw Orders'!E402</f>
        <v/>
      </c>
      <c r="E402" s="14">
        <f>'Raw Orders'!F402</f>
        <v/>
      </c>
      <c r="F402" s="14">
        <f>'Raw Orders'!F402*0.5</f>
        <v/>
      </c>
      <c r="G402" s="12">
        <f>'Raw Orders'!H402</f>
        <v/>
      </c>
      <c r="H402" s="12">
        <f>'Raw Orders'!I402</f>
        <v/>
      </c>
      <c r="I402" s="13">
        <f>'Raw Orders'!K402</f>
        <v/>
      </c>
      <c r="J402" s="13">
        <f>IF('Raw Orders'!J402,"",(YEAR('Raw Orders'!I402)-YEAR('Raw Orders'!H402))*12+MONTH('Raw Orders'!I402)-MONTH('Raw Orders'!H402))</f>
        <v/>
      </c>
      <c r="K402">
        <f>IF('Raw Orders'!J402,"Cancelled",IF('Raw Orders'!K402&gt;=2,"Slipped","On plan"))</f>
        <v/>
      </c>
      <c r="L402" s="14">
        <f>IF(K402="On plan",0,F402)</f>
        <v/>
      </c>
    </row>
    <row r="403">
      <c r="A403">
        <f>'Raw Orders'!A403</f>
        <v/>
      </c>
      <c r="B403">
        <f>'Raw Orders'!B403</f>
        <v/>
      </c>
      <c r="C403">
        <f>'Raw Orders'!C403</f>
        <v/>
      </c>
      <c r="D403" s="13">
        <f>'Raw Orders'!E403</f>
        <v/>
      </c>
      <c r="E403" s="14">
        <f>'Raw Orders'!F403</f>
        <v/>
      </c>
      <c r="F403" s="14">
        <f>'Raw Orders'!F403*0.5</f>
        <v/>
      </c>
      <c r="G403" s="12">
        <f>'Raw Orders'!H403</f>
        <v/>
      </c>
      <c r="H403" s="12">
        <f>'Raw Orders'!I403</f>
        <v/>
      </c>
      <c r="I403" s="13">
        <f>'Raw Orders'!K403</f>
        <v/>
      </c>
      <c r="J403" s="13">
        <f>IF('Raw Orders'!J403,"",(YEAR('Raw Orders'!I403)-YEAR('Raw Orders'!H403))*12+MONTH('Raw Orders'!I403)-MONTH('Raw Orders'!H403))</f>
        <v/>
      </c>
      <c r="K403">
        <f>IF('Raw Orders'!J403,"Cancelled",IF('Raw Orders'!K403&gt;=2,"Slipped","On plan"))</f>
        <v/>
      </c>
      <c r="L403" s="14">
        <f>IF(K403="On plan",0,F403)</f>
        <v/>
      </c>
    </row>
    <row r="404">
      <c r="A404">
        <f>'Raw Orders'!A404</f>
        <v/>
      </c>
      <c r="B404">
        <f>'Raw Orders'!B404</f>
        <v/>
      </c>
      <c r="C404">
        <f>'Raw Orders'!C404</f>
        <v/>
      </c>
      <c r="D404" s="13">
        <f>'Raw Orders'!E404</f>
        <v/>
      </c>
      <c r="E404" s="14">
        <f>'Raw Orders'!F404</f>
        <v/>
      </c>
      <c r="F404" s="14">
        <f>'Raw Orders'!F404*0.5</f>
        <v/>
      </c>
      <c r="G404" s="12">
        <f>'Raw Orders'!H404</f>
        <v/>
      </c>
      <c r="H404" s="12">
        <f>'Raw Orders'!I404</f>
        <v/>
      </c>
      <c r="I404" s="13">
        <f>'Raw Orders'!K404</f>
        <v/>
      </c>
      <c r="J404" s="13">
        <f>IF('Raw Orders'!J404,"",(YEAR('Raw Orders'!I404)-YEAR('Raw Orders'!H404))*12+MONTH('Raw Orders'!I404)-MONTH('Raw Orders'!H404))</f>
        <v/>
      </c>
      <c r="K404">
        <f>IF('Raw Orders'!J404,"Cancelled",IF('Raw Orders'!K404&gt;=2,"Slipped","On plan"))</f>
        <v/>
      </c>
      <c r="L404" s="14">
        <f>IF(K404="On plan",0,F404)</f>
        <v/>
      </c>
    </row>
    <row r="405">
      <c r="A405">
        <f>'Raw Orders'!A405</f>
        <v/>
      </c>
      <c r="B405">
        <f>'Raw Orders'!B405</f>
        <v/>
      </c>
      <c r="C405">
        <f>'Raw Orders'!C405</f>
        <v/>
      </c>
      <c r="D405" s="13">
        <f>'Raw Orders'!E405</f>
        <v/>
      </c>
      <c r="E405" s="14">
        <f>'Raw Orders'!F405</f>
        <v/>
      </c>
      <c r="F405" s="14">
        <f>'Raw Orders'!F405*0.5</f>
        <v/>
      </c>
      <c r="G405" s="12">
        <f>'Raw Orders'!H405</f>
        <v/>
      </c>
      <c r="H405" s="12">
        <f>'Raw Orders'!I405</f>
        <v/>
      </c>
      <c r="I405" s="13">
        <f>'Raw Orders'!K405</f>
        <v/>
      </c>
      <c r="J405" s="13">
        <f>IF('Raw Orders'!J405,"",(YEAR('Raw Orders'!I405)-YEAR('Raw Orders'!H405))*12+MONTH('Raw Orders'!I405)-MONTH('Raw Orders'!H405))</f>
        <v/>
      </c>
      <c r="K405">
        <f>IF('Raw Orders'!J405,"Cancelled",IF('Raw Orders'!K405&gt;=2,"Slipped","On plan"))</f>
        <v/>
      </c>
      <c r="L405" s="14">
        <f>IF(K405="On plan",0,F405)</f>
        <v/>
      </c>
    </row>
    <row r="406">
      <c r="A406">
        <f>'Raw Orders'!A406</f>
        <v/>
      </c>
      <c r="B406">
        <f>'Raw Orders'!B406</f>
        <v/>
      </c>
      <c r="C406">
        <f>'Raw Orders'!C406</f>
        <v/>
      </c>
      <c r="D406" s="13">
        <f>'Raw Orders'!E406</f>
        <v/>
      </c>
      <c r="E406" s="14">
        <f>'Raw Orders'!F406</f>
        <v/>
      </c>
      <c r="F406" s="14">
        <f>'Raw Orders'!F406*0.5</f>
        <v/>
      </c>
      <c r="G406" s="12">
        <f>'Raw Orders'!H406</f>
        <v/>
      </c>
      <c r="H406" s="12">
        <f>'Raw Orders'!I406</f>
        <v/>
      </c>
      <c r="I406" s="13">
        <f>'Raw Orders'!K406</f>
        <v/>
      </c>
      <c r="J406" s="13">
        <f>IF('Raw Orders'!J406,"",(YEAR('Raw Orders'!I406)-YEAR('Raw Orders'!H406))*12+MONTH('Raw Orders'!I406)-MONTH('Raw Orders'!H406))</f>
        <v/>
      </c>
      <c r="K406">
        <f>IF('Raw Orders'!J406,"Cancelled",IF('Raw Orders'!K406&gt;=2,"Slipped","On plan"))</f>
        <v/>
      </c>
      <c r="L406" s="14">
        <f>IF(K406="On plan",0,F406)</f>
        <v/>
      </c>
    </row>
    <row r="407">
      <c r="A407">
        <f>'Raw Orders'!A407</f>
        <v/>
      </c>
      <c r="B407">
        <f>'Raw Orders'!B407</f>
        <v/>
      </c>
      <c r="C407">
        <f>'Raw Orders'!C407</f>
        <v/>
      </c>
      <c r="D407" s="13">
        <f>'Raw Orders'!E407</f>
        <v/>
      </c>
      <c r="E407" s="14">
        <f>'Raw Orders'!F407</f>
        <v/>
      </c>
      <c r="F407" s="14">
        <f>'Raw Orders'!F407*0.5</f>
        <v/>
      </c>
      <c r="G407" s="12">
        <f>'Raw Orders'!H407</f>
        <v/>
      </c>
      <c r="H407" s="12">
        <f>'Raw Orders'!I407</f>
        <v/>
      </c>
      <c r="I407" s="13">
        <f>'Raw Orders'!K407</f>
        <v/>
      </c>
      <c r="J407" s="13">
        <f>IF('Raw Orders'!J407,"",(YEAR('Raw Orders'!I407)-YEAR('Raw Orders'!H407))*12+MONTH('Raw Orders'!I407)-MONTH('Raw Orders'!H407))</f>
        <v/>
      </c>
      <c r="K407">
        <f>IF('Raw Orders'!J407,"Cancelled",IF('Raw Orders'!K407&gt;=2,"Slipped","On plan"))</f>
        <v/>
      </c>
      <c r="L407" s="14">
        <f>IF(K407="On plan",0,F407)</f>
        <v/>
      </c>
    </row>
    <row r="408">
      <c r="A408">
        <f>'Raw Orders'!A408</f>
        <v/>
      </c>
      <c r="B408">
        <f>'Raw Orders'!B408</f>
        <v/>
      </c>
      <c r="C408">
        <f>'Raw Orders'!C408</f>
        <v/>
      </c>
      <c r="D408" s="13">
        <f>'Raw Orders'!E408</f>
        <v/>
      </c>
      <c r="E408" s="14">
        <f>'Raw Orders'!F408</f>
        <v/>
      </c>
      <c r="F408" s="14">
        <f>'Raw Orders'!F408*0.5</f>
        <v/>
      </c>
      <c r="G408" s="12">
        <f>'Raw Orders'!H408</f>
        <v/>
      </c>
      <c r="H408" s="12">
        <f>'Raw Orders'!I408</f>
        <v/>
      </c>
      <c r="I408" s="13">
        <f>'Raw Orders'!K408</f>
        <v/>
      </c>
      <c r="J408" s="13">
        <f>IF('Raw Orders'!J408,"",(YEAR('Raw Orders'!I408)-YEAR('Raw Orders'!H408))*12+MONTH('Raw Orders'!I408)-MONTH('Raw Orders'!H408))</f>
        <v/>
      </c>
      <c r="K408">
        <f>IF('Raw Orders'!J408,"Cancelled",IF('Raw Orders'!K408&gt;=2,"Slipped","On plan"))</f>
        <v/>
      </c>
      <c r="L408" s="14">
        <f>IF(K408="On plan",0,F408)</f>
        <v/>
      </c>
    </row>
    <row r="409">
      <c r="A409">
        <f>'Raw Orders'!A409</f>
        <v/>
      </c>
      <c r="B409">
        <f>'Raw Orders'!B409</f>
        <v/>
      </c>
      <c r="C409">
        <f>'Raw Orders'!C409</f>
        <v/>
      </c>
      <c r="D409" s="13">
        <f>'Raw Orders'!E409</f>
        <v/>
      </c>
      <c r="E409" s="14">
        <f>'Raw Orders'!F409</f>
        <v/>
      </c>
      <c r="F409" s="14">
        <f>'Raw Orders'!F409*0.5</f>
        <v/>
      </c>
      <c r="G409" s="12">
        <f>'Raw Orders'!H409</f>
        <v/>
      </c>
      <c r="H409" s="12">
        <f>'Raw Orders'!I409</f>
        <v/>
      </c>
      <c r="I409" s="13">
        <f>'Raw Orders'!K409</f>
        <v/>
      </c>
      <c r="J409" s="13">
        <f>IF('Raw Orders'!J409,"",(YEAR('Raw Orders'!I409)-YEAR('Raw Orders'!H409))*12+MONTH('Raw Orders'!I409)-MONTH('Raw Orders'!H409))</f>
        <v/>
      </c>
      <c r="K409">
        <f>IF('Raw Orders'!J409,"Cancelled",IF('Raw Orders'!K409&gt;=2,"Slipped","On plan"))</f>
        <v/>
      </c>
      <c r="L409" s="14">
        <f>IF(K409="On plan",0,F409)</f>
        <v/>
      </c>
    </row>
    <row r="410">
      <c r="A410">
        <f>'Raw Orders'!A410</f>
        <v/>
      </c>
      <c r="B410">
        <f>'Raw Orders'!B410</f>
        <v/>
      </c>
      <c r="C410">
        <f>'Raw Orders'!C410</f>
        <v/>
      </c>
      <c r="D410" s="13">
        <f>'Raw Orders'!E410</f>
        <v/>
      </c>
      <c r="E410" s="14">
        <f>'Raw Orders'!F410</f>
        <v/>
      </c>
      <c r="F410" s="14">
        <f>'Raw Orders'!F410*0.5</f>
        <v/>
      </c>
      <c r="G410" s="12">
        <f>'Raw Orders'!H410</f>
        <v/>
      </c>
      <c r="H410" s="12">
        <f>'Raw Orders'!I410</f>
        <v/>
      </c>
      <c r="I410" s="13">
        <f>'Raw Orders'!K410</f>
        <v/>
      </c>
      <c r="J410" s="13">
        <f>IF('Raw Orders'!J410,"",(YEAR('Raw Orders'!I410)-YEAR('Raw Orders'!H410))*12+MONTH('Raw Orders'!I410)-MONTH('Raw Orders'!H410))</f>
        <v/>
      </c>
      <c r="K410">
        <f>IF('Raw Orders'!J410,"Cancelled",IF('Raw Orders'!K410&gt;=2,"Slipped","On plan"))</f>
        <v/>
      </c>
      <c r="L410" s="14">
        <f>IF(K410="On plan",0,F410)</f>
        <v/>
      </c>
    </row>
    <row r="411">
      <c r="A411">
        <f>'Raw Orders'!A411</f>
        <v/>
      </c>
      <c r="B411">
        <f>'Raw Orders'!B411</f>
        <v/>
      </c>
      <c r="C411">
        <f>'Raw Orders'!C411</f>
        <v/>
      </c>
      <c r="D411" s="13">
        <f>'Raw Orders'!E411</f>
        <v/>
      </c>
      <c r="E411" s="14">
        <f>'Raw Orders'!F411</f>
        <v/>
      </c>
      <c r="F411" s="14">
        <f>'Raw Orders'!F411*0.5</f>
        <v/>
      </c>
      <c r="G411" s="12">
        <f>'Raw Orders'!H411</f>
        <v/>
      </c>
      <c r="H411" s="12">
        <f>'Raw Orders'!I411</f>
        <v/>
      </c>
      <c r="I411" s="13">
        <f>'Raw Orders'!K411</f>
        <v/>
      </c>
      <c r="J411" s="13">
        <f>IF('Raw Orders'!J411,"",(YEAR('Raw Orders'!I411)-YEAR('Raw Orders'!H411))*12+MONTH('Raw Orders'!I411)-MONTH('Raw Orders'!H411))</f>
        <v/>
      </c>
      <c r="K411">
        <f>IF('Raw Orders'!J411,"Cancelled",IF('Raw Orders'!K411&gt;=2,"Slipped","On plan"))</f>
        <v/>
      </c>
      <c r="L411" s="14">
        <f>IF(K411="On plan",0,F411)</f>
        <v/>
      </c>
    </row>
    <row r="412">
      <c r="A412">
        <f>'Raw Orders'!A412</f>
        <v/>
      </c>
      <c r="B412">
        <f>'Raw Orders'!B412</f>
        <v/>
      </c>
      <c r="C412">
        <f>'Raw Orders'!C412</f>
        <v/>
      </c>
      <c r="D412" s="13">
        <f>'Raw Orders'!E412</f>
        <v/>
      </c>
      <c r="E412" s="14">
        <f>'Raw Orders'!F412</f>
        <v/>
      </c>
      <c r="F412" s="14">
        <f>'Raw Orders'!F412*0.5</f>
        <v/>
      </c>
      <c r="G412" s="12">
        <f>'Raw Orders'!H412</f>
        <v/>
      </c>
      <c r="H412" s="12">
        <f>'Raw Orders'!I412</f>
        <v/>
      </c>
      <c r="I412" s="13">
        <f>'Raw Orders'!K412</f>
        <v/>
      </c>
      <c r="J412" s="13">
        <f>IF('Raw Orders'!J412,"",(YEAR('Raw Orders'!I412)-YEAR('Raw Orders'!H412))*12+MONTH('Raw Orders'!I412)-MONTH('Raw Orders'!H412))</f>
        <v/>
      </c>
      <c r="K412">
        <f>IF('Raw Orders'!J412,"Cancelled",IF('Raw Orders'!K412&gt;=2,"Slipped","On plan"))</f>
        <v/>
      </c>
      <c r="L412" s="14">
        <f>IF(K412="On plan",0,F412)</f>
        <v/>
      </c>
    </row>
    <row r="413">
      <c r="A413">
        <f>'Raw Orders'!A413</f>
        <v/>
      </c>
      <c r="B413">
        <f>'Raw Orders'!B413</f>
        <v/>
      </c>
      <c r="C413">
        <f>'Raw Orders'!C413</f>
        <v/>
      </c>
      <c r="D413" s="13">
        <f>'Raw Orders'!E413</f>
        <v/>
      </c>
      <c r="E413" s="14">
        <f>'Raw Orders'!F413</f>
        <v/>
      </c>
      <c r="F413" s="14">
        <f>'Raw Orders'!F413*0.5</f>
        <v/>
      </c>
      <c r="G413" s="12">
        <f>'Raw Orders'!H413</f>
        <v/>
      </c>
      <c r="H413" s="12">
        <f>'Raw Orders'!I413</f>
        <v/>
      </c>
      <c r="I413" s="13">
        <f>'Raw Orders'!K413</f>
        <v/>
      </c>
      <c r="J413" s="13">
        <f>IF('Raw Orders'!J413,"",(YEAR('Raw Orders'!I413)-YEAR('Raw Orders'!H413))*12+MONTH('Raw Orders'!I413)-MONTH('Raw Orders'!H413))</f>
        <v/>
      </c>
      <c r="K413">
        <f>IF('Raw Orders'!J413,"Cancelled",IF('Raw Orders'!K413&gt;=2,"Slipped","On plan"))</f>
        <v/>
      </c>
      <c r="L413" s="14">
        <f>IF(K413="On plan",0,F413)</f>
        <v/>
      </c>
    </row>
    <row r="414">
      <c r="A414">
        <f>'Raw Orders'!A414</f>
        <v/>
      </c>
      <c r="B414">
        <f>'Raw Orders'!B414</f>
        <v/>
      </c>
      <c r="C414">
        <f>'Raw Orders'!C414</f>
        <v/>
      </c>
      <c r="D414" s="13">
        <f>'Raw Orders'!E414</f>
        <v/>
      </c>
      <c r="E414" s="14">
        <f>'Raw Orders'!F414</f>
        <v/>
      </c>
      <c r="F414" s="14">
        <f>'Raw Orders'!F414*0.5</f>
        <v/>
      </c>
      <c r="G414" s="12">
        <f>'Raw Orders'!H414</f>
        <v/>
      </c>
      <c r="H414" s="12">
        <f>'Raw Orders'!I414</f>
        <v/>
      </c>
      <c r="I414" s="13">
        <f>'Raw Orders'!K414</f>
        <v/>
      </c>
      <c r="J414" s="13">
        <f>IF('Raw Orders'!J414,"",(YEAR('Raw Orders'!I414)-YEAR('Raw Orders'!H414))*12+MONTH('Raw Orders'!I414)-MONTH('Raw Orders'!H414))</f>
        <v/>
      </c>
      <c r="K414">
        <f>IF('Raw Orders'!J414,"Cancelled",IF('Raw Orders'!K414&gt;=2,"Slipped","On plan"))</f>
        <v/>
      </c>
      <c r="L414" s="14">
        <f>IF(K414="On plan",0,F414)</f>
        <v/>
      </c>
    </row>
    <row r="415">
      <c r="A415">
        <f>'Raw Orders'!A415</f>
        <v/>
      </c>
      <c r="B415">
        <f>'Raw Orders'!B415</f>
        <v/>
      </c>
      <c r="C415">
        <f>'Raw Orders'!C415</f>
        <v/>
      </c>
      <c r="D415" s="13">
        <f>'Raw Orders'!E415</f>
        <v/>
      </c>
      <c r="E415" s="14">
        <f>'Raw Orders'!F415</f>
        <v/>
      </c>
      <c r="F415" s="14">
        <f>'Raw Orders'!F415*0.5</f>
        <v/>
      </c>
      <c r="G415" s="12">
        <f>'Raw Orders'!H415</f>
        <v/>
      </c>
      <c r="H415" s="12">
        <f>'Raw Orders'!I415</f>
        <v/>
      </c>
      <c r="I415" s="13">
        <f>'Raw Orders'!K415</f>
        <v/>
      </c>
      <c r="J415" s="13">
        <f>IF('Raw Orders'!J415,"",(YEAR('Raw Orders'!I415)-YEAR('Raw Orders'!H415))*12+MONTH('Raw Orders'!I415)-MONTH('Raw Orders'!H415))</f>
        <v/>
      </c>
      <c r="K415">
        <f>IF('Raw Orders'!J415,"Cancelled",IF('Raw Orders'!K415&gt;=2,"Slipped","On plan"))</f>
        <v/>
      </c>
      <c r="L415" s="14">
        <f>IF(K415="On plan",0,F415)</f>
        <v/>
      </c>
    </row>
    <row r="416">
      <c r="A416">
        <f>'Raw Orders'!A416</f>
        <v/>
      </c>
      <c r="B416">
        <f>'Raw Orders'!B416</f>
        <v/>
      </c>
      <c r="C416">
        <f>'Raw Orders'!C416</f>
        <v/>
      </c>
      <c r="D416" s="13">
        <f>'Raw Orders'!E416</f>
        <v/>
      </c>
      <c r="E416" s="14">
        <f>'Raw Orders'!F416</f>
        <v/>
      </c>
      <c r="F416" s="14">
        <f>'Raw Orders'!F416*0.5</f>
        <v/>
      </c>
      <c r="G416" s="12">
        <f>'Raw Orders'!H416</f>
        <v/>
      </c>
      <c r="H416" s="12">
        <f>'Raw Orders'!I416</f>
        <v/>
      </c>
      <c r="I416" s="13">
        <f>'Raw Orders'!K416</f>
        <v/>
      </c>
      <c r="J416" s="13">
        <f>IF('Raw Orders'!J416,"",(YEAR('Raw Orders'!I416)-YEAR('Raw Orders'!H416))*12+MONTH('Raw Orders'!I416)-MONTH('Raw Orders'!H416))</f>
        <v/>
      </c>
      <c r="K416">
        <f>IF('Raw Orders'!J416,"Cancelled",IF('Raw Orders'!K416&gt;=2,"Slipped","On plan"))</f>
        <v/>
      </c>
      <c r="L416" s="14">
        <f>IF(K416="On plan",0,F416)</f>
        <v/>
      </c>
    </row>
    <row r="417">
      <c r="A417">
        <f>'Raw Orders'!A417</f>
        <v/>
      </c>
      <c r="B417">
        <f>'Raw Orders'!B417</f>
        <v/>
      </c>
      <c r="C417">
        <f>'Raw Orders'!C417</f>
        <v/>
      </c>
      <c r="D417" s="13">
        <f>'Raw Orders'!E417</f>
        <v/>
      </c>
      <c r="E417" s="14">
        <f>'Raw Orders'!F417</f>
        <v/>
      </c>
      <c r="F417" s="14">
        <f>'Raw Orders'!F417*0.5</f>
        <v/>
      </c>
      <c r="G417" s="12">
        <f>'Raw Orders'!H417</f>
        <v/>
      </c>
      <c r="H417" s="12">
        <f>'Raw Orders'!I417</f>
        <v/>
      </c>
      <c r="I417" s="13">
        <f>'Raw Orders'!K417</f>
        <v/>
      </c>
      <c r="J417" s="13">
        <f>IF('Raw Orders'!J417,"",(YEAR('Raw Orders'!I417)-YEAR('Raw Orders'!H417))*12+MONTH('Raw Orders'!I417)-MONTH('Raw Orders'!H417))</f>
        <v/>
      </c>
      <c r="K417">
        <f>IF('Raw Orders'!J417,"Cancelled",IF('Raw Orders'!K417&gt;=2,"Slipped","On plan"))</f>
        <v/>
      </c>
      <c r="L417" s="14">
        <f>IF(K417="On plan",0,F417)</f>
        <v/>
      </c>
    </row>
    <row r="418">
      <c r="A418">
        <f>'Raw Orders'!A418</f>
        <v/>
      </c>
      <c r="B418">
        <f>'Raw Orders'!B418</f>
        <v/>
      </c>
      <c r="C418">
        <f>'Raw Orders'!C418</f>
        <v/>
      </c>
      <c r="D418" s="13">
        <f>'Raw Orders'!E418</f>
        <v/>
      </c>
      <c r="E418" s="14">
        <f>'Raw Orders'!F418</f>
        <v/>
      </c>
      <c r="F418" s="14">
        <f>'Raw Orders'!F418*0.5</f>
        <v/>
      </c>
      <c r="G418" s="12">
        <f>'Raw Orders'!H418</f>
        <v/>
      </c>
      <c r="H418" s="12">
        <f>'Raw Orders'!I418</f>
        <v/>
      </c>
      <c r="I418" s="13">
        <f>'Raw Orders'!K418</f>
        <v/>
      </c>
      <c r="J418" s="13">
        <f>IF('Raw Orders'!J418,"",(YEAR('Raw Orders'!I418)-YEAR('Raw Orders'!H418))*12+MONTH('Raw Orders'!I418)-MONTH('Raw Orders'!H418))</f>
        <v/>
      </c>
      <c r="K418">
        <f>IF('Raw Orders'!J418,"Cancelled",IF('Raw Orders'!K418&gt;=2,"Slipped","On plan"))</f>
        <v/>
      </c>
      <c r="L418" s="14">
        <f>IF(K418="On plan",0,F418)</f>
        <v/>
      </c>
    </row>
    <row r="419">
      <c r="A419">
        <f>'Raw Orders'!A419</f>
        <v/>
      </c>
      <c r="B419">
        <f>'Raw Orders'!B419</f>
        <v/>
      </c>
      <c r="C419">
        <f>'Raw Orders'!C419</f>
        <v/>
      </c>
      <c r="D419" s="13">
        <f>'Raw Orders'!E419</f>
        <v/>
      </c>
      <c r="E419" s="14">
        <f>'Raw Orders'!F419</f>
        <v/>
      </c>
      <c r="F419" s="14">
        <f>'Raw Orders'!F419*0.5</f>
        <v/>
      </c>
      <c r="G419" s="12">
        <f>'Raw Orders'!H419</f>
        <v/>
      </c>
      <c r="H419" s="12">
        <f>'Raw Orders'!I419</f>
        <v/>
      </c>
      <c r="I419" s="13">
        <f>'Raw Orders'!K419</f>
        <v/>
      </c>
      <c r="J419" s="13">
        <f>IF('Raw Orders'!J419,"",(YEAR('Raw Orders'!I419)-YEAR('Raw Orders'!H419))*12+MONTH('Raw Orders'!I419)-MONTH('Raw Orders'!H419))</f>
        <v/>
      </c>
      <c r="K419">
        <f>IF('Raw Orders'!J419,"Cancelled",IF('Raw Orders'!K419&gt;=2,"Slipped","On plan"))</f>
        <v/>
      </c>
      <c r="L419" s="14">
        <f>IF(K419="On plan",0,F419)</f>
        <v/>
      </c>
    </row>
    <row r="420">
      <c r="A420">
        <f>'Raw Orders'!A420</f>
        <v/>
      </c>
      <c r="B420">
        <f>'Raw Orders'!B420</f>
        <v/>
      </c>
      <c r="C420">
        <f>'Raw Orders'!C420</f>
        <v/>
      </c>
      <c r="D420" s="13">
        <f>'Raw Orders'!E420</f>
        <v/>
      </c>
      <c r="E420" s="14">
        <f>'Raw Orders'!F420</f>
        <v/>
      </c>
      <c r="F420" s="14">
        <f>'Raw Orders'!F420*0.5</f>
        <v/>
      </c>
      <c r="G420" s="12">
        <f>'Raw Orders'!H420</f>
        <v/>
      </c>
      <c r="H420" s="12">
        <f>'Raw Orders'!I420</f>
        <v/>
      </c>
      <c r="I420" s="13">
        <f>'Raw Orders'!K420</f>
        <v/>
      </c>
      <c r="J420" s="13">
        <f>IF('Raw Orders'!J420,"",(YEAR('Raw Orders'!I420)-YEAR('Raw Orders'!H420))*12+MONTH('Raw Orders'!I420)-MONTH('Raw Orders'!H420))</f>
        <v/>
      </c>
      <c r="K420">
        <f>IF('Raw Orders'!J420,"Cancelled",IF('Raw Orders'!K420&gt;=2,"Slipped","On plan"))</f>
        <v/>
      </c>
      <c r="L420" s="14">
        <f>IF(K420="On plan",0,F420)</f>
        <v/>
      </c>
    </row>
    <row r="421">
      <c r="A421">
        <f>'Raw Orders'!A421</f>
        <v/>
      </c>
      <c r="B421">
        <f>'Raw Orders'!B421</f>
        <v/>
      </c>
      <c r="C421">
        <f>'Raw Orders'!C421</f>
        <v/>
      </c>
      <c r="D421" s="13">
        <f>'Raw Orders'!E421</f>
        <v/>
      </c>
      <c r="E421" s="14">
        <f>'Raw Orders'!F421</f>
        <v/>
      </c>
      <c r="F421" s="14">
        <f>'Raw Orders'!F421*0.5</f>
        <v/>
      </c>
      <c r="G421" s="12">
        <f>'Raw Orders'!H421</f>
        <v/>
      </c>
      <c r="H421" s="12">
        <f>'Raw Orders'!I421</f>
        <v/>
      </c>
      <c r="I421" s="13">
        <f>'Raw Orders'!K421</f>
        <v/>
      </c>
      <c r="J421" s="13">
        <f>IF('Raw Orders'!J421,"",(YEAR('Raw Orders'!I421)-YEAR('Raw Orders'!H421))*12+MONTH('Raw Orders'!I421)-MONTH('Raw Orders'!H421))</f>
        <v/>
      </c>
      <c r="K421">
        <f>IF('Raw Orders'!J421,"Cancelled",IF('Raw Orders'!K421&gt;=2,"Slipped","On plan"))</f>
        <v/>
      </c>
      <c r="L421" s="14">
        <f>IF(K421="On plan",0,F421)</f>
        <v/>
      </c>
    </row>
    <row r="422">
      <c r="A422">
        <f>'Raw Orders'!A422</f>
        <v/>
      </c>
      <c r="B422">
        <f>'Raw Orders'!B422</f>
        <v/>
      </c>
      <c r="C422">
        <f>'Raw Orders'!C422</f>
        <v/>
      </c>
      <c r="D422" s="13">
        <f>'Raw Orders'!E422</f>
        <v/>
      </c>
      <c r="E422" s="14">
        <f>'Raw Orders'!F422</f>
        <v/>
      </c>
      <c r="F422" s="14">
        <f>'Raw Orders'!F422*0.5</f>
        <v/>
      </c>
      <c r="G422" s="12">
        <f>'Raw Orders'!H422</f>
        <v/>
      </c>
      <c r="H422" s="12">
        <f>'Raw Orders'!I422</f>
        <v/>
      </c>
      <c r="I422" s="13">
        <f>'Raw Orders'!K422</f>
        <v/>
      </c>
      <c r="J422" s="13">
        <f>IF('Raw Orders'!J422,"",(YEAR('Raw Orders'!I422)-YEAR('Raw Orders'!H422))*12+MONTH('Raw Orders'!I422)-MONTH('Raw Orders'!H422))</f>
        <v/>
      </c>
      <c r="K422">
        <f>IF('Raw Orders'!J422,"Cancelled",IF('Raw Orders'!K422&gt;=2,"Slipped","On plan"))</f>
        <v/>
      </c>
      <c r="L422" s="14">
        <f>IF(K422="On plan",0,F422)</f>
        <v/>
      </c>
    </row>
    <row r="423">
      <c r="A423">
        <f>'Raw Orders'!A423</f>
        <v/>
      </c>
      <c r="B423">
        <f>'Raw Orders'!B423</f>
        <v/>
      </c>
      <c r="C423">
        <f>'Raw Orders'!C423</f>
        <v/>
      </c>
      <c r="D423" s="13">
        <f>'Raw Orders'!E423</f>
        <v/>
      </c>
      <c r="E423" s="14">
        <f>'Raw Orders'!F423</f>
        <v/>
      </c>
      <c r="F423" s="14">
        <f>'Raw Orders'!F423*0.5</f>
        <v/>
      </c>
      <c r="G423" s="12">
        <f>'Raw Orders'!H423</f>
        <v/>
      </c>
      <c r="H423" s="12">
        <f>'Raw Orders'!I423</f>
        <v/>
      </c>
      <c r="I423" s="13">
        <f>'Raw Orders'!K423</f>
        <v/>
      </c>
      <c r="J423" s="13">
        <f>IF('Raw Orders'!J423,"",(YEAR('Raw Orders'!I423)-YEAR('Raw Orders'!H423))*12+MONTH('Raw Orders'!I423)-MONTH('Raw Orders'!H423))</f>
        <v/>
      </c>
      <c r="K423">
        <f>IF('Raw Orders'!J423,"Cancelled",IF('Raw Orders'!K423&gt;=2,"Slipped","On plan"))</f>
        <v/>
      </c>
      <c r="L423" s="14">
        <f>IF(K423="On plan",0,F423)</f>
        <v/>
      </c>
    </row>
    <row r="424">
      <c r="A424">
        <f>'Raw Orders'!A424</f>
        <v/>
      </c>
      <c r="B424">
        <f>'Raw Orders'!B424</f>
        <v/>
      </c>
      <c r="C424">
        <f>'Raw Orders'!C424</f>
        <v/>
      </c>
      <c r="D424" s="13">
        <f>'Raw Orders'!E424</f>
        <v/>
      </c>
      <c r="E424" s="14">
        <f>'Raw Orders'!F424</f>
        <v/>
      </c>
      <c r="F424" s="14">
        <f>'Raw Orders'!F424*0.5</f>
        <v/>
      </c>
      <c r="G424" s="12">
        <f>'Raw Orders'!H424</f>
        <v/>
      </c>
      <c r="H424" s="12">
        <f>'Raw Orders'!I424</f>
        <v/>
      </c>
      <c r="I424" s="13">
        <f>'Raw Orders'!K424</f>
        <v/>
      </c>
      <c r="J424" s="13">
        <f>IF('Raw Orders'!J424,"",(YEAR('Raw Orders'!I424)-YEAR('Raw Orders'!H424))*12+MONTH('Raw Orders'!I424)-MONTH('Raw Orders'!H424))</f>
        <v/>
      </c>
      <c r="K424">
        <f>IF('Raw Orders'!J424,"Cancelled",IF('Raw Orders'!K424&gt;=2,"Slipped","On plan"))</f>
        <v/>
      </c>
      <c r="L424" s="14">
        <f>IF(K424="On plan",0,F424)</f>
        <v/>
      </c>
    </row>
    <row r="425">
      <c r="A425">
        <f>'Raw Orders'!A425</f>
        <v/>
      </c>
      <c r="B425">
        <f>'Raw Orders'!B425</f>
        <v/>
      </c>
      <c r="C425">
        <f>'Raw Orders'!C425</f>
        <v/>
      </c>
      <c r="D425" s="13">
        <f>'Raw Orders'!E425</f>
        <v/>
      </c>
      <c r="E425" s="14">
        <f>'Raw Orders'!F425</f>
        <v/>
      </c>
      <c r="F425" s="14">
        <f>'Raw Orders'!F425*0.5</f>
        <v/>
      </c>
      <c r="G425" s="12">
        <f>'Raw Orders'!H425</f>
        <v/>
      </c>
      <c r="H425" s="12">
        <f>'Raw Orders'!I425</f>
        <v/>
      </c>
      <c r="I425" s="13">
        <f>'Raw Orders'!K425</f>
        <v/>
      </c>
      <c r="J425" s="13">
        <f>IF('Raw Orders'!J425,"",(YEAR('Raw Orders'!I425)-YEAR('Raw Orders'!H425))*12+MONTH('Raw Orders'!I425)-MONTH('Raw Orders'!H425))</f>
        <v/>
      </c>
      <c r="K425">
        <f>IF('Raw Orders'!J425,"Cancelled",IF('Raw Orders'!K425&gt;=2,"Slipped","On plan"))</f>
        <v/>
      </c>
      <c r="L425" s="14">
        <f>IF(K425="On plan",0,F425)</f>
        <v/>
      </c>
    </row>
    <row r="426">
      <c r="A426">
        <f>'Raw Orders'!A426</f>
        <v/>
      </c>
      <c r="B426">
        <f>'Raw Orders'!B426</f>
        <v/>
      </c>
      <c r="C426">
        <f>'Raw Orders'!C426</f>
        <v/>
      </c>
      <c r="D426" s="13">
        <f>'Raw Orders'!E426</f>
        <v/>
      </c>
      <c r="E426" s="14">
        <f>'Raw Orders'!F426</f>
        <v/>
      </c>
      <c r="F426" s="14">
        <f>'Raw Orders'!F426*0.5</f>
        <v/>
      </c>
      <c r="G426" s="12">
        <f>'Raw Orders'!H426</f>
        <v/>
      </c>
      <c r="H426" s="12">
        <f>'Raw Orders'!I426</f>
        <v/>
      </c>
      <c r="I426" s="13">
        <f>'Raw Orders'!K426</f>
        <v/>
      </c>
      <c r="J426" s="13">
        <f>IF('Raw Orders'!J426,"",(YEAR('Raw Orders'!I426)-YEAR('Raw Orders'!H426))*12+MONTH('Raw Orders'!I426)-MONTH('Raw Orders'!H426))</f>
        <v/>
      </c>
      <c r="K426">
        <f>IF('Raw Orders'!J426,"Cancelled",IF('Raw Orders'!K426&gt;=2,"Slipped","On plan"))</f>
        <v/>
      </c>
      <c r="L426" s="14">
        <f>IF(K426="On plan",0,F426)</f>
        <v/>
      </c>
    </row>
    <row r="427">
      <c r="A427">
        <f>'Raw Orders'!A427</f>
        <v/>
      </c>
      <c r="B427">
        <f>'Raw Orders'!B427</f>
        <v/>
      </c>
      <c r="C427">
        <f>'Raw Orders'!C427</f>
        <v/>
      </c>
      <c r="D427" s="13">
        <f>'Raw Orders'!E427</f>
        <v/>
      </c>
      <c r="E427" s="14">
        <f>'Raw Orders'!F427</f>
        <v/>
      </c>
      <c r="F427" s="14">
        <f>'Raw Orders'!F427*0.5</f>
        <v/>
      </c>
      <c r="G427" s="12">
        <f>'Raw Orders'!H427</f>
        <v/>
      </c>
      <c r="H427" s="12">
        <f>'Raw Orders'!I427</f>
        <v/>
      </c>
      <c r="I427" s="13">
        <f>'Raw Orders'!K427</f>
        <v/>
      </c>
      <c r="J427" s="13">
        <f>IF('Raw Orders'!J427,"",(YEAR('Raw Orders'!I427)-YEAR('Raw Orders'!H427))*12+MONTH('Raw Orders'!I427)-MONTH('Raw Orders'!H427))</f>
        <v/>
      </c>
      <c r="K427">
        <f>IF('Raw Orders'!J427,"Cancelled",IF('Raw Orders'!K427&gt;=2,"Slipped","On plan"))</f>
        <v/>
      </c>
      <c r="L427" s="14">
        <f>IF(K427="On plan",0,F427)</f>
        <v/>
      </c>
    </row>
    <row r="428">
      <c r="A428">
        <f>'Raw Orders'!A428</f>
        <v/>
      </c>
      <c r="B428">
        <f>'Raw Orders'!B428</f>
        <v/>
      </c>
      <c r="C428">
        <f>'Raw Orders'!C428</f>
        <v/>
      </c>
      <c r="D428" s="13">
        <f>'Raw Orders'!E428</f>
        <v/>
      </c>
      <c r="E428" s="14">
        <f>'Raw Orders'!F428</f>
        <v/>
      </c>
      <c r="F428" s="14">
        <f>'Raw Orders'!F428*0.5</f>
        <v/>
      </c>
      <c r="G428" s="12">
        <f>'Raw Orders'!H428</f>
        <v/>
      </c>
      <c r="H428" s="12">
        <f>'Raw Orders'!I428</f>
        <v/>
      </c>
      <c r="I428" s="13">
        <f>'Raw Orders'!K428</f>
        <v/>
      </c>
      <c r="J428" s="13">
        <f>IF('Raw Orders'!J428,"",(YEAR('Raw Orders'!I428)-YEAR('Raw Orders'!H428))*12+MONTH('Raw Orders'!I428)-MONTH('Raw Orders'!H428))</f>
        <v/>
      </c>
      <c r="K428">
        <f>IF('Raw Orders'!J428,"Cancelled",IF('Raw Orders'!K428&gt;=2,"Slipped","On plan"))</f>
        <v/>
      </c>
      <c r="L428" s="14">
        <f>IF(K428="On plan",0,F428)</f>
        <v/>
      </c>
    </row>
    <row r="429">
      <c r="A429">
        <f>'Raw Orders'!A429</f>
        <v/>
      </c>
      <c r="B429">
        <f>'Raw Orders'!B429</f>
        <v/>
      </c>
      <c r="C429">
        <f>'Raw Orders'!C429</f>
        <v/>
      </c>
      <c r="D429" s="13">
        <f>'Raw Orders'!E429</f>
        <v/>
      </c>
      <c r="E429" s="14">
        <f>'Raw Orders'!F429</f>
        <v/>
      </c>
      <c r="F429" s="14">
        <f>'Raw Orders'!F429*0.5</f>
        <v/>
      </c>
      <c r="G429" s="12">
        <f>'Raw Orders'!H429</f>
        <v/>
      </c>
      <c r="H429" s="12">
        <f>'Raw Orders'!I429</f>
        <v/>
      </c>
      <c r="I429" s="13">
        <f>'Raw Orders'!K429</f>
        <v/>
      </c>
      <c r="J429" s="13">
        <f>IF('Raw Orders'!J429,"",(YEAR('Raw Orders'!I429)-YEAR('Raw Orders'!H429))*12+MONTH('Raw Orders'!I429)-MONTH('Raw Orders'!H429))</f>
        <v/>
      </c>
      <c r="K429">
        <f>IF('Raw Orders'!J429,"Cancelled",IF('Raw Orders'!K429&gt;=2,"Slipped","On plan"))</f>
        <v/>
      </c>
      <c r="L429" s="14">
        <f>IF(K429="On plan",0,F429)</f>
        <v/>
      </c>
    </row>
    <row r="430">
      <c r="A430">
        <f>'Raw Orders'!A430</f>
        <v/>
      </c>
      <c r="B430">
        <f>'Raw Orders'!B430</f>
        <v/>
      </c>
      <c r="C430">
        <f>'Raw Orders'!C430</f>
        <v/>
      </c>
      <c r="D430" s="13">
        <f>'Raw Orders'!E430</f>
        <v/>
      </c>
      <c r="E430" s="14">
        <f>'Raw Orders'!F430</f>
        <v/>
      </c>
      <c r="F430" s="14">
        <f>'Raw Orders'!F430*0.5</f>
        <v/>
      </c>
      <c r="G430" s="12">
        <f>'Raw Orders'!H430</f>
        <v/>
      </c>
      <c r="H430" s="12">
        <f>'Raw Orders'!I430</f>
        <v/>
      </c>
      <c r="I430" s="13">
        <f>'Raw Orders'!K430</f>
        <v/>
      </c>
      <c r="J430" s="13">
        <f>IF('Raw Orders'!J430,"",(YEAR('Raw Orders'!I430)-YEAR('Raw Orders'!H430))*12+MONTH('Raw Orders'!I430)-MONTH('Raw Orders'!H430))</f>
        <v/>
      </c>
      <c r="K430">
        <f>IF('Raw Orders'!J430,"Cancelled",IF('Raw Orders'!K430&gt;=2,"Slipped","On plan"))</f>
        <v/>
      </c>
      <c r="L430" s="14">
        <f>IF(K430="On plan",0,F430)</f>
        <v/>
      </c>
    </row>
    <row r="431">
      <c r="A431">
        <f>'Raw Orders'!A431</f>
        <v/>
      </c>
      <c r="B431">
        <f>'Raw Orders'!B431</f>
        <v/>
      </c>
      <c r="C431">
        <f>'Raw Orders'!C431</f>
        <v/>
      </c>
      <c r="D431" s="13">
        <f>'Raw Orders'!E431</f>
        <v/>
      </c>
      <c r="E431" s="14">
        <f>'Raw Orders'!F431</f>
        <v/>
      </c>
      <c r="F431" s="14">
        <f>'Raw Orders'!F431*0.5</f>
        <v/>
      </c>
      <c r="G431" s="12">
        <f>'Raw Orders'!H431</f>
        <v/>
      </c>
      <c r="H431" s="12">
        <f>'Raw Orders'!I431</f>
        <v/>
      </c>
      <c r="I431" s="13">
        <f>'Raw Orders'!K431</f>
        <v/>
      </c>
      <c r="J431" s="13">
        <f>IF('Raw Orders'!J431,"",(YEAR('Raw Orders'!I431)-YEAR('Raw Orders'!H431))*12+MONTH('Raw Orders'!I431)-MONTH('Raw Orders'!H431))</f>
        <v/>
      </c>
      <c r="K431">
        <f>IF('Raw Orders'!J431,"Cancelled",IF('Raw Orders'!K431&gt;=2,"Slipped","On plan"))</f>
        <v/>
      </c>
      <c r="L431" s="14">
        <f>IF(K431="On plan",0,F431)</f>
        <v/>
      </c>
    </row>
    <row r="432">
      <c r="A432">
        <f>'Raw Orders'!A432</f>
        <v/>
      </c>
      <c r="B432">
        <f>'Raw Orders'!B432</f>
        <v/>
      </c>
      <c r="C432">
        <f>'Raw Orders'!C432</f>
        <v/>
      </c>
      <c r="D432" s="13">
        <f>'Raw Orders'!E432</f>
        <v/>
      </c>
      <c r="E432" s="14">
        <f>'Raw Orders'!F432</f>
        <v/>
      </c>
      <c r="F432" s="14">
        <f>'Raw Orders'!F432*0.5</f>
        <v/>
      </c>
      <c r="G432" s="12">
        <f>'Raw Orders'!H432</f>
        <v/>
      </c>
      <c r="H432" s="12">
        <f>'Raw Orders'!I432</f>
        <v/>
      </c>
      <c r="I432" s="13">
        <f>'Raw Orders'!K432</f>
        <v/>
      </c>
      <c r="J432" s="13">
        <f>IF('Raw Orders'!J432,"",(YEAR('Raw Orders'!I432)-YEAR('Raw Orders'!H432))*12+MONTH('Raw Orders'!I432)-MONTH('Raw Orders'!H432))</f>
        <v/>
      </c>
      <c r="K432">
        <f>IF('Raw Orders'!J432,"Cancelled",IF('Raw Orders'!K432&gt;=2,"Slipped","On plan"))</f>
        <v/>
      </c>
      <c r="L432" s="14">
        <f>IF(K432="On plan",0,F432)</f>
        <v/>
      </c>
    </row>
    <row r="433">
      <c r="A433">
        <f>'Raw Orders'!A433</f>
        <v/>
      </c>
      <c r="B433">
        <f>'Raw Orders'!B433</f>
        <v/>
      </c>
      <c r="C433">
        <f>'Raw Orders'!C433</f>
        <v/>
      </c>
      <c r="D433" s="13">
        <f>'Raw Orders'!E433</f>
        <v/>
      </c>
      <c r="E433" s="14">
        <f>'Raw Orders'!F433</f>
        <v/>
      </c>
      <c r="F433" s="14">
        <f>'Raw Orders'!F433*0.5</f>
        <v/>
      </c>
      <c r="G433" s="12">
        <f>'Raw Orders'!H433</f>
        <v/>
      </c>
      <c r="H433" s="12">
        <f>'Raw Orders'!I433</f>
        <v/>
      </c>
      <c r="I433" s="13">
        <f>'Raw Orders'!K433</f>
        <v/>
      </c>
      <c r="J433" s="13">
        <f>IF('Raw Orders'!J433,"",(YEAR('Raw Orders'!I433)-YEAR('Raw Orders'!H433))*12+MONTH('Raw Orders'!I433)-MONTH('Raw Orders'!H433))</f>
        <v/>
      </c>
      <c r="K433">
        <f>IF('Raw Orders'!J433,"Cancelled",IF('Raw Orders'!K433&gt;=2,"Slipped","On plan"))</f>
        <v/>
      </c>
      <c r="L433" s="14">
        <f>IF(K433="On plan",0,F433)</f>
        <v/>
      </c>
    </row>
    <row r="434">
      <c r="A434">
        <f>'Raw Orders'!A434</f>
        <v/>
      </c>
      <c r="B434">
        <f>'Raw Orders'!B434</f>
        <v/>
      </c>
      <c r="C434">
        <f>'Raw Orders'!C434</f>
        <v/>
      </c>
      <c r="D434" s="13">
        <f>'Raw Orders'!E434</f>
        <v/>
      </c>
      <c r="E434" s="14">
        <f>'Raw Orders'!F434</f>
        <v/>
      </c>
      <c r="F434" s="14">
        <f>'Raw Orders'!F434*0.5</f>
        <v/>
      </c>
      <c r="G434" s="12">
        <f>'Raw Orders'!H434</f>
        <v/>
      </c>
      <c r="H434" s="12">
        <f>'Raw Orders'!I434</f>
        <v/>
      </c>
      <c r="I434" s="13">
        <f>'Raw Orders'!K434</f>
        <v/>
      </c>
      <c r="J434" s="13">
        <f>IF('Raw Orders'!J434,"",(YEAR('Raw Orders'!I434)-YEAR('Raw Orders'!H434))*12+MONTH('Raw Orders'!I434)-MONTH('Raw Orders'!H434))</f>
        <v/>
      </c>
      <c r="K434">
        <f>IF('Raw Orders'!J434,"Cancelled",IF('Raw Orders'!K434&gt;=2,"Slipped","On plan"))</f>
        <v/>
      </c>
      <c r="L434" s="14">
        <f>IF(K434="On plan",0,F434)</f>
        <v/>
      </c>
    </row>
    <row r="435">
      <c r="A435">
        <f>'Raw Orders'!A435</f>
        <v/>
      </c>
      <c r="B435">
        <f>'Raw Orders'!B435</f>
        <v/>
      </c>
      <c r="C435">
        <f>'Raw Orders'!C435</f>
        <v/>
      </c>
      <c r="D435" s="13">
        <f>'Raw Orders'!E435</f>
        <v/>
      </c>
      <c r="E435" s="14">
        <f>'Raw Orders'!F435</f>
        <v/>
      </c>
      <c r="F435" s="14">
        <f>'Raw Orders'!F435*0.5</f>
        <v/>
      </c>
      <c r="G435" s="12">
        <f>'Raw Orders'!H435</f>
        <v/>
      </c>
      <c r="H435" s="12">
        <f>'Raw Orders'!I435</f>
        <v/>
      </c>
      <c r="I435" s="13">
        <f>'Raw Orders'!K435</f>
        <v/>
      </c>
      <c r="J435" s="13">
        <f>IF('Raw Orders'!J435,"",(YEAR('Raw Orders'!I435)-YEAR('Raw Orders'!H435))*12+MONTH('Raw Orders'!I435)-MONTH('Raw Orders'!H435))</f>
        <v/>
      </c>
      <c r="K435">
        <f>IF('Raw Orders'!J435,"Cancelled",IF('Raw Orders'!K435&gt;=2,"Slipped","On plan"))</f>
        <v/>
      </c>
      <c r="L435" s="14">
        <f>IF(K435="On plan",0,F435)</f>
        <v/>
      </c>
    </row>
    <row r="436">
      <c r="A436">
        <f>'Raw Orders'!A436</f>
        <v/>
      </c>
      <c r="B436">
        <f>'Raw Orders'!B436</f>
        <v/>
      </c>
      <c r="C436">
        <f>'Raw Orders'!C436</f>
        <v/>
      </c>
      <c r="D436" s="13">
        <f>'Raw Orders'!E436</f>
        <v/>
      </c>
      <c r="E436" s="14">
        <f>'Raw Orders'!F436</f>
        <v/>
      </c>
      <c r="F436" s="14">
        <f>'Raw Orders'!F436*0.5</f>
        <v/>
      </c>
      <c r="G436" s="12">
        <f>'Raw Orders'!H436</f>
        <v/>
      </c>
      <c r="H436" s="12">
        <f>'Raw Orders'!I436</f>
        <v/>
      </c>
      <c r="I436" s="13">
        <f>'Raw Orders'!K436</f>
        <v/>
      </c>
      <c r="J436" s="13">
        <f>IF('Raw Orders'!J436,"",(YEAR('Raw Orders'!I436)-YEAR('Raw Orders'!H436))*12+MONTH('Raw Orders'!I436)-MONTH('Raw Orders'!H436))</f>
        <v/>
      </c>
      <c r="K436">
        <f>IF('Raw Orders'!J436,"Cancelled",IF('Raw Orders'!K436&gt;=2,"Slipped","On plan"))</f>
        <v/>
      </c>
      <c r="L436" s="14">
        <f>IF(K436="On plan",0,F436)</f>
        <v/>
      </c>
    </row>
    <row r="437">
      <c r="A437">
        <f>'Raw Orders'!A437</f>
        <v/>
      </c>
      <c r="B437">
        <f>'Raw Orders'!B437</f>
        <v/>
      </c>
      <c r="C437">
        <f>'Raw Orders'!C437</f>
        <v/>
      </c>
      <c r="D437" s="13">
        <f>'Raw Orders'!E437</f>
        <v/>
      </c>
      <c r="E437" s="14">
        <f>'Raw Orders'!F437</f>
        <v/>
      </c>
      <c r="F437" s="14">
        <f>'Raw Orders'!F437*0.5</f>
        <v/>
      </c>
      <c r="G437" s="12">
        <f>'Raw Orders'!H437</f>
        <v/>
      </c>
      <c r="H437" s="12">
        <f>'Raw Orders'!I437</f>
        <v/>
      </c>
      <c r="I437" s="13">
        <f>'Raw Orders'!K437</f>
        <v/>
      </c>
      <c r="J437" s="13">
        <f>IF('Raw Orders'!J437,"",(YEAR('Raw Orders'!I437)-YEAR('Raw Orders'!H437))*12+MONTH('Raw Orders'!I437)-MONTH('Raw Orders'!H437))</f>
        <v/>
      </c>
      <c r="K437">
        <f>IF('Raw Orders'!J437,"Cancelled",IF('Raw Orders'!K437&gt;=2,"Slipped","On plan"))</f>
        <v/>
      </c>
      <c r="L437" s="14">
        <f>IF(K437="On plan",0,F437)</f>
        <v/>
      </c>
    </row>
    <row r="438">
      <c r="A438">
        <f>'Raw Orders'!A438</f>
        <v/>
      </c>
      <c r="B438">
        <f>'Raw Orders'!B438</f>
        <v/>
      </c>
      <c r="C438">
        <f>'Raw Orders'!C438</f>
        <v/>
      </c>
      <c r="D438" s="13">
        <f>'Raw Orders'!E438</f>
        <v/>
      </c>
      <c r="E438" s="14">
        <f>'Raw Orders'!F438</f>
        <v/>
      </c>
      <c r="F438" s="14">
        <f>'Raw Orders'!F438*0.5</f>
        <v/>
      </c>
      <c r="G438" s="12">
        <f>'Raw Orders'!H438</f>
        <v/>
      </c>
      <c r="H438" s="12">
        <f>'Raw Orders'!I438</f>
        <v/>
      </c>
      <c r="I438" s="13">
        <f>'Raw Orders'!K438</f>
        <v/>
      </c>
      <c r="J438" s="13">
        <f>IF('Raw Orders'!J438,"",(YEAR('Raw Orders'!I438)-YEAR('Raw Orders'!H438))*12+MONTH('Raw Orders'!I438)-MONTH('Raw Orders'!H438))</f>
        <v/>
      </c>
      <c r="K438">
        <f>IF('Raw Orders'!J438,"Cancelled",IF('Raw Orders'!K438&gt;=2,"Slipped","On plan"))</f>
        <v/>
      </c>
      <c r="L438" s="14">
        <f>IF(K438="On plan",0,F438)</f>
        <v/>
      </c>
    </row>
    <row r="439">
      <c r="A439">
        <f>'Raw Orders'!A439</f>
        <v/>
      </c>
      <c r="B439">
        <f>'Raw Orders'!B439</f>
        <v/>
      </c>
      <c r="C439">
        <f>'Raw Orders'!C439</f>
        <v/>
      </c>
      <c r="D439" s="13">
        <f>'Raw Orders'!E439</f>
        <v/>
      </c>
      <c r="E439" s="14">
        <f>'Raw Orders'!F439</f>
        <v/>
      </c>
      <c r="F439" s="14">
        <f>'Raw Orders'!F439*0.5</f>
        <v/>
      </c>
      <c r="G439" s="12">
        <f>'Raw Orders'!H439</f>
        <v/>
      </c>
      <c r="H439" s="12">
        <f>'Raw Orders'!I439</f>
        <v/>
      </c>
      <c r="I439" s="13">
        <f>'Raw Orders'!K439</f>
        <v/>
      </c>
      <c r="J439" s="13">
        <f>IF('Raw Orders'!J439,"",(YEAR('Raw Orders'!I439)-YEAR('Raw Orders'!H439))*12+MONTH('Raw Orders'!I439)-MONTH('Raw Orders'!H439))</f>
        <v/>
      </c>
      <c r="K439">
        <f>IF('Raw Orders'!J439,"Cancelled",IF('Raw Orders'!K439&gt;=2,"Slipped","On plan"))</f>
        <v/>
      </c>
      <c r="L439" s="14">
        <f>IF(K439="On plan",0,F439)</f>
        <v/>
      </c>
    </row>
    <row r="440">
      <c r="A440">
        <f>'Raw Orders'!A440</f>
        <v/>
      </c>
      <c r="B440">
        <f>'Raw Orders'!B440</f>
        <v/>
      </c>
      <c r="C440">
        <f>'Raw Orders'!C440</f>
        <v/>
      </c>
      <c r="D440" s="13">
        <f>'Raw Orders'!E440</f>
        <v/>
      </c>
      <c r="E440" s="14">
        <f>'Raw Orders'!F440</f>
        <v/>
      </c>
      <c r="F440" s="14">
        <f>'Raw Orders'!F440*0.5</f>
        <v/>
      </c>
      <c r="G440" s="12">
        <f>'Raw Orders'!H440</f>
        <v/>
      </c>
      <c r="H440" s="12">
        <f>'Raw Orders'!I440</f>
        <v/>
      </c>
      <c r="I440" s="13">
        <f>'Raw Orders'!K440</f>
        <v/>
      </c>
      <c r="J440" s="13">
        <f>IF('Raw Orders'!J440,"",(YEAR('Raw Orders'!I440)-YEAR('Raw Orders'!H440))*12+MONTH('Raw Orders'!I440)-MONTH('Raw Orders'!H440))</f>
        <v/>
      </c>
      <c r="K440">
        <f>IF('Raw Orders'!J440,"Cancelled",IF('Raw Orders'!K440&gt;=2,"Slipped","On plan"))</f>
        <v/>
      </c>
      <c r="L440" s="14">
        <f>IF(K440="On plan",0,F440)</f>
        <v/>
      </c>
    </row>
    <row r="441">
      <c r="A441">
        <f>'Raw Orders'!A441</f>
        <v/>
      </c>
      <c r="B441">
        <f>'Raw Orders'!B441</f>
        <v/>
      </c>
      <c r="C441">
        <f>'Raw Orders'!C441</f>
        <v/>
      </c>
      <c r="D441" s="13">
        <f>'Raw Orders'!E441</f>
        <v/>
      </c>
      <c r="E441" s="14">
        <f>'Raw Orders'!F441</f>
        <v/>
      </c>
      <c r="F441" s="14">
        <f>'Raw Orders'!F441*0.5</f>
        <v/>
      </c>
      <c r="G441" s="12">
        <f>'Raw Orders'!H441</f>
        <v/>
      </c>
      <c r="H441" s="12">
        <f>'Raw Orders'!I441</f>
        <v/>
      </c>
      <c r="I441" s="13">
        <f>'Raw Orders'!K441</f>
        <v/>
      </c>
      <c r="J441" s="13">
        <f>IF('Raw Orders'!J441,"",(YEAR('Raw Orders'!I441)-YEAR('Raw Orders'!H441))*12+MONTH('Raw Orders'!I441)-MONTH('Raw Orders'!H441))</f>
        <v/>
      </c>
      <c r="K441">
        <f>IF('Raw Orders'!J441,"Cancelled",IF('Raw Orders'!K441&gt;=2,"Slipped","On plan"))</f>
        <v/>
      </c>
      <c r="L441" s="14">
        <f>IF(K441="On plan",0,F441)</f>
        <v/>
      </c>
    </row>
    <row r="442">
      <c r="A442">
        <f>'Raw Orders'!A442</f>
        <v/>
      </c>
      <c r="B442">
        <f>'Raw Orders'!B442</f>
        <v/>
      </c>
      <c r="C442">
        <f>'Raw Orders'!C442</f>
        <v/>
      </c>
      <c r="D442" s="13">
        <f>'Raw Orders'!E442</f>
        <v/>
      </c>
      <c r="E442" s="14">
        <f>'Raw Orders'!F442</f>
        <v/>
      </c>
      <c r="F442" s="14">
        <f>'Raw Orders'!F442*0.5</f>
        <v/>
      </c>
      <c r="G442" s="12">
        <f>'Raw Orders'!H442</f>
        <v/>
      </c>
      <c r="H442" s="12">
        <f>'Raw Orders'!I442</f>
        <v/>
      </c>
      <c r="I442" s="13">
        <f>'Raw Orders'!K442</f>
        <v/>
      </c>
      <c r="J442" s="13">
        <f>IF('Raw Orders'!J442,"",(YEAR('Raw Orders'!I442)-YEAR('Raw Orders'!H442))*12+MONTH('Raw Orders'!I442)-MONTH('Raw Orders'!H442))</f>
        <v/>
      </c>
      <c r="K442">
        <f>IF('Raw Orders'!J442,"Cancelled",IF('Raw Orders'!K442&gt;=2,"Slipped","On plan"))</f>
        <v/>
      </c>
      <c r="L442" s="14">
        <f>IF(K442="On plan",0,F442)</f>
        <v/>
      </c>
    </row>
    <row r="443">
      <c r="A443">
        <f>'Raw Orders'!A443</f>
        <v/>
      </c>
      <c r="B443">
        <f>'Raw Orders'!B443</f>
        <v/>
      </c>
      <c r="C443">
        <f>'Raw Orders'!C443</f>
        <v/>
      </c>
      <c r="D443" s="13">
        <f>'Raw Orders'!E443</f>
        <v/>
      </c>
      <c r="E443" s="14">
        <f>'Raw Orders'!F443</f>
        <v/>
      </c>
      <c r="F443" s="14">
        <f>'Raw Orders'!F443*0.5</f>
        <v/>
      </c>
      <c r="G443" s="12">
        <f>'Raw Orders'!H443</f>
        <v/>
      </c>
      <c r="H443" s="12">
        <f>'Raw Orders'!I443</f>
        <v/>
      </c>
      <c r="I443" s="13">
        <f>'Raw Orders'!K443</f>
        <v/>
      </c>
      <c r="J443" s="13">
        <f>IF('Raw Orders'!J443,"",(YEAR('Raw Orders'!I443)-YEAR('Raw Orders'!H443))*12+MONTH('Raw Orders'!I443)-MONTH('Raw Orders'!H443))</f>
        <v/>
      </c>
      <c r="K443">
        <f>IF('Raw Orders'!J443,"Cancelled",IF('Raw Orders'!K443&gt;=2,"Slipped","On plan"))</f>
        <v/>
      </c>
      <c r="L443" s="14">
        <f>IF(K443="On plan",0,F443)</f>
        <v/>
      </c>
    </row>
    <row r="444">
      <c r="A444">
        <f>'Raw Orders'!A444</f>
        <v/>
      </c>
      <c r="B444">
        <f>'Raw Orders'!B444</f>
        <v/>
      </c>
      <c r="C444">
        <f>'Raw Orders'!C444</f>
        <v/>
      </c>
      <c r="D444" s="13">
        <f>'Raw Orders'!E444</f>
        <v/>
      </c>
      <c r="E444" s="14">
        <f>'Raw Orders'!F444</f>
        <v/>
      </c>
      <c r="F444" s="14">
        <f>'Raw Orders'!F444*0.5</f>
        <v/>
      </c>
      <c r="G444" s="12">
        <f>'Raw Orders'!H444</f>
        <v/>
      </c>
      <c r="H444" s="12">
        <f>'Raw Orders'!I444</f>
        <v/>
      </c>
      <c r="I444" s="13">
        <f>'Raw Orders'!K444</f>
        <v/>
      </c>
      <c r="J444" s="13">
        <f>IF('Raw Orders'!J444,"",(YEAR('Raw Orders'!I444)-YEAR('Raw Orders'!H444))*12+MONTH('Raw Orders'!I444)-MONTH('Raw Orders'!H444))</f>
        <v/>
      </c>
      <c r="K444">
        <f>IF('Raw Orders'!J444,"Cancelled",IF('Raw Orders'!K444&gt;=2,"Slipped","On plan"))</f>
        <v/>
      </c>
      <c r="L444" s="14">
        <f>IF(K444="On plan",0,F444)</f>
        <v/>
      </c>
    </row>
    <row r="445">
      <c r="A445">
        <f>'Raw Orders'!A445</f>
        <v/>
      </c>
      <c r="B445">
        <f>'Raw Orders'!B445</f>
        <v/>
      </c>
      <c r="C445">
        <f>'Raw Orders'!C445</f>
        <v/>
      </c>
      <c r="D445" s="13">
        <f>'Raw Orders'!E445</f>
        <v/>
      </c>
      <c r="E445" s="14">
        <f>'Raw Orders'!F445</f>
        <v/>
      </c>
      <c r="F445" s="14">
        <f>'Raw Orders'!F445*0.5</f>
        <v/>
      </c>
      <c r="G445" s="12">
        <f>'Raw Orders'!H445</f>
        <v/>
      </c>
      <c r="H445" s="12">
        <f>'Raw Orders'!I445</f>
        <v/>
      </c>
      <c r="I445" s="13">
        <f>'Raw Orders'!K445</f>
        <v/>
      </c>
      <c r="J445" s="13">
        <f>IF('Raw Orders'!J445,"",(YEAR('Raw Orders'!I445)-YEAR('Raw Orders'!H445))*12+MONTH('Raw Orders'!I445)-MONTH('Raw Orders'!H445))</f>
        <v/>
      </c>
      <c r="K445">
        <f>IF('Raw Orders'!J445,"Cancelled",IF('Raw Orders'!K445&gt;=2,"Slipped","On plan"))</f>
        <v/>
      </c>
      <c r="L445" s="14">
        <f>IF(K445="On plan",0,F445)</f>
        <v/>
      </c>
    </row>
    <row r="446">
      <c r="A446">
        <f>'Raw Orders'!A446</f>
        <v/>
      </c>
      <c r="B446">
        <f>'Raw Orders'!B446</f>
        <v/>
      </c>
      <c r="C446">
        <f>'Raw Orders'!C446</f>
        <v/>
      </c>
      <c r="D446" s="13">
        <f>'Raw Orders'!E446</f>
        <v/>
      </c>
      <c r="E446" s="14">
        <f>'Raw Orders'!F446</f>
        <v/>
      </c>
      <c r="F446" s="14">
        <f>'Raw Orders'!F446*0.5</f>
        <v/>
      </c>
      <c r="G446" s="12">
        <f>'Raw Orders'!H446</f>
        <v/>
      </c>
      <c r="H446" s="12">
        <f>'Raw Orders'!I446</f>
        <v/>
      </c>
      <c r="I446" s="13">
        <f>'Raw Orders'!K446</f>
        <v/>
      </c>
      <c r="J446" s="13">
        <f>IF('Raw Orders'!J446,"",(YEAR('Raw Orders'!I446)-YEAR('Raw Orders'!H446))*12+MONTH('Raw Orders'!I446)-MONTH('Raw Orders'!H446))</f>
        <v/>
      </c>
      <c r="K446">
        <f>IF('Raw Orders'!J446,"Cancelled",IF('Raw Orders'!K446&gt;=2,"Slipped","On plan"))</f>
        <v/>
      </c>
      <c r="L446" s="14">
        <f>IF(K446="On plan",0,F446)</f>
        <v/>
      </c>
    </row>
    <row r="447">
      <c r="A447">
        <f>'Raw Orders'!A447</f>
        <v/>
      </c>
      <c r="B447">
        <f>'Raw Orders'!B447</f>
        <v/>
      </c>
      <c r="C447">
        <f>'Raw Orders'!C447</f>
        <v/>
      </c>
      <c r="D447" s="13">
        <f>'Raw Orders'!E447</f>
        <v/>
      </c>
      <c r="E447" s="14">
        <f>'Raw Orders'!F447</f>
        <v/>
      </c>
      <c r="F447" s="14">
        <f>'Raw Orders'!F447*0.5</f>
        <v/>
      </c>
      <c r="G447" s="12">
        <f>'Raw Orders'!H447</f>
        <v/>
      </c>
      <c r="H447" s="12">
        <f>'Raw Orders'!I447</f>
        <v/>
      </c>
      <c r="I447" s="13">
        <f>'Raw Orders'!K447</f>
        <v/>
      </c>
      <c r="J447" s="13">
        <f>IF('Raw Orders'!J447,"",(YEAR('Raw Orders'!I447)-YEAR('Raw Orders'!H447))*12+MONTH('Raw Orders'!I447)-MONTH('Raw Orders'!H447))</f>
        <v/>
      </c>
      <c r="K447">
        <f>IF('Raw Orders'!J447,"Cancelled",IF('Raw Orders'!K447&gt;=2,"Slipped","On plan"))</f>
        <v/>
      </c>
      <c r="L447" s="14">
        <f>IF(K447="On plan",0,F447)</f>
        <v/>
      </c>
    </row>
    <row r="448">
      <c r="A448">
        <f>'Raw Orders'!A448</f>
        <v/>
      </c>
      <c r="B448">
        <f>'Raw Orders'!B448</f>
        <v/>
      </c>
      <c r="C448">
        <f>'Raw Orders'!C448</f>
        <v/>
      </c>
      <c r="D448" s="13">
        <f>'Raw Orders'!E448</f>
        <v/>
      </c>
      <c r="E448" s="14">
        <f>'Raw Orders'!F448</f>
        <v/>
      </c>
      <c r="F448" s="14">
        <f>'Raw Orders'!F448*0.5</f>
        <v/>
      </c>
      <c r="G448" s="12">
        <f>'Raw Orders'!H448</f>
        <v/>
      </c>
      <c r="H448" s="12">
        <f>'Raw Orders'!I448</f>
        <v/>
      </c>
      <c r="I448" s="13">
        <f>'Raw Orders'!K448</f>
        <v/>
      </c>
      <c r="J448" s="13">
        <f>IF('Raw Orders'!J448,"",(YEAR('Raw Orders'!I448)-YEAR('Raw Orders'!H448))*12+MONTH('Raw Orders'!I448)-MONTH('Raw Orders'!H448))</f>
        <v/>
      </c>
      <c r="K448">
        <f>IF('Raw Orders'!J448,"Cancelled",IF('Raw Orders'!K448&gt;=2,"Slipped","On plan"))</f>
        <v/>
      </c>
      <c r="L448" s="14">
        <f>IF(K448="On plan",0,F448)</f>
        <v/>
      </c>
    </row>
    <row r="449">
      <c r="A449">
        <f>'Raw Orders'!A449</f>
        <v/>
      </c>
      <c r="B449">
        <f>'Raw Orders'!B449</f>
        <v/>
      </c>
      <c r="C449">
        <f>'Raw Orders'!C449</f>
        <v/>
      </c>
      <c r="D449" s="13">
        <f>'Raw Orders'!E449</f>
        <v/>
      </c>
      <c r="E449" s="14">
        <f>'Raw Orders'!F449</f>
        <v/>
      </c>
      <c r="F449" s="14">
        <f>'Raw Orders'!F449*0.5</f>
        <v/>
      </c>
      <c r="G449" s="12">
        <f>'Raw Orders'!H449</f>
        <v/>
      </c>
      <c r="H449" s="12">
        <f>'Raw Orders'!I449</f>
        <v/>
      </c>
      <c r="I449" s="13">
        <f>'Raw Orders'!K449</f>
        <v/>
      </c>
      <c r="J449" s="13">
        <f>IF('Raw Orders'!J449,"",(YEAR('Raw Orders'!I449)-YEAR('Raw Orders'!H449))*12+MONTH('Raw Orders'!I449)-MONTH('Raw Orders'!H449))</f>
        <v/>
      </c>
      <c r="K449">
        <f>IF('Raw Orders'!J449,"Cancelled",IF('Raw Orders'!K449&gt;=2,"Slipped","On plan"))</f>
        <v/>
      </c>
      <c r="L449" s="14">
        <f>IF(K449="On plan",0,F449)</f>
        <v/>
      </c>
    </row>
    <row r="450">
      <c r="A450">
        <f>'Raw Orders'!A450</f>
        <v/>
      </c>
      <c r="B450">
        <f>'Raw Orders'!B450</f>
        <v/>
      </c>
      <c r="C450">
        <f>'Raw Orders'!C450</f>
        <v/>
      </c>
      <c r="D450" s="13">
        <f>'Raw Orders'!E450</f>
        <v/>
      </c>
      <c r="E450" s="14">
        <f>'Raw Orders'!F450</f>
        <v/>
      </c>
      <c r="F450" s="14">
        <f>'Raw Orders'!F450*0.5</f>
        <v/>
      </c>
      <c r="G450" s="12">
        <f>'Raw Orders'!H450</f>
        <v/>
      </c>
      <c r="H450" s="12">
        <f>'Raw Orders'!I450</f>
        <v/>
      </c>
      <c r="I450" s="13">
        <f>'Raw Orders'!K450</f>
        <v/>
      </c>
      <c r="J450" s="13">
        <f>IF('Raw Orders'!J450,"",(YEAR('Raw Orders'!I450)-YEAR('Raw Orders'!H450))*12+MONTH('Raw Orders'!I450)-MONTH('Raw Orders'!H450))</f>
        <v/>
      </c>
      <c r="K450">
        <f>IF('Raw Orders'!J450,"Cancelled",IF('Raw Orders'!K450&gt;=2,"Slipped","On plan"))</f>
        <v/>
      </c>
      <c r="L450" s="14">
        <f>IF(K450="On plan",0,F450)</f>
        <v/>
      </c>
    </row>
    <row r="451">
      <c r="A451">
        <f>'Raw Orders'!A451</f>
        <v/>
      </c>
      <c r="B451">
        <f>'Raw Orders'!B451</f>
        <v/>
      </c>
      <c r="C451">
        <f>'Raw Orders'!C451</f>
        <v/>
      </c>
      <c r="D451" s="13">
        <f>'Raw Orders'!E451</f>
        <v/>
      </c>
      <c r="E451" s="14">
        <f>'Raw Orders'!F451</f>
        <v/>
      </c>
      <c r="F451" s="14">
        <f>'Raw Orders'!F451*0.5</f>
        <v/>
      </c>
      <c r="G451" s="12">
        <f>'Raw Orders'!H451</f>
        <v/>
      </c>
      <c r="H451" s="12">
        <f>'Raw Orders'!I451</f>
        <v/>
      </c>
      <c r="I451" s="13">
        <f>'Raw Orders'!K451</f>
        <v/>
      </c>
      <c r="J451" s="13">
        <f>IF('Raw Orders'!J451,"",(YEAR('Raw Orders'!I451)-YEAR('Raw Orders'!H451))*12+MONTH('Raw Orders'!I451)-MONTH('Raw Orders'!H451))</f>
        <v/>
      </c>
      <c r="K451">
        <f>IF('Raw Orders'!J451,"Cancelled",IF('Raw Orders'!K451&gt;=2,"Slipped","On plan"))</f>
        <v/>
      </c>
      <c r="L451" s="14">
        <f>IF(K451="On plan",0,F451)</f>
        <v/>
      </c>
    </row>
    <row r="452">
      <c r="A452">
        <f>'Raw Orders'!A452</f>
        <v/>
      </c>
      <c r="B452">
        <f>'Raw Orders'!B452</f>
        <v/>
      </c>
      <c r="C452">
        <f>'Raw Orders'!C452</f>
        <v/>
      </c>
      <c r="D452" s="13">
        <f>'Raw Orders'!E452</f>
        <v/>
      </c>
      <c r="E452" s="14">
        <f>'Raw Orders'!F452</f>
        <v/>
      </c>
      <c r="F452" s="14">
        <f>'Raw Orders'!F452*0.5</f>
        <v/>
      </c>
      <c r="G452" s="12">
        <f>'Raw Orders'!H452</f>
        <v/>
      </c>
      <c r="H452" s="12">
        <f>'Raw Orders'!I452</f>
        <v/>
      </c>
      <c r="I452" s="13">
        <f>'Raw Orders'!K452</f>
        <v/>
      </c>
      <c r="J452" s="13">
        <f>IF('Raw Orders'!J452,"",(YEAR('Raw Orders'!I452)-YEAR('Raw Orders'!H452))*12+MONTH('Raw Orders'!I452)-MONTH('Raw Orders'!H452))</f>
        <v/>
      </c>
      <c r="K452">
        <f>IF('Raw Orders'!J452,"Cancelled",IF('Raw Orders'!K452&gt;=2,"Slipped","On plan"))</f>
        <v/>
      </c>
      <c r="L452" s="14">
        <f>IF(K452="On plan",0,F452)</f>
        <v/>
      </c>
    </row>
    <row r="453">
      <c r="A453">
        <f>'Raw Orders'!A453</f>
        <v/>
      </c>
      <c r="B453">
        <f>'Raw Orders'!B453</f>
        <v/>
      </c>
      <c r="C453">
        <f>'Raw Orders'!C453</f>
        <v/>
      </c>
      <c r="D453" s="13">
        <f>'Raw Orders'!E453</f>
        <v/>
      </c>
      <c r="E453" s="14">
        <f>'Raw Orders'!F453</f>
        <v/>
      </c>
      <c r="F453" s="14">
        <f>'Raw Orders'!F453*0.5</f>
        <v/>
      </c>
      <c r="G453" s="12">
        <f>'Raw Orders'!H453</f>
        <v/>
      </c>
      <c r="H453" s="12">
        <f>'Raw Orders'!I453</f>
        <v/>
      </c>
      <c r="I453" s="13">
        <f>'Raw Orders'!K453</f>
        <v/>
      </c>
      <c r="J453" s="13">
        <f>IF('Raw Orders'!J453,"",(YEAR('Raw Orders'!I453)-YEAR('Raw Orders'!H453))*12+MONTH('Raw Orders'!I453)-MONTH('Raw Orders'!H453))</f>
        <v/>
      </c>
      <c r="K453">
        <f>IF('Raw Orders'!J453,"Cancelled",IF('Raw Orders'!K453&gt;=2,"Slipped","On plan"))</f>
        <v/>
      </c>
      <c r="L453" s="14">
        <f>IF(K453="On plan",0,F453)</f>
        <v/>
      </c>
    </row>
    <row r="454">
      <c r="A454">
        <f>'Raw Orders'!A454</f>
        <v/>
      </c>
      <c r="B454">
        <f>'Raw Orders'!B454</f>
        <v/>
      </c>
      <c r="C454">
        <f>'Raw Orders'!C454</f>
        <v/>
      </c>
      <c r="D454" s="13">
        <f>'Raw Orders'!E454</f>
        <v/>
      </c>
      <c r="E454" s="14">
        <f>'Raw Orders'!F454</f>
        <v/>
      </c>
      <c r="F454" s="14">
        <f>'Raw Orders'!F454*0.5</f>
        <v/>
      </c>
      <c r="G454" s="12">
        <f>'Raw Orders'!H454</f>
        <v/>
      </c>
      <c r="H454" s="12">
        <f>'Raw Orders'!I454</f>
        <v/>
      </c>
      <c r="I454" s="13">
        <f>'Raw Orders'!K454</f>
        <v/>
      </c>
      <c r="J454" s="13">
        <f>IF('Raw Orders'!J454,"",(YEAR('Raw Orders'!I454)-YEAR('Raw Orders'!H454))*12+MONTH('Raw Orders'!I454)-MONTH('Raw Orders'!H454))</f>
        <v/>
      </c>
      <c r="K454">
        <f>IF('Raw Orders'!J454,"Cancelled",IF('Raw Orders'!K454&gt;=2,"Slipped","On plan"))</f>
        <v/>
      </c>
      <c r="L454" s="14">
        <f>IF(K454="On plan",0,F454)</f>
        <v/>
      </c>
    </row>
    <row r="455">
      <c r="A455">
        <f>'Raw Orders'!A455</f>
        <v/>
      </c>
      <c r="B455">
        <f>'Raw Orders'!B455</f>
        <v/>
      </c>
      <c r="C455">
        <f>'Raw Orders'!C455</f>
        <v/>
      </c>
      <c r="D455" s="13">
        <f>'Raw Orders'!E455</f>
        <v/>
      </c>
      <c r="E455" s="14">
        <f>'Raw Orders'!F455</f>
        <v/>
      </c>
      <c r="F455" s="14">
        <f>'Raw Orders'!F455*0.5</f>
        <v/>
      </c>
      <c r="G455" s="12">
        <f>'Raw Orders'!H455</f>
        <v/>
      </c>
      <c r="H455" s="12">
        <f>'Raw Orders'!I455</f>
        <v/>
      </c>
      <c r="I455" s="13">
        <f>'Raw Orders'!K455</f>
        <v/>
      </c>
      <c r="J455" s="13">
        <f>IF('Raw Orders'!J455,"",(YEAR('Raw Orders'!I455)-YEAR('Raw Orders'!H455))*12+MONTH('Raw Orders'!I455)-MONTH('Raw Orders'!H455))</f>
        <v/>
      </c>
      <c r="K455">
        <f>IF('Raw Orders'!J455,"Cancelled",IF('Raw Orders'!K455&gt;=2,"Slipped","On plan"))</f>
        <v/>
      </c>
      <c r="L455" s="14">
        <f>IF(K455="On plan",0,F455)</f>
        <v/>
      </c>
    </row>
    <row r="456">
      <c r="A456">
        <f>'Raw Orders'!A456</f>
        <v/>
      </c>
      <c r="B456">
        <f>'Raw Orders'!B456</f>
        <v/>
      </c>
      <c r="C456">
        <f>'Raw Orders'!C456</f>
        <v/>
      </c>
      <c r="D456" s="13">
        <f>'Raw Orders'!E456</f>
        <v/>
      </c>
      <c r="E456" s="14">
        <f>'Raw Orders'!F456</f>
        <v/>
      </c>
      <c r="F456" s="14">
        <f>'Raw Orders'!F456*0.5</f>
        <v/>
      </c>
      <c r="G456" s="12">
        <f>'Raw Orders'!H456</f>
        <v/>
      </c>
      <c r="H456" s="12">
        <f>'Raw Orders'!I456</f>
        <v/>
      </c>
      <c r="I456" s="13">
        <f>'Raw Orders'!K456</f>
        <v/>
      </c>
      <c r="J456" s="13">
        <f>IF('Raw Orders'!J456,"",(YEAR('Raw Orders'!I456)-YEAR('Raw Orders'!H456))*12+MONTH('Raw Orders'!I456)-MONTH('Raw Orders'!H456))</f>
        <v/>
      </c>
      <c r="K456">
        <f>IF('Raw Orders'!J456,"Cancelled",IF('Raw Orders'!K456&gt;=2,"Slipped","On plan"))</f>
        <v/>
      </c>
      <c r="L456" s="14">
        <f>IF(K456="On plan",0,F456)</f>
        <v/>
      </c>
    </row>
    <row r="457">
      <c r="A457">
        <f>'Raw Orders'!A457</f>
        <v/>
      </c>
      <c r="B457">
        <f>'Raw Orders'!B457</f>
        <v/>
      </c>
      <c r="C457">
        <f>'Raw Orders'!C457</f>
        <v/>
      </c>
      <c r="D457" s="13">
        <f>'Raw Orders'!E457</f>
        <v/>
      </c>
      <c r="E457" s="14">
        <f>'Raw Orders'!F457</f>
        <v/>
      </c>
      <c r="F457" s="14">
        <f>'Raw Orders'!F457*0.5</f>
        <v/>
      </c>
      <c r="G457" s="12">
        <f>'Raw Orders'!H457</f>
        <v/>
      </c>
      <c r="H457" s="12">
        <f>'Raw Orders'!I457</f>
        <v/>
      </c>
      <c r="I457" s="13">
        <f>'Raw Orders'!K457</f>
        <v/>
      </c>
      <c r="J457" s="13">
        <f>IF('Raw Orders'!J457,"",(YEAR('Raw Orders'!I457)-YEAR('Raw Orders'!H457))*12+MONTH('Raw Orders'!I457)-MONTH('Raw Orders'!H457))</f>
        <v/>
      </c>
      <c r="K457">
        <f>IF('Raw Orders'!J457,"Cancelled",IF('Raw Orders'!K457&gt;=2,"Slipped","On plan"))</f>
        <v/>
      </c>
      <c r="L457" s="14">
        <f>IF(K457="On plan",0,F457)</f>
        <v/>
      </c>
    </row>
    <row r="458">
      <c r="A458">
        <f>'Raw Orders'!A458</f>
        <v/>
      </c>
      <c r="B458">
        <f>'Raw Orders'!B458</f>
        <v/>
      </c>
      <c r="C458">
        <f>'Raw Orders'!C458</f>
        <v/>
      </c>
      <c r="D458" s="13">
        <f>'Raw Orders'!E458</f>
        <v/>
      </c>
      <c r="E458" s="14">
        <f>'Raw Orders'!F458</f>
        <v/>
      </c>
      <c r="F458" s="14">
        <f>'Raw Orders'!F458*0.5</f>
        <v/>
      </c>
      <c r="G458" s="12">
        <f>'Raw Orders'!H458</f>
        <v/>
      </c>
      <c r="H458" s="12">
        <f>'Raw Orders'!I458</f>
        <v/>
      </c>
      <c r="I458" s="13">
        <f>'Raw Orders'!K458</f>
        <v/>
      </c>
      <c r="J458" s="13">
        <f>IF('Raw Orders'!J458,"",(YEAR('Raw Orders'!I458)-YEAR('Raw Orders'!H458))*12+MONTH('Raw Orders'!I458)-MONTH('Raw Orders'!H458))</f>
        <v/>
      </c>
      <c r="K458">
        <f>IF('Raw Orders'!J458,"Cancelled",IF('Raw Orders'!K458&gt;=2,"Slipped","On plan"))</f>
        <v/>
      </c>
      <c r="L458" s="14">
        <f>IF(K458="On plan",0,F458)</f>
        <v/>
      </c>
    </row>
    <row r="459">
      <c r="A459">
        <f>'Raw Orders'!A459</f>
        <v/>
      </c>
      <c r="B459">
        <f>'Raw Orders'!B459</f>
        <v/>
      </c>
      <c r="C459">
        <f>'Raw Orders'!C459</f>
        <v/>
      </c>
      <c r="D459" s="13">
        <f>'Raw Orders'!E459</f>
        <v/>
      </c>
      <c r="E459" s="14">
        <f>'Raw Orders'!F459</f>
        <v/>
      </c>
      <c r="F459" s="14">
        <f>'Raw Orders'!F459*0.5</f>
        <v/>
      </c>
      <c r="G459" s="12">
        <f>'Raw Orders'!H459</f>
        <v/>
      </c>
      <c r="H459" s="12">
        <f>'Raw Orders'!I459</f>
        <v/>
      </c>
      <c r="I459" s="13">
        <f>'Raw Orders'!K459</f>
        <v/>
      </c>
      <c r="J459" s="13">
        <f>IF('Raw Orders'!J459,"",(YEAR('Raw Orders'!I459)-YEAR('Raw Orders'!H459))*12+MONTH('Raw Orders'!I459)-MONTH('Raw Orders'!H459))</f>
        <v/>
      </c>
      <c r="K459">
        <f>IF('Raw Orders'!J459,"Cancelled",IF('Raw Orders'!K459&gt;=2,"Slipped","On plan"))</f>
        <v/>
      </c>
      <c r="L459" s="14">
        <f>IF(K459="On plan",0,F459)</f>
        <v/>
      </c>
    </row>
    <row r="460">
      <c r="A460">
        <f>'Raw Orders'!A460</f>
        <v/>
      </c>
      <c r="B460">
        <f>'Raw Orders'!B460</f>
        <v/>
      </c>
      <c r="C460">
        <f>'Raw Orders'!C460</f>
        <v/>
      </c>
      <c r="D460" s="13">
        <f>'Raw Orders'!E460</f>
        <v/>
      </c>
      <c r="E460" s="14">
        <f>'Raw Orders'!F460</f>
        <v/>
      </c>
      <c r="F460" s="14">
        <f>'Raw Orders'!F460*0.5</f>
        <v/>
      </c>
      <c r="G460" s="12">
        <f>'Raw Orders'!H460</f>
        <v/>
      </c>
      <c r="H460" s="12">
        <f>'Raw Orders'!I460</f>
        <v/>
      </c>
      <c r="I460" s="13">
        <f>'Raw Orders'!K460</f>
        <v/>
      </c>
      <c r="J460" s="13">
        <f>IF('Raw Orders'!J460,"",(YEAR('Raw Orders'!I460)-YEAR('Raw Orders'!H460))*12+MONTH('Raw Orders'!I460)-MONTH('Raw Orders'!H460))</f>
        <v/>
      </c>
      <c r="K460">
        <f>IF('Raw Orders'!J460,"Cancelled",IF('Raw Orders'!K460&gt;=2,"Slipped","On plan"))</f>
        <v/>
      </c>
      <c r="L460" s="14">
        <f>IF(K460="On plan",0,F460)</f>
        <v/>
      </c>
    </row>
    <row r="461">
      <c r="A461">
        <f>'Raw Orders'!A461</f>
        <v/>
      </c>
      <c r="B461">
        <f>'Raw Orders'!B461</f>
        <v/>
      </c>
      <c r="C461">
        <f>'Raw Orders'!C461</f>
        <v/>
      </c>
      <c r="D461" s="13">
        <f>'Raw Orders'!E461</f>
        <v/>
      </c>
      <c r="E461" s="14">
        <f>'Raw Orders'!F461</f>
        <v/>
      </c>
      <c r="F461" s="14">
        <f>'Raw Orders'!F461*0.5</f>
        <v/>
      </c>
      <c r="G461" s="12">
        <f>'Raw Orders'!H461</f>
        <v/>
      </c>
      <c r="H461" s="12">
        <f>'Raw Orders'!I461</f>
        <v/>
      </c>
      <c r="I461" s="13">
        <f>'Raw Orders'!K461</f>
        <v/>
      </c>
      <c r="J461" s="13">
        <f>IF('Raw Orders'!J461,"",(YEAR('Raw Orders'!I461)-YEAR('Raw Orders'!H461))*12+MONTH('Raw Orders'!I461)-MONTH('Raw Orders'!H461))</f>
        <v/>
      </c>
      <c r="K461">
        <f>IF('Raw Orders'!J461,"Cancelled",IF('Raw Orders'!K461&gt;=2,"Slipped","On plan"))</f>
        <v/>
      </c>
      <c r="L461" s="14">
        <f>IF(K461="On plan",0,F461)</f>
        <v/>
      </c>
    </row>
    <row r="462">
      <c r="A462">
        <f>'Raw Orders'!A462</f>
        <v/>
      </c>
      <c r="B462">
        <f>'Raw Orders'!B462</f>
        <v/>
      </c>
      <c r="C462">
        <f>'Raw Orders'!C462</f>
        <v/>
      </c>
      <c r="D462" s="13">
        <f>'Raw Orders'!E462</f>
        <v/>
      </c>
      <c r="E462" s="14">
        <f>'Raw Orders'!F462</f>
        <v/>
      </c>
      <c r="F462" s="14">
        <f>'Raw Orders'!F462*0.5</f>
        <v/>
      </c>
      <c r="G462" s="12">
        <f>'Raw Orders'!H462</f>
        <v/>
      </c>
      <c r="H462" s="12">
        <f>'Raw Orders'!I462</f>
        <v/>
      </c>
      <c r="I462" s="13">
        <f>'Raw Orders'!K462</f>
        <v/>
      </c>
      <c r="J462" s="13">
        <f>IF('Raw Orders'!J462,"",(YEAR('Raw Orders'!I462)-YEAR('Raw Orders'!H462))*12+MONTH('Raw Orders'!I462)-MONTH('Raw Orders'!H462))</f>
        <v/>
      </c>
      <c r="K462">
        <f>IF('Raw Orders'!J462,"Cancelled",IF('Raw Orders'!K462&gt;=2,"Slipped","On plan"))</f>
        <v/>
      </c>
      <c r="L462" s="14">
        <f>IF(K462="On plan",0,F462)</f>
        <v/>
      </c>
    </row>
    <row r="463">
      <c r="A463">
        <f>'Raw Orders'!A463</f>
        <v/>
      </c>
      <c r="B463">
        <f>'Raw Orders'!B463</f>
        <v/>
      </c>
      <c r="C463">
        <f>'Raw Orders'!C463</f>
        <v/>
      </c>
      <c r="D463" s="13">
        <f>'Raw Orders'!E463</f>
        <v/>
      </c>
      <c r="E463" s="14">
        <f>'Raw Orders'!F463</f>
        <v/>
      </c>
      <c r="F463" s="14">
        <f>'Raw Orders'!F463*0.5</f>
        <v/>
      </c>
      <c r="G463" s="12">
        <f>'Raw Orders'!H463</f>
        <v/>
      </c>
      <c r="H463" s="12">
        <f>'Raw Orders'!I463</f>
        <v/>
      </c>
      <c r="I463" s="13">
        <f>'Raw Orders'!K463</f>
        <v/>
      </c>
      <c r="J463" s="13">
        <f>IF('Raw Orders'!J463,"",(YEAR('Raw Orders'!I463)-YEAR('Raw Orders'!H463))*12+MONTH('Raw Orders'!I463)-MONTH('Raw Orders'!H463))</f>
        <v/>
      </c>
      <c r="K463">
        <f>IF('Raw Orders'!J463,"Cancelled",IF('Raw Orders'!K463&gt;=2,"Slipped","On plan"))</f>
        <v/>
      </c>
      <c r="L463" s="14">
        <f>IF(K463="On plan",0,F463)</f>
        <v/>
      </c>
    </row>
    <row r="464">
      <c r="A464">
        <f>'Raw Orders'!A464</f>
        <v/>
      </c>
      <c r="B464">
        <f>'Raw Orders'!B464</f>
        <v/>
      </c>
      <c r="C464">
        <f>'Raw Orders'!C464</f>
        <v/>
      </c>
      <c r="D464" s="13">
        <f>'Raw Orders'!E464</f>
        <v/>
      </c>
      <c r="E464" s="14">
        <f>'Raw Orders'!F464</f>
        <v/>
      </c>
      <c r="F464" s="14">
        <f>'Raw Orders'!F464*0.5</f>
        <v/>
      </c>
      <c r="G464" s="12">
        <f>'Raw Orders'!H464</f>
        <v/>
      </c>
      <c r="H464" s="12">
        <f>'Raw Orders'!I464</f>
        <v/>
      </c>
      <c r="I464" s="13">
        <f>'Raw Orders'!K464</f>
        <v/>
      </c>
      <c r="J464" s="13">
        <f>IF('Raw Orders'!J464,"",(YEAR('Raw Orders'!I464)-YEAR('Raw Orders'!H464))*12+MONTH('Raw Orders'!I464)-MONTH('Raw Orders'!H464))</f>
        <v/>
      </c>
      <c r="K464">
        <f>IF('Raw Orders'!J464,"Cancelled",IF('Raw Orders'!K464&gt;=2,"Slipped","On plan"))</f>
        <v/>
      </c>
      <c r="L464" s="14">
        <f>IF(K464="On plan",0,F464)</f>
        <v/>
      </c>
    </row>
    <row r="465">
      <c r="A465">
        <f>'Raw Orders'!A465</f>
        <v/>
      </c>
      <c r="B465">
        <f>'Raw Orders'!B465</f>
        <v/>
      </c>
      <c r="C465">
        <f>'Raw Orders'!C465</f>
        <v/>
      </c>
      <c r="D465" s="13">
        <f>'Raw Orders'!E465</f>
        <v/>
      </c>
      <c r="E465" s="14">
        <f>'Raw Orders'!F465</f>
        <v/>
      </c>
      <c r="F465" s="14">
        <f>'Raw Orders'!F465*0.5</f>
        <v/>
      </c>
      <c r="G465" s="12">
        <f>'Raw Orders'!H465</f>
        <v/>
      </c>
      <c r="H465" s="12">
        <f>'Raw Orders'!I465</f>
        <v/>
      </c>
      <c r="I465" s="13">
        <f>'Raw Orders'!K465</f>
        <v/>
      </c>
      <c r="J465" s="13">
        <f>IF('Raw Orders'!J465,"",(YEAR('Raw Orders'!I465)-YEAR('Raw Orders'!H465))*12+MONTH('Raw Orders'!I465)-MONTH('Raw Orders'!H465))</f>
        <v/>
      </c>
      <c r="K465">
        <f>IF('Raw Orders'!J465,"Cancelled",IF('Raw Orders'!K465&gt;=2,"Slipped","On plan"))</f>
        <v/>
      </c>
      <c r="L465" s="14">
        <f>IF(K465="On plan",0,F465)</f>
        <v/>
      </c>
    </row>
    <row r="466">
      <c r="A466">
        <f>'Raw Orders'!A466</f>
        <v/>
      </c>
      <c r="B466">
        <f>'Raw Orders'!B466</f>
        <v/>
      </c>
      <c r="C466">
        <f>'Raw Orders'!C466</f>
        <v/>
      </c>
      <c r="D466" s="13">
        <f>'Raw Orders'!E466</f>
        <v/>
      </c>
      <c r="E466" s="14">
        <f>'Raw Orders'!F466</f>
        <v/>
      </c>
      <c r="F466" s="14">
        <f>'Raw Orders'!F466*0.5</f>
        <v/>
      </c>
      <c r="G466" s="12">
        <f>'Raw Orders'!H466</f>
        <v/>
      </c>
      <c r="H466" s="12">
        <f>'Raw Orders'!I466</f>
        <v/>
      </c>
      <c r="I466" s="13">
        <f>'Raw Orders'!K466</f>
        <v/>
      </c>
      <c r="J466" s="13">
        <f>IF('Raw Orders'!J466,"",(YEAR('Raw Orders'!I466)-YEAR('Raw Orders'!H466))*12+MONTH('Raw Orders'!I466)-MONTH('Raw Orders'!H466))</f>
        <v/>
      </c>
      <c r="K466">
        <f>IF('Raw Orders'!J466,"Cancelled",IF('Raw Orders'!K466&gt;=2,"Slipped","On plan"))</f>
        <v/>
      </c>
      <c r="L466" s="14">
        <f>IF(K466="On plan",0,F466)</f>
        <v/>
      </c>
    </row>
    <row r="467">
      <c r="A467">
        <f>'Raw Orders'!A467</f>
        <v/>
      </c>
      <c r="B467">
        <f>'Raw Orders'!B467</f>
        <v/>
      </c>
      <c r="C467">
        <f>'Raw Orders'!C467</f>
        <v/>
      </c>
      <c r="D467" s="13">
        <f>'Raw Orders'!E467</f>
        <v/>
      </c>
      <c r="E467" s="14">
        <f>'Raw Orders'!F467</f>
        <v/>
      </c>
      <c r="F467" s="14">
        <f>'Raw Orders'!F467*0.5</f>
        <v/>
      </c>
      <c r="G467" s="12">
        <f>'Raw Orders'!H467</f>
        <v/>
      </c>
      <c r="H467" s="12">
        <f>'Raw Orders'!I467</f>
        <v/>
      </c>
      <c r="I467" s="13">
        <f>'Raw Orders'!K467</f>
        <v/>
      </c>
      <c r="J467" s="13">
        <f>IF('Raw Orders'!J467,"",(YEAR('Raw Orders'!I467)-YEAR('Raw Orders'!H467))*12+MONTH('Raw Orders'!I467)-MONTH('Raw Orders'!H467))</f>
        <v/>
      </c>
      <c r="K467">
        <f>IF('Raw Orders'!J467,"Cancelled",IF('Raw Orders'!K467&gt;=2,"Slipped","On plan"))</f>
        <v/>
      </c>
      <c r="L467" s="14">
        <f>IF(K467="On plan",0,F467)</f>
        <v/>
      </c>
    </row>
    <row r="468">
      <c r="A468">
        <f>'Raw Orders'!A468</f>
        <v/>
      </c>
      <c r="B468">
        <f>'Raw Orders'!B468</f>
        <v/>
      </c>
      <c r="C468">
        <f>'Raw Orders'!C468</f>
        <v/>
      </c>
      <c r="D468" s="13">
        <f>'Raw Orders'!E468</f>
        <v/>
      </c>
      <c r="E468" s="14">
        <f>'Raw Orders'!F468</f>
        <v/>
      </c>
      <c r="F468" s="14">
        <f>'Raw Orders'!F468*0.5</f>
        <v/>
      </c>
      <c r="G468" s="12">
        <f>'Raw Orders'!H468</f>
        <v/>
      </c>
      <c r="H468" s="12">
        <f>'Raw Orders'!I468</f>
        <v/>
      </c>
      <c r="I468" s="13">
        <f>'Raw Orders'!K468</f>
        <v/>
      </c>
      <c r="J468" s="13">
        <f>IF('Raw Orders'!J468,"",(YEAR('Raw Orders'!I468)-YEAR('Raw Orders'!H468))*12+MONTH('Raw Orders'!I468)-MONTH('Raw Orders'!H468))</f>
        <v/>
      </c>
      <c r="K468">
        <f>IF('Raw Orders'!J468,"Cancelled",IF('Raw Orders'!K468&gt;=2,"Slipped","On plan"))</f>
        <v/>
      </c>
      <c r="L468" s="14">
        <f>IF(K468="On plan",0,F468)</f>
        <v/>
      </c>
    </row>
    <row r="469">
      <c r="A469">
        <f>'Raw Orders'!A469</f>
        <v/>
      </c>
      <c r="B469">
        <f>'Raw Orders'!B469</f>
        <v/>
      </c>
      <c r="C469">
        <f>'Raw Orders'!C469</f>
        <v/>
      </c>
      <c r="D469" s="13">
        <f>'Raw Orders'!E469</f>
        <v/>
      </c>
      <c r="E469" s="14">
        <f>'Raw Orders'!F469</f>
        <v/>
      </c>
      <c r="F469" s="14">
        <f>'Raw Orders'!F469*0.5</f>
        <v/>
      </c>
      <c r="G469" s="12">
        <f>'Raw Orders'!H469</f>
        <v/>
      </c>
      <c r="H469" s="12">
        <f>'Raw Orders'!I469</f>
        <v/>
      </c>
      <c r="I469" s="13">
        <f>'Raw Orders'!K469</f>
        <v/>
      </c>
      <c r="J469" s="13">
        <f>IF('Raw Orders'!J469,"",(YEAR('Raw Orders'!I469)-YEAR('Raw Orders'!H469))*12+MONTH('Raw Orders'!I469)-MONTH('Raw Orders'!H469))</f>
        <v/>
      </c>
      <c r="K469">
        <f>IF('Raw Orders'!J469,"Cancelled",IF('Raw Orders'!K469&gt;=2,"Slipped","On plan"))</f>
        <v/>
      </c>
      <c r="L469" s="14">
        <f>IF(K469="On plan",0,F469)</f>
        <v/>
      </c>
    </row>
    <row r="470">
      <c r="A470">
        <f>'Raw Orders'!A470</f>
        <v/>
      </c>
      <c r="B470">
        <f>'Raw Orders'!B470</f>
        <v/>
      </c>
      <c r="C470">
        <f>'Raw Orders'!C470</f>
        <v/>
      </c>
      <c r="D470" s="13">
        <f>'Raw Orders'!E470</f>
        <v/>
      </c>
      <c r="E470" s="14">
        <f>'Raw Orders'!F470</f>
        <v/>
      </c>
      <c r="F470" s="14">
        <f>'Raw Orders'!F470*0.5</f>
        <v/>
      </c>
      <c r="G470" s="12">
        <f>'Raw Orders'!H470</f>
        <v/>
      </c>
      <c r="H470" s="12">
        <f>'Raw Orders'!I470</f>
        <v/>
      </c>
      <c r="I470" s="13">
        <f>'Raw Orders'!K470</f>
        <v/>
      </c>
      <c r="J470" s="13">
        <f>IF('Raw Orders'!J470,"",(YEAR('Raw Orders'!I470)-YEAR('Raw Orders'!H470))*12+MONTH('Raw Orders'!I470)-MONTH('Raw Orders'!H470))</f>
        <v/>
      </c>
      <c r="K470">
        <f>IF('Raw Orders'!J470,"Cancelled",IF('Raw Orders'!K470&gt;=2,"Slipped","On plan"))</f>
        <v/>
      </c>
      <c r="L470" s="14">
        <f>IF(K470="On plan",0,F470)</f>
        <v/>
      </c>
    </row>
    <row r="471">
      <c r="A471">
        <f>'Raw Orders'!A471</f>
        <v/>
      </c>
      <c r="B471">
        <f>'Raw Orders'!B471</f>
        <v/>
      </c>
      <c r="C471">
        <f>'Raw Orders'!C471</f>
        <v/>
      </c>
      <c r="D471" s="13">
        <f>'Raw Orders'!E471</f>
        <v/>
      </c>
      <c r="E471" s="14">
        <f>'Raw Orders'!F471</f>
        <v/>
      </c>
      <c r="F471" s="14">
        <f>'Raw Orders'!F471*0.5</f>
        <v/>
      </c>
      <c r="G471" s="12">
        <f>'Raw Orders'!H471</f>
        <v/>
      </c>
      <c r="H471" s="12">
        <f>'Raw Orders'!I471</f>
        <v/>
      </c>
      <c r="I471" s="13">
        <f>'Raw Orders'!K471</f>
        <v/>
      </c>
      <c r="J471" s="13">
        <f>IF('Raw Orders'!J471,"",(YEAR('Raw Orders'!I471)-YEAR('Raw Orders'!H471))*12+MONTH('Raw Orders'!I471)-MONTH('Raw Orders'!H471))</f>
        <v/>
      </c>
      <c r="K471">
        <f>IF('Raw Orders'!J471,"Cancelled",IF('Raw Orders'!K471&gt;=2,"Slipped","On plan"))</f>
        <v/>
      </c>
      <c r="L471" s="14">
        <f>IF(K471="On plan",0,F471)</f>
        <v/>
      </c>
    </row>
    <row r="472">
      <c r="A472">
        <f>'Raw Orders'!A472</f>
        <v/>
      </c>
      <c r="B472">
        <f>'Raw Orders'!B472</f>
        <v/>
      </c>
      <c r="C472">
        <f>'Raw Orders'!C472</f>
        <v/>
      </c>
      <c r="D472" s="13">
        <f>'Raw Orders'!E472</f>
        <v/>
      </c>
      <c r="E472" s="14">
        <f>'Raw Orders'!F472</f>
        <v/>
      </c>
      <c r="F472" s="14">
        <f>'Raw Orders'!F472*0.5</f>
        <v/>
      </c>
      <c r="G472" s="12">
        <f>'Raw Orders'!H472</f>
        <v/>
      </c>
      <c r="H472" s="12">
        <f>'Raw Orders'!I472</f>
        <v/>
      </c>
      <c r="I472" s="13">
        <f>'Raw Orders'!K472</f>
        <v/>
      </c>
      <c r="J472" s="13">
        <f>IF('Raw Orders'!J472,"",(YEAR('Raw Orders'!I472)-YEAR('Raw Orders'!H472))*12+MONTH('Raw Orders'!I472)-MONTH('Raw Orders'!H472))</f>
        <v/>
      </c>
      <c r="K472">
        <f>IF('Raw Orders'!J472,"Cancelled",IF('Raw Orders'!K472&gt;=2,"Slipped","On plan"))</f>
        <v/>
      </c>
      <c r="L472" s="14">
        <f>IF(K472="On plan",0,F472)</f>
        <v/>
      </c>
    </row>
    <row r="473">
      <c r="A473">
        <f>'Raw Orders'!A473</f>
        <v/>
      </c>
      <c r="B473">
        <f>'Raw Orders'!B473</f>
        <v/>
      </c>
      <c r="C473">
        <f>'Raw Orders'!C473</f>
        <v/>
      </c>
      <c r="D473" s="13">
        <f>'Raw Orders'!E473</f>
        <v/>
      </c>
      <c r="E473" s="14">
        <f>'Raw Orders'!F473</f>
        <v/>
      </c>
      <c r="F473" s="14">
        <f>'Raw Orders'!F473*0.5</f>
        <v/>
      </c>
      <c r="G473" s="12">
        <f>'Raw Orders'!H473</f>
        <v/>
      </c>
      <c r="H473" s="12">
        <f>'Raw Orders'!I473</f>
        <v/>
      </c>
      <c r="I473" s="13">
        <f>'Raw Orders'!K473</f>
        <v/>
      </c>
      <c r="J473" s="13">
        <f>IF('Raw Orders'!J473,"",(YEAR('Raw Orders'!I473)-YEAR('Raw Orders'!H473))*12+MONTH('Raw Orders'!I473)-MONTH('Raw Orders'!H473))</f>
        <v/>
      </c>
      <c r="K473">
        <f>IF('Raw Orders'!J473,"Cancelled",IF('Raw Orders'!K473&gt;=2,"Slipped","On plan"))</f>
        <v/>
      </c>
      <c r="L473" s="14">
        <f>IF(K473="On plan",0,F473)</f>
        <v/>
      </c>
    </row>
    <row r="474">
      <c r="A474">
        <f>'Raw Orders'!A474</f>
        <v/>
      </c>
      <c r="B474">
        <f>'Raw Orders'!B474</f>
        <v/>
      </c>
      <c r="C474">
        <f>'Raw Orders'!C474</f>
        <v/>
      </c>
      <c r="D474" s="13">
        <f>'Raw Orders'!E474</f>
        <v/>
      </c>
      <c r="E474" s="14">
        <f>'Raw Orders'!F474</f>
        <v/>
      </c>
      <c r="F474" s="14">
        <f>'Raw Orders'!F474*0.5</f>
        <v/>
      </c>
      <c r="G474" s="12">
        <f>'Raw Orders'!H474</f>
        <v/>
      </c>
      <c r="H474" s="12">
        <f>'Raw Orders'!I474</f>
        <v/>
      </c>
      <c r="I474" s="13">
        <f>'Raw Orders'!K474</f>
        <v/>
      </c>
      <c r="J474" s="13">
        <f>IF('Raw Orders'!J474,"",(YEAR('Raw Orders'!I474)-YEAR('Raw Orders'!H474))*12+MONTH('Raw Orders'!I474)-MONTH('Raw Orders'!H474))</f>
        <v/>
      </c>
      <c r="K474">
        <f>IF('Raw Orders'!J474,"Cancelled",IF('Raw Orders'!K474&gt;=2,"Slipped","On plan"))</f>
        <v/>
      </c>
      <c r="L474" s="14">
        <f>IF(K474="On plan",0,F474)</f>
        <v/>
      </c>
    </row>
    <row r="475">
      <c r="A475">
        <f>'Raw Orders'!A475</f>
        <v/>
      </c>
      <c r="B475">
        <f>'Raw Orders'!B475</f>
        <v/>
      </c>
      <c r="C475">
        <f>'Raw Orders'!C475</f>
        <v/>
      </c>
      <c r="D475" s="13">
        <f>'Raw Orders'!E475</f>
        <v/>
      </c>
      <c r="E475" s="14">
        <f>'Raw Orders'!F475</f>
        <v/>
      </c>
      <c r="F475" s="14">
        <f>'Raw Orders'!F475*0.5</f>
        <v/>
      </c>
      <c r="G475" s="12">
        <f>'Raw Orders'!H475</f>
        <v/>
      </c>
      <c r="H475" s="12">
        <f>'Raw Orders'!I475</f>
        <v/>
      </c>
      <c r="I475" s="13">
        <f>'Raw Orders'!K475</f>
        <v/>
      </c>
      <c r="J475" s="13">
        <f>IF('Raw Orders'!J475,"",(YEAR('Raw Orders'!I475)-YEAR('Raw Orders'!H475))*12+MONTH('Raw Orders'!I475)-MONTH('Raw Orders'!H475))</f>
        <v/>
      </c>
      <c r="K475">
        <f>IF('Raw Orders'!J475,"Cancelled",IF('Raw Orders'!K475&gt;=2,"Slipped","On plan"))</f>
        <v/>
      </c>
      <c r="L475" s="14">
        <f>IF(K475="On plan",0,F475)</f>
        <v/>
      </c>
    </row>
    <row r="476">
      <c r="A476">
        <f>'Raw Orders'!A476</f>
        <v/>
      </c>
      <c r="B476">
        <f>'Raw Orders'!B476</f>
        <v/>
      </c>
      <c r="C476">
        <f>'Raw Orders'!C476</f>
        <v/>
      </c>
      <c r="D476" s="13">
        <f>'Raw Orders'!E476</f>
        <v/>
      </c>
      <c r="E476" s="14">
        <f>'Raw Orders'!F476</f>
        <v/>
      </c>
      <c r="F476" s="14">
        <f>'Raw Orders'!F476*0.5</f>
        <v/>
      </c>
      <c r="G476" s="12">
        <f>'Raw Orders'!H476</f>
        <v/>
      </c>
      <c r="H476" s="12">
        <f>'Raw Orders'!I476</f>
        <v/>
      </c>
      <c r="I476" s="13">
        <f>'Raw Orders'!K476</f>
        <v/>
      </c>
      <c r="J476" s="13">
        <f>IF('Raw Orders'!J476,"",(YEAR('Raw Orders'!I476)-YEAR('Raw Orders'!H476))*12+MONTH('Raw Orders'!I476)-MONTH('Raw Orders'!H476))</f>
        <v/>
      </c>
      <c r="K476">
        <f>IF('Raw Orders'!J476,"Cancelled",IF('Raw Orders'!K476&gt;=2,"Slipped","On plan"))</f>
        <v/>
      </c>
      <c r="L476" s="14">
        <f>IF(K476="On plan",0,F476)</f>
        <v/>
      </c>
    </row>
    <row r="477">
      <c r="A477">
        <f>'Raw Orders'!A477</f>
        <v/>
      </c>
      <c r="B477">
        <f>'Raw Orders'!B477</f>
        <v/>
      </c>
      <c r="C477">
        <f>'Raw Orders'!C477</f>
        <v/>
      </c>
      <c r="D477" s="13">
        <f>'Raw Orders'!E477</f>
        <v/>
      </c>
      <c r="E477" s="14">
        <f>'Raw Orders'!F477</f>
        <v/>
      </c>
      <c r="F477" s="14">
        <f>'Raw Orders'!F477*0.5</f>
        <v/>
      </c>
      <c r="G477" s="12">
        <f>'Raw Orders'!H477</f>
        <v/>
      </c>
      <c r="H477" s="12">
        <f>'Raw Orders'!I477</f>
        <v/>
      </c>
      <c r="I477" s="13">
        <f>'Raw Orders'!K477</f>
        <v/>
      </c>
      <c r="J477" s="13">
        <f>IF('Raw Orders'!J477,"",(YEAR('Raw Orders'!I477)-YEAR('Raw Orders'!H477))*12+MONTH('Raw Orders'!I477)-MONTH('Raw Orders'!H477))</f>
        <v/>
      </c>
      <c r="K477">
        <f>IF('Raw Orders'!J477,"Cancelled",IF('Raw Orders'!K477&gt;=2,"Slipped","On plan"))</f>
        <v/>
      </c>
      <c r="L477" s="14">
        <f>IF(K477="On plan",0,F477)</f>
        <v/>
      </c>
    </row>
    <row r="478">
      <c r="A478">
        <f>'Raw Orders'!A478</f>
        <v/>
      </c>
      <c r="B478">
        <f>'Raw Orders'!B478</f>
        <v/>
      </c>
      <c r="C478">
        <f>'Raw Orders'!C478</f>
        <v/>
      </c>
      <c r="D478" s="13">
        <f>'Raw Orders'!E478</f>
        <v/>
      </c>
      <c r="E478" s="14">
        <f>'Raw Orders'!F478</f>
        <v/>
      </c>
      <c r="F478" s="14">
        <f>'Raw Orders'!F478*0.5</f>
        <v/>
      </c>
      <c r="G478" s="12">
        <f>'Raw Orders'!H478</f>
        <v/>
      </c>
      <c r="H478" s="12">
        <f>'Raw Orders'!I478</f>
        <v/>
      </c>
      <c r="I478" s="13">
        <f>'Raw Orders'!K478</f>
        <v/>
      </c>
      <c r="J478" s="13">
        <f>IF('Raw Orders'!J478,"",(YEAR('Raw Orders'!I478)-YEAR('Raw Orders'!H478))*12+MONTH('Raw Orders'!I478)-MONTH('Raw Orders'!H478))</f>
        <v/>
      </c>
      <c r="K478">
        <f>IF('Raw Orders'!J478,"Cancelled",IF('Raw Orders'!K478&gt;=2,"Slipped","On plan"))</f>
        <v/>
      </c>
      <c r="L478" s="14">
        <f>IF(K478="On plan",0,F478)</f>
        <v/>
      </c>
    </row>
    <row r="479">
      <c r="A479">
        <f>'Raw Orders'!A479</f>
        <v/>
      </c>
      <c r="B479">
        <f>'Raw Orders'!B479</f>
        <v/>
      </c>
      <c r="C479">
        <f>'Raw Orders'!C479</f>
        <v/>
      </c>
      <c r="D479" s="13">
        <f>'Raw Orders'!E479</f>
        <v/>
      </c>
      <c r="E479" s="14">
        <f>'Raw Orders'!F479</f>
        <v/>
      </c>
      <c r="F479" s="14">
        <f>'Raw Orders'!F479*0.5</f>
        <v/>
      </c>
      <c r="G479" s="12">
        <f>'Raw Orders'!H479</f>
        <v/>
      </c>
      <c r="H479" s="12">
        <f>'Raw Orders'!I479</f>
        <v/>
      </c>
      <c r="I479" s="13">
        <f>'Raw Orders'!K479</f>
        <v/>
      </c>
      <c r="J479" s="13">
        <f>IF('Raw Orders'!J479,"",(YEAR('Raw Orders'!I479)-YEAR('Raw Orders'!H479))*12+MONTH('Raw Orders'!I479)-MONTH('Raw Orders'!H479))</f>
        <v/>
      </c>
      <c r="K479">
        <f>IF('Raw Orders'!J479,"Cancelled",IF('Raw Orders'!K479&gt;=2,"Slipped","On plan"))</f>
        <v/>
      </c>
      <c r="L479" s="14">
        <f>IF(K479="On plan",0,F479)</f>
        <v/>
      </c>
    </row>
    <row r="480">
      <c r="A480">
        <f>'Raw Orders'!A480</f>
        <v/>
      </c>
      <c r="B480">
        <f>'Raw Orders'!B480</f>
        <v/>
      </c>
      <c r="C480">
        <f>'Raw Orders'!C480</f>
        <v/>
      </c>
      <c r="D480" s="13">
        <f>'Raw Orders'!E480</f>
        <v/>
      </c>
      <c r="E480" s="14">
        <f>'Raw Orders'!F480</f>
        <v/>
      </c>
      <c r="F480" s="14">
        <f>'Raw Orders'!F480*0.5</f>
        <v/>
      </c>
      <c r="G480" s="12">
        <f>'Raw Orders'!H480</f>
        <v/>
      </c>
      <c r="H480" s="12">
        <f>'Raw Orders'!I480</f>
        <v/>
      </c>
      <c r="I480" s="13">
        <f>'Raw Orders'!K480</f>
        <v/>
      </c>
      <c r="J480" s="13">
        <f>IF('Raw Orders'!J480,"",(YEAR('Raw Orders'!I480)-YEAR('Raw Orders'!H480))*12+MONTH('Raw Orders'!I480)-MONTH('Raw Orders'!H480))</f>
        <v/>
      </c>
      <c r="K480">
        <f>IF('Raw Orders'!J480,"Cancelled",IF('Raw Orders'!K480&gt;=2,"Slipped","On plan"))</f>
        <v/>
      </c>
      <c r="L480" s="14">
        <f>IF(K480="On plan",0,F480)</f>
        <v/>
      </c>
    </row>
    <row r="481">
      <c r="A481">
        <f>'Raw Orders'!A481</f>
        <v/>
      </c>
      <c r="B481">
        <f>'Raw Orders'!B481</f>
        <v/>
      </c>
      <c r="C481">
        <f>'Raw Orders'!C481</f>
        <v/>
      </c>
      <c r="D481" s="13">
        <f>'Raw Orders'!E481</f>
        <v/>
      </c>
      <c r="E481" s="14">
        <f>'Raw Orders'!F481</f>
        <v/>
      </c>
      <c r="F481" s="14">
        <f>'Raw Orders'!F481*0.5</f>
        <v/>
      </c>
      <c r="G481" s="12">
        <f>'Raw Orders'!H481</f>
        <v/>
      </c>
      <c r="H481" s="12">
        <f>'Raw Orders'!I481</f>
        <v/>
      </c>
      <c r="I481" s="13">
        <f>'Raw Orders'!K481</f>
        <v/>
      </c>
      <c r="J481" s="13">
        <f>IF('Raw Orders'!J481,"",(YEAR('Raw Orders'!I481)-YEAR('Raw Orders'!H481))*12+MONTH('Raw Orders'!I481)-MONTH('Raw Orders'!H481))</f>
        <v/>
      </c>
      <c r="K481">
        <f>IF('Raw Orders'!J481,"Cancelled",IF('Raw Orders'!K481&gt;=2,"Slipped","On plan"))</f>
        <v/>
      </c>
      <c r="L481" s="14">
        <f>IF(K481="On plan",0,F481)</f>
        <v/>
      </c>
    </row>
    <row r="482">
      <c r="A482">
        <f>'Raw Orders'!A482</f>
        <v/>
      </c>
      <c r="B482">
        <f>'Raw Orders'!B482</f>
        <v/>
      </c>
      <c r="C482">
        <f>'Raw Orders'!C482</f>
        <v/>
      </c>
      <c r="D482" s="13">
        <f>'Raw Orders'!E482</f>
        <v/>
      </c>
      <c r="E482" s="14">
        <f>'Raw Orders'!F482</f>
        <v/>
      </c>
      <c r="F482" s="14">
        <f>'Raw Orders'!F482*0.5</f>
        <v/>
      </c>
      <c r="G482" s="12">
        <f>'Raw Orders'!H482</f>
        <v/>
      </c>
      <c r="H482" s="12">
        <f>'Raw Orders'!I482</f>
        <v/>
      </c>
      <c r="I482" s="13">
        <f>'Raw Orders'!K482</f>
        <v/>
      </c>
      <c r="J482" s="13">
        <f>IF('Raw Orders'!J482,"",(YEAR('Raw Orders'!I482)-YEAR('Raw Orders'!H482))*12+MONTH('Raw Orders'!I482)-MONTH('Raw Orders'!H482))</f>
        <v/>
      </c>
      <c r="K482">
        <f>IF('Raw Orders'!J482,"Cancelled",IF('Raw Orders'!K482&gt;=2,"Slipped","On plan"))</f>
        <v/>
      </c>
      <c r="L482" s="14">
        <f>IF(K482="On plan",0,F482)</f>
        <v/>
      </c>
    </row>
    <row r="483">
      <c r="A483">
        <f>'Raw Orders'!A483</f>
        <v/>
      </c>
      <c r="B483">
        <f>'Raw Orders'!B483</f>
        <v/>
      </c>
      <c r="C483">
        <f>'Raw Orders'!C483</f>
        <v/>
      </c>
      <c r="D483" s="13">
        <f>'Raw Orders'!E483</f>
        <v/>
      </c>
      <c r="E483" s="14">
        <f>'Raw Orders'!F483</f>
        <v/>
      </c>
      <c r="F483" s="14">
        <f>'Raw Orders'!F483*0.5</f>
        <v/>
      </c>
      <c r="G483" s="12">
        <f>'Raw Orders'!H483</f>
        <v/>
      </c>
      <c r="H483" s="12">
        <f>'Raw Orders'!I483</f>
        <v/>
      </c>
      <c r="I483" s="13">
        <f>'Raw Orders'!K483</f>
        <v/>
      </c>
      <c r="J483" s="13">
        <f>IF('Raw Orders'!J483,"",(YEAR('Raw Orders'!I483)-YEAR('Raw Orders'!H483))*12+MONTH('Raw Orders'!I483)-MONTH('Raw Orders'!H483))</f>
        <v/>
      </c>
      <c r="K483">
        <f>IF('Raw Orders'!J483,"Cancelled",IF('Raw Orders'!K483&gt;=2,"Slipped","On plan"))</f>
        <v/>
      </c>
      <c r="L483" s="14">
        <f>IF(K483="On plan",0,F483)</f>
        <v/>
      </c>
    </row>
    <row r="484">
      <c r="A484">
        <f>'Raw Orders'!A484</f>
        <v/>
      </c>
      <c r="B484">
        <f>'Raw Orders'!B484</f>
        <v/>
      </c>
      <c r="C484">
        <f>'Raw Orders'!C484</f>
        <v/>
      </c>
      <c r="D484" s="13">
        <f>'Raw Orders'!E484</f>
        <v/>
      </c>
      <c r="E484" s="14">
        <f>'Raw Orders'!F484</f>
        <v/>
      </c>
      <c r="F484" s="14">
        <f>'Raw Orders'!F484*0.5</f>
        <v/>
      </c>
      <c r="G484" s="12">
        <f>'Raw Orders'!H484</f>
        <v/>
      </c>
      <c r="H484" s="12">
        <f>'Raw Orders'!I484</f>
        <v/>
      </c>
      <c r="I484" s="13">
        <f>'Raw Orders'!K484</f>
        <v/>
      </c>
      <c r="J484" s="13">
        <f>IF('Raw Orders'!J484,"",(YEAR('Raw Orders'!I484)-YEAR('Raw Orders'!H484))*12+MONTH('Raw Orders'!I484)-MONTH('Raw Orders'!H484))</f>
        <v/>
      </c>
      <c r="K484">
        <f>IF('Raw Orders'!J484,"Cancelled",IF('Raw Orders'!K484&gt;=2,"Slipped","On plan"))</f>
        <v/>
      </c>
      <c r="L484" s="14">
        <f>IF(K484="On plan",0,F484)</f>
        <v/>
      </c>
    </row>
    <row r="485">
      <c r="A485">
        <f>'Raw Orders'!A485</f>
        <v/>
      </c>
      <c r="B485">
        <f>'Raw Orders'!B485</f>
        <v/>
      </c>
      <c r="C485">
        <f>'Raw Orders'!C485</f>
        <v/>
      </c>
      <c r="D485" s="13">
        <f>'Raw Orders'!E485</f>
        <v/>
      </c>
      <c r="E485" s="14">
        <f>'Raw Orders'!F485</f>
        <v/>
      </c>
      <c r="F485" s="14">
        <f>'Raw Orders'!F485*0.5</f>
        <v/>
      </c>
      <c r="G485" s="12">
        <f>'Raw Orders'!H485</f>
        <v/>
      </c>
      <c r="H485" s="12">
        <f>'Raw Orders'!I485</f>
        <v/>
      </c>
      <c r="I485" s="13">
        <f>'Raw Orders'!K485</f>
        <v/>
      </c>
      <c r="J485" s="13">
        <f>IF('Raw Orders'!J485,"",(YEAR('Raw Orders'!I485)-YEAR('Raw Orders'!H485))*12+MONTH('Raw Orders'!I485)-MONTH('Raw Orders'!H485))</f>
        <v/>
      </c>
      <c r="K485">
        <f>IF('Raw Orders'!J485,"Cancelled",IF('Raw Orders'!K485&gt;=2,"Slipped","On plan"))</f>
        <v/>
      </c>
      <c r="L485" s="14">
        <f>IF(K485="On plan",0,F485)</f>
        <v/>
      </c>
    </row>
    <row r="486">
      <c r="A486">
        <f>'Raw Orders'!A486</f>
        <v/>
      </c>
      <c r="B486">
        <f>'Raw Orders'!B486</f>
        <v/>
      </c>
      <c r="C486">
        <f>'Raw Orders'!C486</f>
        <v/>
      </c>
      <c r="D486" s="13">
        <f>'Raw Orders'!E486</f>
        <v/>
      </c>
      <c r="E486" s="14">
        <f>'Raw Orders'!F486</f>
        <v/>
      </c>
      <c r="F486" s="14">
        <f>'Raw Orders'!F486*0.5</f>
        <v/>
      </c>
      <c r="G486" s="12">
        <f>'Raw Orders'!H486</f>
        <v/>
      </c>
      <c r="H486" s="12">
        <f>'Raw Orders'!I486</f>
        <v/>
      </c>
      <c r="I486" s="13">
        <f>'Raw Orders'!K486</f>
        <v/>
      </c>
      <c r="J486" s="13">
        <f>IF('Raw Orders'!J486,"",(YEAR('Raw Orders'!I486)-YEAR('Raw Orders'!H486))*12+MONTH('Raw Orders'!I486)-MONTH('Raw Orders'!H486))</f>
        <v/>
      </c>
      <c r="K486">
        <f>IF('Raw Orders'!J486,"Cancelled",IF('Raw Orders'!K486&gt;=2,"Slipped","On plan"))</f>
        <v/>
      </c>
      <c r="L486" s="14">
        <f>IF(K486="On plan",0,F486)</f>
        <v/>
      </c>
    </row>
    <row r="487">
      <c r="A487">
        <f>'Raw Orders'!A487</f>
        <v/>
      </c>
      <c r="B487">
        <f>'Raw Orders'!B487</f>
        <v/>
      </c>
      <c r="C487">
        <f>'Raw Orders'!C487</f>
        <v/>
      </c>
      <c r="D487" s="13">
        <f>'Raw Orders'!E487</f>
        <v/>
      </c>
      <c r="E487" s="14">
        <f>'Raw Orders'!F487</f>
        <v/>
      </c>
      <c r="F487" s="14">
        <f>'Raw Orders'!F487*0.5</f>
        <v/>
      </c>
      <c r="G487" s="12">
        <f>'Raw Orders'!H487</f>
        <v/>
      </c>
      <c r="H487" s="12">
        <f>'Raw Orders'!I487</f>
        <v/>
      </c>
      <c r="I487" s="13">
        <f>'Raw Orders'!K487</f>
        <v/>
      </c>
      <c r="J487" s="13">
        <f>IF('Raw Orders'!J487,"",(YEAR('Raw Orders'!I487)-YEAR('Raw Orders'!H487))*12+MONTH('Raw Orders'!I487)-MONTH('Raw Orders'!H487))</f>
        <v/>
      </c>
      <c r="K487">
        <f>IF('Raw Orders'!J487,"Cancelled",IF('Raw Orders'!K487&gt;=2,"Slipped","On plan"))</f>
        <v/>
      </c>
      <c r="L487" s="14">
        <f>IF(K487="On plan",0,F487)</f>
        <v/>
      </c>
    </row>
    <row r="488">
      <c r="A488">
        <f>'Raw Orders'!A488</f>
        <v/>
      </c>
      <c r="B488">
        <f>'Raw Orders'!B488</f>
        <v/>
      </c>
      <c r="C488">
        <f>'Raw Orders'!C488</f>
        <v/>
      </c>
      <c r="D488" s="13">
        <f>'Raw Orders'!E488</f>
        <v/>
      </c>
      <c r="E488" s="14">
        <f>'Raw Orders'!F488</f>
        <v/>
      </c>
      <c r="F488" s="14">
        <f>'Raw Orders'!F488*0.5</f>
        <v/>
      </c>
      <c r="G488" s="12">
        <f>'Raw Orders'!H488</f>
        <v/>
      </c>
      <c r="H488" s="12">
        <f>'Raw Orders'!I488</f>
        <v/>
      </c>
      <c r="I488" s="13">
        <f>'Raw Orders'!K488</f>
        <v/>
      </c>
      <c r="J488" s="13">
        <f>IF('Raw Orders'!J488,"",(YEAR('Raw Orders'!I488)-YEAR('Raw Orders'!H488))*12+MONTH('Raw Orders'!I488)-MONTH('Raw Orders'!H488))</f>
        <v/>
      </c>
      <c r="K488">
        <f>IF('Raw Orders'!J488,"Cancelled",IF('Raw Orders'!K488&gt;=2,"Slipped","On plan"))</f>
        <v/>
      </c>
      <c r="L488" s="14">
        <f>IF(K488="On plan",0,F488)</f>
        <v/>
      </c>
    </row>
    <row r="489">
      <c r="A489">
        <f>'Raw Orders'!A489</f>
        <v/>
      </c>
      <c r="B489">
        <f>'Raw Orders'!B489</f>
        <v/>
      </c>
      <c r="C489">
        <f>'Raw Orders'!C489</f>
        <v/>
      </c>
      <c r="D489" s="13">
        <f>'Raw Orders'!E489</f>
        <v/>
      </c>
      <c r="E489" s="14">
        <f>'Raw Orders'!F489</f>
        <v/>
      </c>
      <c r="F489" s="14">
        <f>'Raw Orders'!F489*0.5</f>
        <v/>
      </c>
      <c r="G489" s="12">
        <f>'Raw Orders'!H489</f>
        <v/>
      </c>
      <c r="H489" s="12">
        <f>'Raw Orders'!I489</f>
        <v/>
      </c>
      <c r="I489" s="13">
        <f>'Raw Orders'!K489</f>
        <v/>
      </c>
      <c r="J489" s="13">
        <f>IF('Raw Orders'!J489,"",(YEAR('Raw Orders'!I489)-YEAR('Raw Orders'!H489))*12+MONTH('Raw Orders'!I489)-MONTH('Raw Orders'!H489))</f>
        <v/>
      </c>
      <c r="K489">
        <f>IF('Raw Orders'!J489,"Cancelled",IF('Raw Orders'!K489&gt;=2,"Slipped","On plan"))</f>
        <v/>
      </c>
      <c r="L489" s="14">
        <f>IF(K489="On plan",0,F489)</f>
        <v/>
      </c>
    </row>
    <row r="490">
      <c r="A490">
        <f>'Raw Orders'!A490</f>
        <v/>
      </c>
      <c r="B490">
        <f>'Raw Orders'!B490</f>
        <v/>
      </c>
      <c r="C490">
        <f>'Raw Orders'!C490</f>
        <v/>
      </c>
      <c r="D490" s="13">
        <f>'Raw Orders'!E490</f>
        <v/>
      </c>
      <c r="E490" s="14">
        <f>'Raw Orders'!F490</f>
        <v/>
      </c>
      <c r="F490" s="14">
        <f>'Raw Orders'!F490*0.5</f>
        <v/>
      </c>
      <c r="G490" s="12">
        <f>'Raw Orders'!H490</f>
        <v/>
      </c>
      <c r="H490" s="12">
        <f>'Raw Orders'!I490</f>
        <v/>
      </c>
      <c r="I490" s="13">
        <f>'Raw Orders'!K490</f>
        <v/>
      </c>
      <c r="J490" s="13">
        <f>IF('Raw Orders'!J490,"",(YEAR('Raw Orders'!I490)-YEAR('Raw Orders'!H490))*12+MONTH('Raw Orders'!I490)-MONTH('Raw Orders'!H490))</f>
        <v/>
      </c>
      <c r="K490">
        <f>IF('Raw Orders'!J490,"Cancelled",IF('Raw Orders'!K490&gt;=2,"Slipped","On plan"))</f>
        <v/>
      </c>
      <c r="L490" s="14">
        <f>IF(K490="On plan",0,F490)</f>
        <v/>
      </c>
    </row>
    <row r="491">
      <c r="A491">
        <f>'Raw Orders'!A491</f>
        <v/>
      </c>
      <c r="B491">
        <f>'Raw Orders'!B491</f>
        <v/>
      </c>
      <c r="C491">
        <f>'Raw Orders'!C491</f>
        <v/>
      </c>
      <c r="D491" s="13">
        <f>'Raw Orders'!E491</f>
        <v/>
      </c>
      <c r="E491" s="14">
        <f>'Raw Orders'!F491</f>
        <v/>
      </c>
      <c r="F491" s="14">
        <f>'Raw Orders'!F491*0.5</f>
        <v/>
      </c>
      <c r="G491" s="12">
        <f>'Raw Orders'!H491</f>
        <v/>
      </c>
      <c r="H491" s="12">
        <f>'Raw Orders'!I491</f>
        <v/>
      </c>
      <c r="I491" s="13">
        <f>'Raw Orders'!K491</f>
        <v/>
      </c>
      <c r="J491" s="13">
        <f>IF('Raw Orders'!J491,"",(YEAR('Raw Orders'!I491)-YEAR('Raw Orders'!H491))*12+MONTH('Raw Orders'!I491)-MONTH('Raw Orders'!H491))</f>
        <v/>
      </c>
      <c r="K491">
        <f>IF('Raw Orders'!J491,"Cancelled",IF('Raw Orders'!K491&gt;=2,"Slipped","On plan"))</f>
        <v/>
      </c>
      <c r="L491" s="14">
        <f>IF(K491="On plan",0,F491)</f>
        <v/>
      </c>
    </row>
    <row r="492">
      <c r="A492">
        <f>'Raw Orders'!A492</f>
        <v/>
      </c>
      <c r="B492">
        <f>'Raw Orders'!B492</f>
        <v/>
      </c>
      <c r="C492">
        <f>'Raw Orders'!C492</f>
        <v/>
      </c>
      <c r="D492" s="13">
        <f>'Raw Orders'!E492</f>
        <v/>
      </c>
      <c r="E492" s="14">
        <f>'Raw Orders'!F492</f>
        <v/>
      </c>
      <c r="F492" s="14">
        <f>'Raw Orders'!F492*0.5</f>
        <v/>
      </c>
      <c r="G492" s="12">
        <f>'Raw Orders'!H492</f>
        <v/>
      </c>
      <c r="H492" s="12">
        <f>'Raw Orders'!I492</f>
        <v/>
      </c>
      <c r="I492" s="13">
        <f>'Raw Orders'!K492</f>
        <v/>
      </c>
      <c r="J492" s="13">
        <f>IF('Raw Orders'!J492,"",(YEAR('Raw Orders'!I492)-YEAR('Raw Orders'!H492))*12+MONTH('Raw Orders'!I492)-MONTH('Raw Orders'!H492))</f>
        <v/>
      </c>
      <c r="K492">
        <f>IF('Raw Orders'!J492,"Cancelled",IF('Raw Orders'!K492&gt;=2,"Slipped","On plan"))</f>
        <v/>
      </c>
      <c r="L492" s="14">
        <f>IF(K492="On plan",0,F492)</f>
        <v/>
      </c>
    </row>
    <row r="493">
      <c r="A493">
        <f>'Raw Orders'!A493</f>
        <v/>
      </c>
      <c r="B493">
        <f>'Raw Orders'!B493</f>
        <v/>
      </c>
      <c r="C493">
        <f>'Raw Orders'!C493</f>
        <v/>
      </c>
      <c r="D493" s="13">
        <f>'Raw Orders'!E493</f>
        <v/>
      </c>
      <c r="E493" s="14">
        <f>'Raw Orders'!F493</f>
        <v/>
      </c>
      <c r="F493" s="14">
        <f>'Raw Orders'!F493*0.5</f>
        <v/>
      </c>
      <c r="G493" s="12">
        <f>'Raw Orders'!H493</f>
        <v/>
      </c>
      <c r="H493" s="12">
        <f>'Raw Orders'!I493</f>
        <v/>
      </c>
      <c r="I493" s="13">
        <f>'Raw Orders'!K493</f>
        <v/>
      </c>
      <c r="J493" s="13">
        <f>IF('Raw Orders'!J493,"",(YEAR('Raw Orders'!I493)-YEAR('Raw Orders'!H493))*12+MONTH('Raw Orders'!I493)-MONTH('Raw Orders'!H493))</f>
        <v/>
      </c>
      <c r="K493">
        <f>IF('Raw Orders'!J493,"Cancelled",IF('Raw Orders'!K493&gt;=2,"Slipped","On plan"))</f>
        <v/>
      </c>
      <c r="L493" s="14">
        <f>IF(K493="On plan",0,F493)</f>
        <v/>
      </c>
    </row>
    <row r="494">
      <c r="A494">
        <f>'Raw Orders'!A494</f>
        <v/>
      </c>
      <c r="B494">
        <f>'Raw Orders'!B494</f>
        <v/>
      </c>
      <c r="C494">
        <f>'Raw Orders'!C494</f>
        <v/>
      </c>
      <c r="D494" s="13">
        <f>'Raw Orders'!E494</f>
        <v/>
      </c>
      <c r="E494" s="14">
        <f>'Raw Orders'!F494</f>
        <v/>
      </c>
      <c r="F494" s="14">
        <f>'Raw Orders'!F494*0.5</f>
        <v/>
      </c>
      <c r="G494" s="12">
        <f>'Raw Orders'!H494</f>
        <v/>
      </c>
      <c r="H494" s="12">
        <f>'Raw Orders'!I494</f>
        <v/>
      </c>
      <c r="I494" s="13">
        <f>'Raw Orders'!K494</f>
        <v/>
      </c>
      <c r="J494" s="13">
        <f>IF('Raw Orders'!J494,"",(YEAR('Raw Orders'!I494)-YEAR('Raw Orders'!H494))*12+MONTH('Raw Orders'!I494)-MONTH('Raw Orders'!H494))</f>
        <v/>
      </c>
      <c r="K494">
        <f>IF('Raw Orders'!J494,"Cancelled",IF('Raw Orders'!K494&gt;=2,"Slipped","On plan"))</f>
        <v/>
      </c>
      <c r="L494" s="14">
        <f>IF(K494="On plan",0,F494)</f>
        <v/>
      </c>
    </row>
    <row r="495">
      <c r="A495">
        <f>'Raw Orders'!A495</f>
        <v/>
      </c>
      <c r="B495">
        <f>'Raw Orders'!B495</f>
        <v/>
      </c>
      <c r="C495">
        <f>'Raw Orders'!C495</f>
        <v/>
      </c>
      <c r="D495" s="13">
        <f>'Raw Orders'!E495</f>
        <v/>
      </c>
      <c r="E495" s="14">
        <f>'Raw Orders'!F495</f>
        <v/>
      </c>
      <c r="F495" s="14">
        <f>'Raw Orders'!F495*0.5</f>
        <v/>
      </c>
      <c r="G495" s="12">
        <f>'Raw Orders'!H495</f>
        <v/>
      </c>
      <c r="H495" s="12">
        <f>'Raw Orders'!I495</f>
        <v/>
      </c>
      <c r="I495" s="13">
        <f>'Raw Orders'!K495</f>
        <v/>
      </c>
      <c r="J495" s="13">
        <f>IF('Raw Orders'!J495,"",(YEAR('Raw Orders'!I495)-YEAR('Raw Orders'!H495))*12+MONTH('Raw Orders'!I495)-MONTH('Raw Orders'!H495))</f>
        <v/>
      </c>
      <c r="K495">
        <f>IF('Raw Orders'!J495,"Cancelled",IF('Raw Orders'!K495&gt;=2,"Slipped","On plan"))</f>
        <v/>
      </c>
      <c r="L495" s="14">
        <f>IF(K495="On plan",0,F495)</f>
        <v/>
      </c>
    </row>
    <row r="496">
      <c r="A496">
        <f>'Raw Orders'!A496</f>
        <v/>
      </c>
      <c r="B496">
        <f>'Raw Orders'!B496</f>
        <v/>
      </c>
      <c r="C496">
        <f>'Raw Orders'!C496</f>
        <v/>
      </c>
      <c r="D496" s="13">
        <f>'Raw Orders'!E496</f>
        <v/>
      </c>
      <c r="E496" s="14">
        <f>'Raw Orders'!F496</f>
        <v/>
      </c>
      <c r="F496" s="14">
        <f>'Raw Orders'!F496*0.5</f>
        <v/>
      </c>
      <c r="G496" s="12">
        <f>'Raw Orders'!H496</f>
        <v/>
      </c>
      <c r="H496" s="12">
        <f>'Raw Orders'!I496</f>
        <v/>
      </c>
      <c r="I496" s="13">
        <f>'Raw Orders'!K496</f>
        <v/>
      </c>
      <c r="J496" s="13">
        <f>IF('Raw Orders'!J496,"",(YEAR('Raw Orders'!I496)-YEAR('Raw Orders'!H496))*12+MONTH('Raw Orders'!I496)-MONTH('Raw Orders'!H496))</f>
        <v/>
      </c>
      <c r="K496">
        <f>IF('Raw Orders'!J496,"Cancelled",IF('Raw Orders'!K496&gt;=2,"Slipped","On plan"))</f>
        <v/>
      </c>
      <c r="L496" s="14">
        <f>IF(K496="On plan",0,F496)</f>
        <v/>
      </c>
    </row>
    <row r="497">
      <c r="A497">
        <f>'Raw Orders'!A497</f>
        <v/>
      </c>
      <c r="B497">
        <f>'Raw Orders'!B497</f>
        <v/>
      </c>
      <c r="C497">
        <f>'Raw Orders'!C497</f>
        <v/>
      </c>
      <c r="D497" s="13">
        <f>'Raw Orders'!E497</f>
        <v/>
      </c>
      <c r="E497" s="14">
        <f>'Raw Orders'!F497</f>
        <v/>
      </c>
      <c r="F497" s="14">
        <f>'Raw Orders'!F497*0.5</f>
        <v/>
      </c>
      <c r="G497" s="12">
        <f>'Raw Orders'!H497</f>
        <v/>
      </c>
      <c r="H497" s="12">
        <f>'Raw Orders'!I497</f>
        <v/>
      </c>
      <c r="I497" s="13">
        <f>'Raw Orders'!K497</f>
        <v/>
      </c>
      <c r="J497" s="13">
        <f>IF('Raw Orders'!J497,"",(YEAR('Raw Orders'!I497)-YEAR('Raw Orders'!H497))*12+MONTH('Raw Orders'!I497)-MONTH('Raw Orders'!H497))</f>
        <v/>
      </c>
      <c r="K497">
        <f>IF('Raw Orders'!J497,"Cancelled",IF('Raw Orders'!K497&gt;=2,"Slipped","On plan"))</f>
        <v/>
      </c>
      <c r="L497" s="14">
        <f>IF(K497="On plan",0,F497)</f>
        <v/>
      </c>
    </row>
    <row r="498">
      <c r="A498">
        <f>'Raw Orders'!A498</f>
        <v/>
      </c>
      <c r="B498">
        <f>'Raw Orders'!B498</f>
        <v/>
      </c>
      <c r="C498">
        <f>'Raw Orders'!C498</f>
        <v/>
      </c>
      <c r="D498" s="13">
        <f>'Raw Orders'!E498</f>
        <v/>
      </c>
      <c r="E498" s="14">
        <f>'Raw Orders'!F498</f>
        <v/>
      </c>
      <c r="F498" s="14">
        <f>'Raw Orders'!F498*0.5</f>
        <v/>
      </c>
      <c r="G498" s="12">
        <f>'Raw Orders'!H498</f>
        <v/>
      </c>
      <c r="H498" s="12">
        <f>'Raw Orders'!I498</f>
        <v/>
      </c>
      <c r="I498" s="13">
        <f>'Raw Orders'!K498</f>
        <v/>
      </c>
      <c r="J498" s="13">
        <f>IF('Raw Orders'!J498,"",(YEAR('Raw Orders'!I498)-YEAR('Raw Orders'!H498))*12+MONTH('Raw Orders'!I498)-MONTH('Raw Orders'!H498))</f>
        <v/>
      </c>
      <c r="K498">
        <f>IF('Raw Orders'!J498,"Cancelled",IF('Raw Orders'!K498&gt;=2,"Slipped","On plan"))</f>
        <v/>
      </c>
      <c r="L498" s="14">
        <f>IF(K498="On plan",0,F498)</f>
        <v/>
      </c>
    </row>
    <row r="499">
      <c r="A499">
        <f>'Raw Orders'!A499</f>
        <v/>
      </c>
      <c r="B499">
        <f>'Raw Orders'!B499</f>
        <v/>
      </c>
      <c r="C499">
        <f>'Raw Orders'!C499</f>
        <v/>
      </c>
      <c r="D499" s="13">
        <f>'Raw Orders'!E499</f>
        <v/>
      </c>
      <c r="E499" s="14">
        <f>'Raw Orders'!F499</f>
        <v/>
      </c>
      <c r="F499" s="14">
        <f>'Raw Orders'!F499*0.5</f>
        <v/>
      </c>
      <c r="G499" s="12">
        <f>'Raw Orders'!H499</f>
        <v/>
      </c>
      <c r="H499" s="12">
        <f>'Raw Orders'!I499</f>
        <v/>
      </c>
      <c r="I499" s="13">
        <f>'Raw Orders'!K499</f>
        <v/>
      </c>
      <c r="J499" s="13">
        <f>IF('Raw Orders'!J499,"",(YEAR('Raw Orders'!I499)-YEAR('Raw Orders'!H499))*12+MONTH('Raw Orders'!I499)-MONTH('Raw Orders'!H499))</f>
        <v/>
      </c>
      <c r="K499">
        <f>IF('Raw Orders'!J499,"Cancelled",IF('Raw Orders'!K499&gt;=2,"Slipped","On plan"))</f>
        <v/>
      </c>
      <c r="L499" s="14">
        <f>IF(K499="On plan",0,F499)</f>
        <v/>
      </c>
    </row>
    <row r="500">
      <c r="A500">
        <f>'Raw Orders'!A500</f>
        <v/>
      </c>
      <c r="B500">
        <f>'Raw Orders'!B500</f>
        <v/>
      </c>
      <c r="C500">
        <f>'Raw Orders'!C500</f>
        <v/>
      </c>
      <c r="D500" s="13">
        <f>'Raw Orders'!E500</f>
        <v/>
      </c>
      <c r="E500" s="14">
        <f>'Raw Orders'!F500</f>
        <v/>
      </c>
      <c r="F500" s="14">
        <f>'Raw Orders'!F500*0.5</f>
        <v/>
      </c>
      <c r="G500" s="12">
        <f>'Raw Orders'!H500</f>
        <v/>
      </c>
      <c r="H500" s="12">
        <f>'Raw Orders'!I500</f>
        <v/>
      </c>
      <c r="I500" s="13">
        <f>'Raw Orders'!K500</f>
        <v/>
      </c>
      <c r="J500" s="13">
        <f>IF('Raw Orders'!J500,"",(YEAR('Raw Orders'!I500)-YEAR('Raw Orders'!H500))*12+MONTH('Raw Orders'!I500)-MONTH('Raw Orders'!H500))</f>
        <v/>
      </c>
      <c r="K500">
        <f>IF('Raw Orders'!J500,"Cancelled",IF('Raw Orders'!K500&gt;=2,"Slipped","On plan"))</f>
        <v/>
      </c>
      <c r="L500" s="14">
        <f>IF(K500="On plan",0,F500)</f>
        <v/>
      </c>
    </row>
    <row r="501">
      <c r="A501">
        <f>'Raw Orders'!A501</f>
        <v/>
      </c>
      <c r="B501">
        <f>'Raw Orders'!B501</f>
        <v/>
      </c>
      <c r="C501">
        <f>'Raw Orders'!C501</f>
        <v/>
      </c>
      <c r="D501" s="13">
        <f>'Raw Orders'!E501</f>
        <v/>
      </c>
      <c r="E501" s="14">
        <f>'Raw Orders'!F501</f>
        <v/>
      </c>
      <c r="F501" s="14">
        <f>'Raw Orders'!F501*0.5</f>
        <v/>
      </c>
      <c r="G501" s="12">
        <f>'Raw Orders'!H501</f>
        <v/>
      </c>
      <c r="H501" s="12">
        <f>'Raw Orders'!I501</f>
        <v/>
      </c>
      <c r="I501" s="13">
        <f>'Raw Orders'!K501</f>
        <v/>
      </c>
      <c r="J501" s="13">
        <f>IF('Raw Orders'!J501,"",(YEAR('Raw Orders'!I501)-YEAR('Raw Orders'!H501))*12+MONTH('Raw Orders'!I501)-MONTH('Raw Orders'!H501))</f>
        <v/>
      </c>
      <c r="K501">
        <f>IF('Raw Orders'!J501,"Cancelled",IF('Raw Orders'!K501&gt;=2,"Slipped","On plan"))</f>
        <v/>
      </c>
      <c r="L501" s="14">
        <f>IF(K501="On plan",0,F501)</f>
        <v/>
      </c>
    </row>
    <row r="502">
      <c r="A502">
        <f>'Raw Orders'!A502</f>
        <v/>
      </c>
      <c r="B502">
        <f>'Raw Orders'!B502</f>
        <v/>
      </c>
      <c r="C502">
        <f>'Raw Orders'!C502</f>
        <v/>
      </c>
      <c r="D502" s="13">
        <f>'Raw Orders'!E502</f>
        <v/>
      </c>
      <c r="E502" s="14">
        <f>'Raw Orders'!F502</f>
        <v/>
      </c>
      <c r="F502" s="14">
        <f>'Raw Orders'!F502*0.5</f>
        <v/>
      </c>
      <c r="G502" s="12">
        <f>'Raw Orders'!H502</f>
        <v/>
      </c>
      <c r="H502" s="12">
        <f>'Raw Orders'!I502</f>
        <v/>
      </c>
      <c r="I502" s="13">
        <f>'Raw Orders'!K502</f>
        <v/>
      </c>
      <c r="J502" s="13">
        <f>IF('Raw Orders'!J502,"",(YEAR('Raw Orders'!I502)-YEAR('Raw Orders'!H502))*12+MONTH('Raw Orders'!I502)-MONTH('Raw Orders'!H502))</f>
        <v/>
      </c>
      <c r="K502">
        <f>IF('Raw Orders'!J502,"Cancelled",IF('Raw Orders'!K502&gt;=2,"Slipped","On plan"))</f>
        <v/>
      </c>
      <c r="L502" s="14">
        <f>IF(K502="On plan",0,F502)</f>
        <v/>
      </c>
    </row>
    <row r="503">
      <c r="A503">
        <f>'Raw Orders'!A503</f>
        <v/>
      </c>
      <c r="B503">
        <f>'Raw Orders'!B503</f>
        <v/>
      </c>
      <c r="C503">
        <f>'Raw Orders'!C503</f>
        <v/>
      </c>
      <c r="D503" s="13">
        <f>'Raw Orders'!E503</f>
        <v/>
      </c>
      <c r="E503" s="14">
        <f>'Raw Orders'!F503</f>
        <v/>
      </c>
      <c r="F503" s="14">
        <f>'Raw Orders'!F503*0.5</f>
        <v/>
      </c>
      <c r="G503" s="12">
        <f>'Raw Orders'!H503</f>
        <v/>
      </c>
      <c r="H503" s="12">
        <f>'Raw Orders'!I503</f>
        <v/>
      </c>
      <c r="I503" s="13">
        <f>'Raw Orders'!K503</f>
        <v/>
      </c>
      <c r="J503" s="13">
        <f>IF('Raw Orders'!J503,"",(YEAR('Raw Orders'!I503)-YEAR('Raw Orders'!H503))*12+MONTH('Raw Orders'!I503)-MONTH('Raw Orders'!H503))</f>
        <v/>
      </c>
      <c r="K503">
        <f>IF('Raw Orders'!J503,"Cancelled",IF('Raw Orders'!K503&gt;=2,"Slipped","On plan"))</f>
        <v/>
      </c>
      <c r="L503" s="14">
        <f>IF(K503="On plan",0,F503)</f>
        <v/>
      </c>
    </row>
    <row r="504">
      <c r="A504">
        <f>'Raw Orders'!A504</f>
        <v/>
      </c>
      <c r="B504">
        <f>'Raw Orders'!B504</f>
        <v/>
      </c>
      <c r="C504">
        <f>'Raw Orders'!C504</f>
        <v/>
      </c>
      <c r="D504" s="13">
        <f>'Raw Orders'!E504</f>
        <v/>
      </c>
      <c r="E504" s="14">
        <f>'Raw Orders'!F504</f>
        <v/>
      </c>
      <c r="F504" s="14">
        <f>'Raw Orders'!F504*0.5</f>
        <v/>
      </c>
      <c r="G504" s="12">
        <f>'Raw Orders'!H504</f>
        <v/>
      </c>
      <c r="H504" s="12">
        <f>'Raw Orders'!I504</f>
        <v/>
      </c>
      <c r="I504" s="13">
        <f>'Raw Orders'!K504</f>
        <v/>
      </c>
      <c r="J504" s="13">
        <f>IF('Raw Orders'!J504,"",(YEAR('Raw Orders'!I504)-YEAR('Raw Orders'!H504))*12+MONTH('Raw Orders'!I504)-MONTH('Raw Orders'!H504))</f>
        <v/>
      </c>
      <c r="K504">
        <f>IF('Raw Orders'!J504,"Cancelled",IF('Raw Orders'!K504&gt;=2,"Slipped","On plan"))</f>
        <v/>
      </c>
      <c r="L504" s="14">
        <f>IF(K504="On plan",0,F504)</f>
        <v/>
      </c>
    </row>
    <row r="505">
      <c r="A505">
        <f>'Raw Orders'!A505</f>
        <v/>
      </c>
      <c r="B505">
        <f>'Raw Orders'!B505</f>
        <v/>
      </c>
      <c r="C505">
        <f>'Raw Orders'!C505</f>
        <v/>
      </c>
      <c r="D505" s="13">
        <f>'Raw Orders'!E505</f>
        <v/>
      </c>
      <c r="E505" s="14">
        <f>'Raw Orders'!F505</f>
        <v/>
      </c>
      <c r="F505" s="14">
        <f>'Raw Orders'!F505*0.5</f>
        <v/>
      </c>
      <c r="G505" s="12">
        <f>'Raw Orders'!H505</f>
        <v/>
      </c>
      <c r="H505" s="12">
        <f>'Raw Orders'!I505</f>
        <v/>
      </c>
      <c r="I505" s="13">
        <f>'Raw Orders'!K505</f>
        <v/>
      </c>
      <c r="J505" s="13">
        <f>IF('Raw Orders'!J505,"",(YEAR('Raw Orders'!I505)-YEAR('Raw Orders'!H505))*12+MONTH('Raw Orders'!I505)-MONTH('Raw Orders'!H505))</f>
        <v/>
      </c>
      <c r="K505">
        <f>IF('Raw Orders'!J505,"Cancelled",IF('Raw Orders'!K505&gt;=2,"Slipped","On plan"))</f>
        <v/>
      </c>
      <c r="L505" s="14">
        <f>IF(K505="On plan",0,F505)</f>
        <v/>
      </c>
    </row>
    <row r="506">
      <c r="A506">
        <f>'Raw Orders'!A506</f>
        <v/>
      </c>
      <c r="B506">
        <f>'Raw Orders'!B506</f>
        <v/>
      </c>
      <c r="C506">
        <f>'Raw Orders'!C506</f>
        <v/>
      </c>
      <c r="D506" s="13">
        <f>'Raw Orders'!E506</f>
        <v/>
      </c>
      <c r="E506" s="14">
        <f>'Raw Orders'!F506</f>
        <v/>
      </c>
      <c r="F506" s="14">
        <f>'Raw Orders'!F506*0.5</f>
        <v/>
      </c>
      <c r="G506" s="12">
        <f>'Raw Orders'!H506</f>
        <v/>
      </c>
      <c r="H506" s="12">
        <f>'Raw Orders'!I506</f>
        <v/>
      </c>
      <c r="I506" s="13">
        <f>'Raw Orders'!K506</f>
        <v/>
      </c>
      <c r="J506" s="13">
        <f>IF('Raw Orders'!J506,"",(YEAR('Raw Orders'!I506)-YEAR('Raw Orders'!H506))*12+MONTH('Raw Orders'!I506)-MONTH('Raw Orders'!H506))</f>
        <v/>
      </c>
      <c r="K506">
        <f>IF('Raw Orders'!J506,"Cancelled",IF('Raw Orders'!K506&gt;=2,"Slipped","On plan"))</f>
        <v/>
      </c>
      <c r="L506" s="14">
        <f>IF(K506="On plan",0,F506)</f>
        <v/>
      </c>
    </row>
    <row r="507">
      <c r="A507">
        <f>'Raw Orders'!A507</f>
        <v/>
      </c>
      <c r="B507">
        <f>'Raw Orders'!B507</f>
        <v/>
      </c>
      <c r="C507">
        <f>'Raw Orders'!C507</f>
        <v/>
      </c>
      <c r="D507" s="13">
        <f>'Raw Orders'!E507</f>
        <v/>
      </c>
      <c r="E507" s="14">
        <f>'Raw Orders'!F507</f>
        <v/>
      </c>
      <c r="F507" s="14">
        <f>'Raw Orders'!F507*0.5</f>
        <v/>
      </c>
      <c r="G507" s="12">
        <f>'Raw Orders'!H507</f>
        <v/>
      </c>
      <c r="H507" s="12">
        <f>'Raw Orders'!I507</f>
        <v/>
      </c>
      <c r="I507" s="13">
        <f>'Raw Orders'!K507</f>
        <v/>
      </c>
      <c r="J507" s="13">
        <f>IF('Raw Orders'!J507,"",(YEAR('Raw Orders'!I507)-YEAR('Raw Orders'!H507))*12+MONTH('Raw Orders'!I507)-MONTH('Raw Orders'!H507))</f>
        <v/>
      </c>
      <c r="K507">
        <f>IF('Raw Orders'!J507,"Cancelled",IF('Raw Orders'!K507&gt;=2,"Slipped","On plan"))</f>
        <v/>
      </c>
      <c r="L507" s="14">
        <f>IF(K507="On plan",0,F507)</f>
        <v/>
      </c>
    </row>
    <row r="508">
      <c r="A508">
        <f>'Raw Orders'!A508</f>
        <v/>
      </c>
      <c r="B508">
        <f>'Raw Orders'!B508</f>
        <v/>
      </c>
      <c r="C508">
        <f>'Raw Orders'!C508</f>
        <v/>
      </c>
      <c r="D508" s="13">
        <f>'Raw Orders'!E508</f>
        <v/>
      </c>
      <c r="E508" s="14">
        <f>'Raw Orders'!F508</f>
        <v/>
      </c>
      <c r="F508" s="14">
        <f>'Raw Orders'!F508*0.5</f>
        <v/>
      </c>
      <c r="G508" s="12">
        <f>'Raw Orders'!H508</f>
        <v/>
      </c>
      <c r="H508" s="12">
        <f>'Raw Orders'!I508</f>
        <v/>
      </c>
      <c r="I508" s="13">
        <f>'Raw Orders'!K508</f>
        <v/>
      </c>
      <c r="J508" s="13">
        <f>IF('Raw Orders'!J508,"",(YEAR('Raw Orders'!I508)-YEAR('Raw Orders'!H508))*12+MONTH('Raw Orders'!I508)-MONTH('Raw Orders'!H508))</f>
        <v/>
      </c>
      <c r="K508">
        <f>IF('Raw Orders'!J508,"Cancelled",IF('Raw Orders'!K508&gt;=2,"Slipped","On plan"))</f>
        <v/>
      </c>
      <c r="L508" s="14">
        <f>IF(K508="On plan",0,F508)</f>
        <v/>
      </c>
    </row>
    <row r="509">
      <c r="A509">
        <f>'Raw Orders'!A509</f>
        <v/>
      </c>
      <c r="B509">
        <f>'Raw Orders'!B509</f>
        <v/>
      </c>
      <c r="C509">
        <f>'Raw Orders'!C509</f>
        <v/>
      </c>
      <c r="D509" s="13">
        <f>'Raw Orders'!E509</f>
        <v/>
      </c>
      <c r="E509" s="14">
        <f>'Raw Orders'!F509</f>
        <v/>
      </c>
      <c r="F509" s="14">
        <f>'Raw Orders'!F509*0.5</f>
        <v/>
      </c>
      <c r="G509" s="12">
        <f>'Raw Orders'!H509</f>
        <v/>
      </c>
      <c r="H509" s="12">
        <f>'Raw Orders'!I509</f>
        <v/>
      </c>
      <c r="I509" s="13">
        <f>'Raw Orders'!K509</f>
        <v/>
      </c>
      <c r="J509" s="13">
        <f>IF('Raw Orders'!J509,"",(YEAR('Raw Orders'!I509)-YEAR('Raw Orders'!H509))*12+MONTH('Raw Orders'!I509)-MONTH('Raw Orders'!H509))</f>
        <v/>
      </c>
      <c r="K509">
        <f>IF('Raw Orders'!J509,"Cancelled",IF('Raw Orders'!K509&gt;=2,"Slipped","On plan"))</f>
        <v/>
      </c>
      <c r="L509" s="14">
        <f>IF(K509="On plan",0,F509)</f>
        <v/>
      </c>
    </row>
    <row r="510">
      <c r="A510">
        <f>'Raw Orders'!A510</f>
        <v/>
      </c>
      <c r="B510">
        <f>'Raw Orders'!B510</f>
        <v/>
      </c>
      <c r="C510">
        <f>'Raw Orders'!C510</f>
        <v/>
      </c>
      <c r="D510" s="13">
        <f>'Raw Orders'!E510</f>
        <v/>
      </c>
      <c r="E510" s="14">
        <f>'Raw Orders'!F510</f>
        <v/>
      </c>
      <c r="F510" s="14">
        <f>'Raw Orders'!F510*0.5</f>
        <v/>
      </c>
      <c r="G510" s="12">
        <f>'Raw Orders'!H510</f>
        <v/>
      </c>
      <c r="H510" s="12">
        <f>'Raw Orders'!I510</f>
        <v/>
      </c>
      <c r="I510" s="13">
        <f>'Raw Orders'!K510</f>
        <v/>
      </c>
      <c r="J510" s="13">
        <f>IF('Raw Orders'!J510,"",(YEAR('Raw Orders'!I510)-YEAR('Raw Orders'!H510))*12+MONTH('Raw Orders'!I510)-MONTH('Raw Orders'!H510))</f>
        <v/>
      </c>
      <c r="K510">
        <f>IF('Raw Orders'!J510,"Cancelled",IF('Raw Orders'!K510&gt;=2,"Slipped","On plan"))</f>
        <v/>
      </c>
      <c r="L510" s="14">
        <f>IF(K510="On plan",0,F510)</f>
        <v/>
      </c>
    </row>
    <row r="511">
      <c r="A511">
        <f>'Raw Orders'!A511</f>
        <v/>
      </c>
      <c r="B511">
        <f>'Raw Orders'!B511</f>
        <v/>
      </c>
      <c r="C511">
        <f>'Raw Orders'!C511</f>
        <v/>
      </c>
      <c r="D511" s="13">
        <f>'Raw Orders'!E511</f>
        <v/>
      </c>
      <c r="E511" s="14">
        <f>'Raw Orders'!F511</f>
        <v/>
      </c>
      <c r="F511" s="14">
        <f>'Raw Orders'!F511*0.5</f>
        <v/>
      </c>
      <c r="G511" s="12">
        <f>'Raw Orders'!H511</f>
        <v/>
      </c>
      <c r="H511" s="12">
        <f>'Raw Orders'!I511</f>
        <v/>
      </c>
      <c r="I511" s="13">
        <f>'Raw Orders'!K511</f>
        <v/>
      </c>
      <c r="J511" s="13">
        <f>IF('Raw Orders'!J511,"",(YEAR('Raw Orders'!I511)-YEAR('Raw Orders'!H511))*12+MONTH('Raw Orders'!I511)-MONTH('Raw Orders'!H511))</f>
        <v/>
      </c>
      <c r="K511">
        <f>IF('Raw Orders'!J511,"Cancelled",IF('Raw Orders'!K511&gt;=2,"Slipped","On plan"))</f>
        <v/>
      </c>
      <c r="L511" s="14">
        <f>IF(K511="On plan",0,F511)</f>
        <v/>
      </c>
    </row>
    <row r="512">
      <c r="A512">
        <f>'Raw Orders'!A512</f>
        <v/>
      </c>
      <c r="B512">
        <f>'Raw Orders'!B512</f>
        <v/>
      </c>
      <c r="C512">
        <f>'Raw Orders'!C512</f>
        <v/>
      </c>
      <c r="D512" s="13">
        <f>'Raw Orders'!E512</f>
        <v/>
      </c>
      <c r="E512" s="14">
        <f>'Raw Orders'!F512</f>
        <v/>
      </c>
      <c r="F512" s="14">
        <f>'Raw Orders'!F512*0.5</f>
        <v/>
      </c>
      <c r="G512" s="12">
        <f>'Raw Orders'!H512</f>
        <v/>
      </c>
      <c r="H512" s="12">
        <f>'Raw Orders'!I512</f>
        <v/>
      </c>
      <c r="I512" s="13">
        <f>'Raw Orders'!K512</f>
        <v/>
      </c>
      <c r="J512" s="13">
        <f>IF('Raw Orders'!J512,"",(YEAR('Raw Orders'!I512)-YEAR('Raw Orders'!H512))*12+MONTH('Raw Orders'!I512)-MONTH('Raw Orders'!H512))</f>
        <v/>
      </c>
      <c r="K512">
        <f>IF('Raw Orders'!J512,"Cancelled",IF('Raw Orders'!K512&gt;=2,"Slipped","On plan"))</f>
        <v/>
      </c>
      <c r="L512" s="14">
        <f>IF(K512="On plan",0,F512)</f>
        <v/>
      </c>
    </row>
    <row r="513">
      <c r="A513">
        <f>'Raw Orders'!A513</f>
        <v/>
      </c>
      <c r="B513">
        <f>'Raw Orders'!B513</f>
        <v/>
      </c>
      <c r="C513">
        <f>'Raw Orders'!C513</f>
        <v/>
      </c>
      <c r="D513" s="13">
        <f>'Raw Orders'!E513</f>
        <v/>
      </c>
      <c r="E513" s="14">
        <f>'Raw Orders'!F513</f>
        <v/>
      </c>
      <c r="F513" s="14">
        <f>'Raw Orders'!F513*0.5</f>
        <v/>
      </c>
      <c r="G513" s="12">
        <f>'Raw Orders'!H513</f>
        <v/>
      </c>
      <c r="H513" s="12">
        <f>'Raw Orders'!I513</f>
        <v/>
      </c>
      <c r="I513" s="13">
        <f>'Raw Orders'!K513</f>
        <v/>
      </c>
      <c r="J513" s="13">
        <f>IF('Raw Orders'!J513,"",(YEAR('Raw Orders'!I513)-YEAR('Raw Orders'!H513))*12+MONTH('Raw Orders'!I513)-MONTH('Raw Orders'!H513))</f>
        <v/>
      </c>
      <c r="K513">
        <f>IF('Raw Orders'!J513,"Cancelled",IF('Raw Orders'!K513&gt;=2,"Slipped","On plan"))</f>
        <v/>
      </c>
      <c r="L513" s="14">
        <f>IF(K513="On plan",0,F513)</f>
        <v/>
      </c>
    </row>
    <row r="514">
      <c r="A514">
        <f>'Raw Orders'!A514</f>
        <v/>
      </c>
      <c r="B514">
        <f>'Raw Orders'!B514</f>
        <v/>
      </c>
      <c r="C514">
        <f>'Raw Orders'!C514</f>
        <v/>
      </c>
      <c r="D514" s="13">
        <f>'Raw Orders'!E514</f>
        <v/>
      </c>
      <c r="E514" s="14">
        <f>'Raw Orders'!F514</f>
        <v/>
      </c>
      <c r="F514" s="14">
        <f>'Raw Orders'!F514*0.5</f>
        <v/>
      </c>
      <c r="G514" s="12">
        <f>'Raw Orders'!H514</f>
        <v/>
      </c>
      <c r="H514" s="12">
        <f>'Raw Orders'!I514</f>
        <v/>
      </c>
      <c r="I514" s="13">
        <f>'Raw Orders'!K514</f>
        <v/>
      </c>
      <c r="J514" s="13">
        <f>IF('Raw Orders'!J514,"",(YEAR('Raw Orders'!I514)-YEAR('Raw Orders'!H514))*12+MONTH('Raw Orders'!I514)-MONTH('Raw Orders'!H514))</f>
        <v/>
      </c>
      <c r="K514">
        <f>IF('Raw Orders'!J514,"Cancelled",IF('Raw Orders'!K514&gt;=2,"Slipped","On plan"))</f>
        <v/>
      </c>
      <c r="L514" s="14">
        <f>IF(K514="On plan",0,F514)</f>
        <v/>
      </c>
    </row>
    <row r="515">
      <c r="A515">
        <f>'Raw Orders'!A515</f>
        <v/>
      </c>
      <c r="B515">
        <f>'Raw Orders'!B515</f>
        <v/>
      </c>
      <c r="C515">
        <f>'Raw Orders'!C515</f>
        <v/>
      </c>
      <c r="D515" s="13">
        <f>'Raw Orders'!E515</f>
        <v/>
      </c>
      <c r="E515" s="14">
        <f>'Raw Orders'!F515</f>
        <v/>
      </c>
      <c r="F515" s="14">
        <f>'Raw Orders'!F515*0.5</f>
        <v/>
      </c>
      <c r="G515" s="12">
        <f>'Raw Orders'!H515</f>
        <v/>
      </c>
      <c r="H515" s="12">
        <f>'Raw Orders'!I515</f>
        <v/>
      </c>
      <c r="I515" s="13">
        <f>'Raw Orders'!K515</f>
        <v/>
      </c>
      <c r="J515" s="13">
        <f>IF('Raw Orders'!J515,"",(YEAR('Raw Orders'!I515)-YEAR('Raw Orders'!H515))*12+MONTH('Raw Orders'!I515)-MONTH('Raw Orders'!H515))</f>
        <v/>
      </c>
      <c r="K515">
        <f>IF('Raw Orders'!J515,"Cancelled",IF('Raw Orders'!K515&gt;=2,"Slipped","On plan"))</f>
        <v/>
      </c>
      <c r="L515" s="14">
        <f>IF(K515="On plan",0,F515)</f>
        <v/>
      </c>
    </row>
    <row r="516">
      <c r="A516">
        <f>'Raw Orders'!A516</f>
        <v/>
      </c>
      <c r="B516">
        <f>'Raw Orders'!B516</f>
        <v/>
      </c>
      <c r="C516">
        <f>'Raw Orders'!C516</f>
        <v/>
      </c>
      <c r="D516" s="13">
        <f>'Raw Orders'!E516</f>
        <v/>
      </c>
      <c r="E516" s="14">
        <f>'Raw Orders'!F516</f>
        <v/>
      </c>
      <c r="F516" s="14">
        <f>'Raw Orders'!F516*0.5</f>
        <v/>
      </c>
      <c r="G516" s="12">
        <f>'Raw Orders'!H516</f>
        <v/>
      </c>
      <c r="H516" s="12">
        <f>'Raw Orders'!I516</f>
        <v/>
      </c>
      <c r="I516" s="13">
        <f>'Raw Orders'!K516</f>
        <v/>
      </c>
      <c r="J516" s="13">
        <f>IF('Raw Orders'!J516,"",(YEAR('Raw Orders'!I516)-YEAR('Raw Orders'!H516))*12+MONTH('Raw Orders'!I516)-MONTH('Raw Orders'!H516))</f>
        <v/>
      </c>
      <c r="K516">
        <f>IF('Raw Orders'!J516,"Cancelled",IF('Raw Orders'!K516&gt;=2,"Slipped","On plan"))</f>
        <v/>
      </c>
      <c r="L516" s="14">
        <f>IF(K516="On plan",0,F516)</f>
        <v/>
      </c>
    </row>
    <row r="517">
      <c r="A517">
        <f>'Raw Orders'!A517</f>
        <v/>
      </c>
      <c r="B517">
        <f>'Raw Orders'!B517</f>
        <v/>
      </c>
      <c r="C517">
        <f>'Raw Orders'!C517</f>
        <v/>
      </c>
      <c r="D517" s="13">
        <f>'Raw Orders'!E517</f>
        <v/>
      </c>
      <c r="E517" s="14">
        <f>'Raw Orders'!F517</f>
        <v/>
      </c>
      <c r="F517" s="14">
        <f>'Raw Orders'!F517*0.5</f>
        <v/>
      </c>
      <c r="G517" s="12">
        <f>'Raw Orders'!H517</f>
        <v/>
      </c>
      <c r="H517" s="12">
        <f>'Raw Orders'!I517</f>
        <v/>
      </c>
      <c r="I517" s="13">
        <f>'Raw Orders'!K517</f>
        <v/>
      </c>
      <c r="J517" s="13">
        <f>IF('Raw Orders'!J517,"",(YEAR('Raw Orders'!I517)-YEAR('Raw Orders'!H517))*12+MONTH('Raw Orders'!I517)-MONTH('Raw Orders'!H517))</f>
        <v/>
      </c>
      <c r="K517">
        <f>IF('Raw Orders'!J517,"Cancelled",IF('Raw Orders'!K517&gt;=2,"Slipped","On plan"))</f>
        <v/>
      </c>
      <c r="L517" s="14">
        <f>IF(K517="On plan",0,F517)</f>
        <v/>
      </c>
    </row>
    <row r="518">
      <c r="A518">
        <f>'Raw Orders'!A518</f>
        <v/>
      </c>
      <c r="B518">
        <f>'Raw Orders'!B518</f>
        <v/>
      </c>
      <c r="C518">
        <f>'Raw Orders'!C518</f>
        <v/>
      </c>
      <c r="D518" s="13">
        <f>'Raw Orders'!E518</f>
        <v/>
      </c>
      <c r="E518" s="14">
        <f>'Raw Orders'!F518</f>
        <v/>
      </c>
      <c r="F518" s="14">
        <f>'Raw Orders'!F518*0.5</f>
        <v/>
      </c>
      <c r="G518" s="12">
        <f>'Raw Orders'!H518</f>
        <v/>
      </c>
      <c r="H518" s="12">
        <f>'Raw Orders'!I518</f>
        <v/>
      </c>
      <c r="I518" s="13">
        <f>'Raw Orders'!K518</f>
        <v/>
      </c>
      <c r="J518" s="13">
        <f>IF('Raw Orders'!J518,"",(YEAR('Raw Orders'!I518)-YEAR('Raw Orders'!H518))*12+MONTH('Raw Orders'!I518)-MONTH('Raw Orders'!H518))</f>
        <v/>
      </c>
      <c r="K518">
        <f>IF('Raw Orders'!J518,"Cancelled",IF('Raw Orders'!K518&gt;=2,"Slipped","On plan"))</f>
        <v/>
      </c>
      <c r="L518" s="14">
        <f>IF(K518="On plan",0,F518)</f>
        <v/>
      </c>
    </row>
    <row r="519">
      <c r="A519">
        <f>'Raw Orders'!A519</f>
        <v/>
      </c>
      <c r="B519">
        <f>'Raw Orders'!B519</f>
        <v/>
      </c>
      <c r="C519">
        <f>'Raw Orders'!C519</f>
        <v/>
      </c>
      <c r="D519" s="13">
        <f>'Raw Orders'!E519</f>
        <v/>
      </c>
      <c r="E519" s="14">
        <f>'Raw Orders'!F519</f>
        <v/>
      </c>
      <c r="F519" s="14">
        <f>'Raw Orders'!F519*0.5</f>
        <v/>
      </c>
      <c r="G519" s="12">
        <f>'Raw Orders'!H519</f>
        <v/>
      </c>
      <c r="H519" s="12">
        <f>'Raw Orders'!I519</f>
        <v/>
      </c>
      <c r="I519" s="13">
        <f>'Raw Orders'!K519</f>
        <v/>
      </c>
      <c r="J519" s="13">
        <f>IF('Raw Orders'!J519,"",(YEAR('Raw Orders'!I519)-YEAR('Raw Orders'!H519))*12+MONTH('Raw Orders'!I519)-MONTH('Raw Orders'!H519))</f>
        <v/>
      </c>
      <c r="K519">
        <f>IF('Raw Orders'!J519,"Cancelled",IF('Raw Orders'!K519&gt;=2,"Slipped","On plan"))</f>
        <v/>
      </c>
      <c r="L519" s="14">
        <f>IF(K519="On plan",0,F519)</f>
        <v/>
      </c>
    </row>
    <row r="520">
      <c r="A520">
        <f>'Raw Orders'!A520</f>
        <v/>
      </c>
      <c r="B520">
        <f>'Raw Orders'!B520</f>
        <v/>
      </c>
      <c r="C520">
        <f>'Raw Orders'!C520</f>
        <v/>
      </c>
      <c r="D520" s="13">
        <f>'Raw Orders'!E520</f>
        <v/>
      </c>
      <c r="E520" s="14">
        <f>'Raw Orders'!F520</f>
        <v/>
      </c>
      <c r="F520" s="14">
        <f>'Raw Orders'!F520*0.5</f>
        <v/>
      </c>
      <c r="G520" s="12">
        <f>'Raw Orders'!H520</f>
        <v/>
      </c>
      <c r="H520" s="12">
        <f>'Raw Orders'!I520</f>
        <v/>
      </c>
      <c r="I520" s="13">
        <f>'Raw Orders'!K520</f>
        <v/>
      </c>
      <c r="J520" s="13">
        <f>IF('Raw Orders'!J520,"",(YEAR('Raw Orders'!I520)-YEAR('Raw Orders'!H520))*12+MONTH('Raw Orders'!I520)-MONTH('Raw Orders'!H520))</f>
        <v/>
      </c>
      <c r="K520">
        <f>IF('Raw Orders'!J520,"Cancelled",IF('Raw Orders'!K520&gt;=2,"Slipped","On plan"))</f>
        <v/>
      </c>
      <c r="L520" s="14">
        <f>IF(K520="On plan",0,F520)</f>
        <v/>
      </c>
    </row>
    <row r="521">
      <c r="A521">
        <f>'Raw Orders'!A521</f>
        <v/>
      </c>
      <c r="B521">
        <f>'Raw Orders'!B521</f>
        <v/>
      </c>
      <c r="C521">
        <f>'Raw Orders'!C521</f>
        <v/>
      </c>
      <c r="D521" s="13">
        <f>'Raw Orders'!E521</f>
        <v/>
      </c>
      <c r="E521" s="14">
        <f>'Raw Orders'!F521</f>
        <v/>
      </c>
      <c r="F521" s="14">
        <f>'Raw Orders'!F521*0.5</f>
        <v/>
      </c>
      <c r="G521" s="12">
        <f>'Raw Orders'!H521</f>
        <v/>
      </c>
      <c r="H521" s="12">
        <f>'Raw Orders'!I521</f>
        <v/>
      </c>
      <c r="I521" s="13">
        <f>'Raw Orders'!K521</f>
        <v/>
      </c>
      <c r="J521" s="13">
        <f>IF('Raw Orders'!J521,"",(YEAR('Raw Orders'!I521)-YEAR('Raw Orders'!H521))*12+MONTH('Raw Orders'!I521)-MONTH('Raw Orders'!H521))</f>
        <v/>
      </c>
      <c r="K521">
        <f>IF('Raw Orders'!J521,"Cancelled",IF('Raw Orders'!K521&gt;=2,"Slipped","On plan"))</f>
        <v/>
      </c>
      <c r="L521" s="14">
        <f>IF(K521="On plan",0,F521)</f>
        <v/>
      </c>
    </row>
    <row r="522">
      <c r="A522">
        <f>'Raw Orders'!A522</f>
        <v/>
      </c>
      <c r="B522">
        <f>'Raw Orders'!B522</f>
        <v/>
      </c>
      <c r="C522">
        <f>'Raw Orders'!C522</f>
        <v/>
      </c>
      <c r="D522" s="13">
        <f>'Raw Orders'!E522</f>
        <v/>
      </c>
      <c r="E522" s="14">
        <f>'Raw Orders'!F522</f>
        <v/>
      </c>
      <c r="F522" s="14">
        <f>'Raw Orders'!F522*0.5</f>
        <v/>
      </c>
      <c r="G522" s="12">
        <f>'Raw Orders'!H522</f>
        <v/>
      </c>
      <c r="H522" s="12">
        <f>'Raw Orders'!I522</f>
        <v/>
      </c>
      <c r="I522" s="13">
        <f>'Raw Orders'!K522</f>
        <v/>
      </c>
      <c r="J522" s="13">
        <f>IF('Raw Orders'!J522,"",(YEAR('Raw Orders'!I522)-YEAR('Raw Orders'!H522))*12+MONTH('Raw Orders'!I522)-MONTH('Raw Orders'!H522))</f>
        <v/>
      </c>
      <c r="K522">
        <f>IF('Raw Orders'!J522,"Cancelled",IF('Raw Orders'!K522&gt;=2,"Slipped","On plan"))</f>
        <v/>
      </c>
      <c r="L522" s="14">
        <f>IF(K522="On plan",0,F522)</f>
        <v/>
      </c>
    </row>
    <row r="523">
      <c r="A523">
        <f>'Raw Orders'!A523</f>
        <v/>
      </c>
      <c r="B523">
        <f>'Raw Orders'!B523</f>
        <v/>
      </c>
      <c r="C523">
        <f>'Raw Orders'!C523</f>
        <v/>
      </c>
      <c r="D523" s="13">
        <f>'Raw Orders'!E523</f>
        <v/>
      </c>
      <c r="E523" s="14">
        <f>'Raw Orders'!F523</f>
        <v/>
      </c>
      <c r="F523" s="14">
        <f>'Raw Orders'!F523*0.5</f>
        <v/>
      </c>
      <c r="G523" s="12">
        <f>'Raw Orders'!H523</f>
        <v/>
      </c>
      <c r="H523" s="12">
        <f>'Raw Orders'!I523</f>
        <v/>
      </c>
      <c r="I523" s="13">
        <f>'Raw Orders'!K523</f>
        <v/>
      </c>
      <c r="J523" s="13">
        <f>IF('Raw Orders'!J523,"",(YEAR('Raw Orders'!I523)-YEAR('Raw Orders'!H523))*12+MONTH('Raw Orders'!I523)-MONTH('Raw Orders'!H523))</f>
        <v/>
      </c>
      <c r="K523">
        <f>IF('Raw Orders'!J523,"Cancelled",IF('Raw Orders'!K523&gt;=2,"Slipped","On plan"))</f>
        <v/>
      </c>
      <c r="L523" s="14">
        <f>IF(K523="On plan",0,F523)</f>
        <v/>
      </c>
    </row>
    <row r="524">
      <c r="A524">
        <f>'Raw Orders'!A524</f>
        <v/>
      </c>
      <c r="B524">
        <f>'Raw Orders'!B524</f>
        <v/>
      </c>
      <c r="C524">
        <f>'Raw Orders'!C524</f>
        <v/>
      </c>
      <c r="D524" s="13">
        <f>'Raw Orders'!E524</f>
        <v/>
      </c>
      <c r="E524" s="14">
        <f>'Raw Orders'!F524</f>
        <v/>
      </c>
      <c r="F524" s="14">
        <f>'Raw Orders'!F524*0.5</f>
        <v/>
      </c>
      <c r="G524" s="12">
        <f>'Raw Orders'!H524</f>
        <v/>
      </c>
      <c r="H524" s="12">
        <f>'Raw Orders'!I524</f>
        <v/>
      </c>
      <c r="I524" s="13">
        <f>'Raw Orders'!K524</f>
        <v/>
      </c>
      <c r="J524" s="13">
        <f>IF('Raw Orders'!J524,"",(YEAR('Raw Orders'!I524)-YEAR('Raw Orders'!H524))*12+MONTH('Raw Orders'!I524)-MONTH('Raw Orders'!H524))</f>
        <v/>
      </c>
      <c r="K524">
        <f>IF('Raw Orders'!J524,"Cancelled",IF('Raw Orders'!K524&gt;=2,"Slipped","On plan"))</f>
        <v/>
      </c>
      <c r="L524" s="14">
        <f>IF(K524="On plan",0,F524)</f>
        <v/>
      </c>
    </row>
    <row r="525">
      <c r="A525">
        <f>'Raw Orders'!A525</f>
        <v/>
      </c>
      <c r="B525">
        <f>'Raw Orders'!B525</f>
        <v/>
      </c>
      <c r="C525">
        <f>'Raw Orders'!C525</f>
        <v/>
      </c>
      <c r="D525" s="13">
        <f>'Raw Orders'!E525</f>
        <v/>
      </c>
      <c r="E525" s="14">
        <f>'Raw Orders'!F525</f>
        <v/>
      </c>
      <c r="F525" s="14">
        <f>'Raw Orders'!F525*0.5</f>
        <v/>
      </c>
      <c r="G525" s="12">
        <f>'Raw Orders'!H525</f>
        <v/>
      </c>
      <c r="H525" s="12">
        <f>'Raw Orders'!I525</f>
        <v/>
      </c>
      <c r="I525" s="13">
        <f>'Raw Orders'!K525</f>
        <v/>
      </c>
      <c r="J525" s="13">
        <f>IF('Raw Orders'!J525,"",(YEAR('Raw Orders'!I525)-YEAR('Raw Orders'!H525))*12+MONTH('Raw Orders'!I525)-MONTH('Raw Orders'!H525))</f>
        <v/>
      </c>
      <c r="K525">
        <f>IF('Raw Orders'!J525,"Cancelled",IF('Raw Orders'!K525&gt;=2,"Slipped","On plan"))</f>
        <v/>
      </c>
      <c r="L525" s="14">
        <f>IF(K525="On plan",0,F525)</f>
        <v/>
      </c>
    </row>
    <row r="526">
      <c r="A526">
        <f>'Raw Orders'!A526</f>
        <v/>
      </c>
      <c r="B526">
        <f>'Raw Orders'!B526</f>
        <v/>
      </c>
      <c r="C526">
        <f>'Raw Orders'!C526</f>
        <v/>
      </c>
      <c r="D526" s="13">
        <f>'Raw Orders'!E526</f>
        <v/>
      </c>
      <c r="E526" s="14">
        <f>'Raw Orders'!F526</f>
        <v/>
      </c>
      <c r="F526" s="14">
        <f>'Raw Orders'!F526*0.5</f>
        <v/>
      </c>
      <c r="G526" s="12">
        <f>'Raw Orders'!H526</f>
        <v/>
      </c>
      <c r="H526" s="12">
        <f>'Raw Orders'!I526</f>
        <v/>
      </c>
      <c r="I526" s="13">
        <f>'Raw Orders'!K526</f>
        <v/>
      </c>
      <c r="J526" s="13">
        <f>IF('Raw Orders'!J526,"",(YEAR('Raw Orders'!I526)-YEAR('Raw Orders'!H526))*12+MONTH('Raw Orders'!I526)-MONTH('Raw Orders'!H526))</f>
        <v/>
      </c>
      <c r="K526">
        <f>IF('Raw Orders'!J526,"Cancelled",IF('Raw Orders'!K526&gt;=2,"Slipped","On plan"))</f>
        <v/>
      </c>
      <c r="L526" s="14">
        <f>IF(K526="On plan",0,F526)</f>
        <v/>
      </c>
    </row>
    <row r="527">
      <c r="A527">
        <f>'Raw Orders'!A527</f>
        <v/>
      </c>
      <c r="B527">
        <f>'Raw Orders'!B527</f>
        <v/>
      </c>
      <c r="C527">
        <f>'Raw Orders'!C527</f>
        <v/>
      </c>
      <c r="D527" s="13">
        <f>'Raw Orders'!E527</f>
        <v/>
      </c>
      <c r="E527" s="14">
        <f>'Raw Orders'!F527</f>
        <v/>
      </c>
      <c r="F527" s="14">
        <f>'Raw Orders'!F527*0.5</f>
        <v/>
      </c>
      <c r="G527" s="12">
        <f>'Raw Orders'!H527</f>
        <v/>
      </c>
      <c r="H527" s="12">
        <f>'Raw Orders'!I527</f>
        <v/>
      </c>
      <c r="I527" s="13">
        <f>'Raw Orders'!K527</f>
        <v/>
      </c>
      <c r="J527" s="13">
        <f>IF('Raw Orders'!J527,"",(YEAR('Raw Orders'!I527)-YEAR('Raw Orders'!H527))*12+MONTH('Raw Orders'!I527)-MONTH('Raw Orders'!H527))</f>
        <v/>
      </c>
      <c r="K527">
        <f>IF('Raw Orders'!J527,"Cancelled",IF('Raw Orders'!K527&gt;=2,"Slipped","On plan"))</f>
        <v/>
      </c>
      <c r="L527" s="14">
        <f>IF(K527="On plan",0,F527)</f>
        <v/>
      </c>
    </row>
    <row r="528">
      <c r="A528">
        <f>'Raw Orders'!A528</f>
        <v/>
      </c>
      <c r="B528">
        <f>'Raw Orders'!B528</f>
        <v/>
      </c>
      <c r="C528">
        <f>'Raw Orders'!C528</f>
        <v/>
      </c>
      <c r="D528" s="13">
        <f>'Raw Orders'!E528</f>
        <v/>
      </c>
      <c r="E528" s="14">
        <f>'Raw Orders'!F528</f>
        <v/>
      </c>
      <c r="F528" s="14">
        <f>'Raw Orders'!F528*0.5</f>
        <v/>
      </c>
      <c r="G528" s="12">
        <f>'Raw Orders'!H528</f>
        <v/>
      </c>
      <c r="H528" s="12">
        <f>'Raw Orders'!I528</f>
        <v/>
      </c>
      <c r="I528" s="13">
        <f>'Raw Orders'!K528</f>
        <v/>
      </c>
      <c r="J528" s="13">
        <f>IF('Raw Orders'!J528,"",(YEAR('Raw Orders'!I528)-YEAR('Raw Orders'!H528))*12+MONTH('Raw Orders'!I528)-MONTH('Raw Orders'!H528))</f>
        <v/>
      </c>
      <c r="K528">
        <f>IF('Raw Orders'!J528,"Cancelled",IF('Raw Orders'!K528&gt;=2,"Slipped","On plan"))</f>
        <v/>
      </c>
      <c r="L528" s="14">
        <f>IF(K528="On plan",0,F528)</f>
        <v/>
      </c>
    </row>
    <row r="529">
      <c r="A529">
        <f>'Raw Orders'!A529</f>
        <v/>
      </c>
      <c r="B529">
        <f>'Raw Orders'!B529</f>
        <v/>
      </c>
      <c r="C529">
        <f>'Raw Orders'!C529</f>
        <v/>
      </c>
      <c r="D529" s="13">
        <f>'Raw Orders'!E529</f>
        <v/>
      </c>
      <c r="E529" s="14">
        <f>'Raw Orders'!F529</f>
        <v/>
      </c>
      <c r="F529" s="14">
        <f>'Raw Orders'!F529*0.5</f>
        <v/>
      </c>
      <c r="G529" s="12">
        <f>'Raw Orders'!H529</f>
        <v/>
      </c>
      <c r="H529" s="12">
        <f>'Raw Orders'!I529</f>
        <v/>
      </c>
      <c r="I529" s="13">
        <f>'Raw Orders'!K529</f>
        <v/>
      </c>
      <c r="J529" s="13">
        <f>IF('Raw Orders'!J529,"",(YEAR('Raw Orders'!I529)-YEAR('Raw Orders'!H529))*12+MONTH('Raw Orders'!I529)-MONTH('Raw Orders'!H529))</f>
        <v/>
      </c>
      <c r="K529">
        <f>IF('Raw Orders'!J529,"Cancelled",IF('Raw Orders'!K529&gt;=2,"Slipped","On plan"))</f>
        <v/>
      </c>
      <c r="L529" s="14">
        <f>IF(K529="On plan",0,F529)</f>
        <v/>
      </c>
    </row>
    <row r="530">
      <c r="A530">
        <f>'Raw Orders'!A530</f>
        <v/>
      </c>
      <c r="B530">
        <f>'Raw Orders'!B530</f>
        <v/>
      </c>
      <c r="C530">
        <f>'Raw Orders'!C530</f>
        <v/>
      </c>
      <c r="D530" s="13">
        <f>'Raw Orders'!E530</f>
        <v/>
      </c>
      <c r="E530" s="14">
        <f>'Raw Orders'!F530</f>
        <v/>
      </c>
      <c r="F530" s="14">
        <f>'Raw Orders'!F530*0.5</f>
        <v/>
      </c>
      <c r="G530" s="12">
        <f>'Raw Orders'!H530</f>
        <v/>
      </c>
      <c r="H530" s="12">
        <f>'Raw Orders'!I530</f>
        <v/>
      </c>
      <c r="I530" s="13">
        <f>'Raw Orders'!K530</f>
        <v/>
      </c>
      <c r="J530" s="13">
        <f>IF('Raw Orders'!J530,"",(YEAR('Raw Orders'!I530)-YEAR('Raw Orders'!H530))*12+MONTH('Raw Orders'!I530)-MONTH('Raw Orders'!H530))</f>
        <v/>
      </c>
      <c r="K530">
        <f>IF('Raw Orders'!J530,"Cancelled",IF('Raw Orders'!K530&gt;=2,"Slipped","On plan"))</f>
        <v/>
      </c>
      <c r="L530" s="14">
        <f>IF(K530="On plan",0,F530)</f>
        <v/>
      </c>
    </row>
    <row r="531">
      <c r="A531">
        <f>'Raw Orders'!A531</f>
        <v/>
      </c>
      <c r="B531">
        <f>'Raw Orders'!B531</f>
        <v/>
      </c>
      <c r="C531">
        <f>'Raw Orders'!C531</f>
        <v/>
      </c>
      <c r="D531" s="13">
        <f>'Raw Orders'!E531</f>
        <v/>
      </c>
      <c r="E531" s="14">
        <f>'Raw Orders'!F531</f>
        <v/>
      </c>
      <c r="F531" s="14">
        <f>'Raw Orders'!F531*0.5</f>
        <v/>
      </c>
      <c r="G531" s="12">
        <f>'Raw Orders'!H531</f>
        <v/>
      </c>
      <c r="H531" s="12">
        <f>'Raw Orders'!I531</f>
        <v/>
      </c>
      <c r="I531" s="13">
        <f>'Raw Orders'!K531</f>
        <v/>
      </c>
      <c r="J531" s="13">
        <f>IF('Raw Orders'!J531,"",(YEAR('Raw Orders'!I531)-YEAR('Raw Orders'!H531))*12+MONTH('Raw Orders'!I531)-MONTH('Raw Orders'!H531))</f>
        <v/>
      </c>
      <c r="K531">
        <f>IF('Raw Orders'!J531,"Cancelled",IF('Raw Orders'!K531&gt;=2,"Slipped","On plan"))</f>
        <v/>
      </c>
      <c r="L531" s="14">
        <f>IF(K531="On plan",0,F531)</f>
        <v/>
      </c>
    </row>
    <row r="532">
      <c r="A532">
        <f>'Raw Orders'!A532</f>
        <v/>
      </c>
      <c r="B532">
        <f>'Raw Orders'!B532</f>
        <v/>
      </c>
      <c r="C532">
        <f>'Raw Orders'!C532</f>
        <v/>
      </c>
      <c r="D532" s="13">
        <f>'Raw Orders'!E532</f>
        <v/>
      </c>
      <c r="E532" s="14">
        <f>'Raw Orders'!F532</f>
        <v/>
      </c>
      <c r="F532" s="14">
        <f>'Raw Orders'!F532*0.5</f>
        <v/>
      </c>
      <c r="G532" s="12">
        <f>'Raw Orders'!H532</f>
        <v/>
      </c>
      <c r="H532" s="12">
        <f>'Raw Orders'!I532</f>
        <v/>
      </c>
      <c r="I532" s="13">
        <f>'Raw Orders'!K532</f>
        <v/>
      </c>
      <c r="J532" s="13">
        <f>IF('Raw Orders'!J532,"",(YEAR('Raw Orders'!I532)-YEAR('Raw Orders'!H532))*12+MONTH('Raw Orders'!I532)-MONTH('Raw Orders'!H532))</f>
        <v/>
      </c>
      <c r="K532">
        <f>IF('Raw Orders'!J532,"Cancelled",IF('Raw Orders'!K532&gt;=2,"Slipped","On plan"))</f>
        <v/>
      </c>
      <c r="L532" s="14">
        <f>IF(K532="On plan",0,F532)</f>
        <v/>
      </c>
    </row>
    <row r="533">
      <c r="A533">
        <f>'Raw Orders'!A533</f>
        <v/>
      </c>
      <c r="B533">
        <f>'Raw Orders'!B533</f>
        <v/>
      </c>
      <c r="C533">
        <f>'Raw Orders'!C533</f>
        <v/>
      </c>
      <c r="D533" s="13">
        <f>'Raw Orders'!E533</f>
        <v/>
      </c>
      <c r="E533" s="14">
        <f>'Raw Orders'!F533</f>
        <v/>
      </c>
      <c r="F533" s="14">
        <f>'Raw Orders'!F533*0.5</f>
        <v/>
      </c>
      <c r="G533" s="12">
        <f>'Raw Orders'!H533</f>
        <v/>
      </c>
      <c r="H533" s="12">
        <f>'Raw Orders'!I533</f>
        <v/>
      </c>
      <c r="I533" s="13">
        <f>'Raw Orders'!K533</f>
        <v/>
      </c>
      <c r="J533" s="13">
        <f>IF('Raw Orders'!J533,"",(YEAR('Raw Orders'!I533)-YEAR('Raw Orders'!H533))*12+MONTH('Raw Orders'!I533)-MONTH('Raw Orders'!H533))</f>
        <v/>
      </c>
      <c r="K533">
        <f>IF('Raw Orders'!J533,"Cancelled",IF('Raw Orders'!K533&gt;=2,"Slipped","On plan"))</f>
        <v/>
      </c>
      <c r="L533" s="14">
        <f>IF(K533="On plan",0,F533)</f>
        <v/>
      </c>
    </row>
    <row r="534">
      <c r="A534">
        <f>'Raw Orders'!A534</f>
        <v/>
      </c>
      <c r="B534">
        <f>'Raw Orders'!B534</f>
        <v/>
      </c>
      <c r="C534">
        <f>'Raw Orders'!C534</f>
        <v/>
      </c>
      <c r="D534" s="13">
        <f>'Raw Orders'!E534</f>
        <v/>
      </c>
      <c r="E534" s="14">
        <f>'Raw Orders'!F534</f>
        <v/>
      </c>
      <c r="F534" s="14">
        <f>'Raw Orders'!F534*0.5</f>
        <v/>
      </c>
      <c r="G534" s="12">
        <f>'Raw Orders'!H534</f>
        <v/>
      </c>
      <c r="H534" s="12">
        <f>'Raw Orders'!I534</f>
        <v/>
      </c>
      <c r="I534" s="13">
        <f>'Raw Orders'!K534</f>
        <v/>
      </c>
      <c r="J534" s="13">
        <f>IF('Raw Orders'!J534,"",(YEAR('Raw Orders'!I534)-YEAR('Raw Orders'!H534))*12+MONTH('Raw Orders'!I534)-MONTH('Raw Orders'!H534))</f>
        <v/>
      </c>
      <c r="K534">
        <f>IF('Raw Orders'!J534,"Cancelled",IF('Raw Orders'!K534&gt;=2,"Slipped","On plan"))</f>
        <v/>
      </c>
      <c r="L534" s="14">
        <f>IF(K534="On plan",0,F534)</f>
        <v/>
      </c>
    </row>
    <row r="535">
      <c r="A535">
        <f>'Raw Orders'!A535</f>
        <v/>
      </c>
      <c r="B535">
        <f>'Raw Orders'!B535</f>
        <v/>
      </c>
      <c r="C535">
        <f>'Raw Orders'!C535</f>
        <v/>
      </c>
      <c r="D535" s="13">
        <f>'Raw Orders'!E535</f>
        <v/>
      </c>
      <c r="E535" s="14">
        <f>'Raw Orders'!F535</f>
        <v/>
      </c>
      <c r="F535" s="14">
        <f>'Raw Orders'!F535*0.5</f>
        <v/>
      </c>
      <c r="G535" s="12">
        <f>'Raw Orders'!H535</f>
        <v/>
      </c>
      <c r="H535" s="12">
        <f>'Raw Orders'!I535</f>
        <v/>
      </c>
      <c r="I535" s="13">
        <f>'Raw Orders'!K535</f>
        <v/>
      </c>
      <c r="J535" s="13">
        <f>IF('Raw Orders'!J535,"",(YEAR('Raw Orders'!I535)-YEAR('Raw Orders'!H535))*12+MONTH('Raw Orders'!I535)-MONTH('Raw Orders'!H535))</f>
        <v/>
      </c>
      <c r="K535">
        <f>IF('Raw Orders'!J535,"Cancelled",IF('Raw Orders'!K535&gt;=2,"Slipped","On plan"))</f>
        <v/>
      </c>
      <c r="L535" s="14">
        <f>IF(K535="On plan",0,F535)</f>
        <v/>
      </c>
    </row>
    <row r="536">
      <c r="A536">
        <f>'Raw Orders'!A536</f>
        <v/>
      </c>
      <c r="B536">
        <f>'Raw Orders'!B536</f>
        <v/>
      </c>
      <c r="C536">
        <f>'Raw Orders'!C536</f>
        <v/>
      </c>
      <c r="D536" s="13">
        <f>'Raw Orders'!E536</f>
        <v/>
      </c>
      <c r="E536" s="14">
        <f>'Raw Orders'!F536</f>
        <v/>
      </c>
      <c r="F536" s="14">
        <f>'Raw Orders'!F536*0.5</f>
        <v/>
      </c>
      <c r="G536" s="12">
        <f>'Raw Orders'!H536</f>
        <v/>
      </c>
      <c r="H536" s="12">
        <f>'Raw Orders'!I536</f>
        <v/>
      </c>
      <c r="I536" s="13">
        <f>'Raw Orders'!K536</f>
        <v/>
      </c>
      <c r="J536" s="13">
        <f>IF('Raw Orders'!J536,"",(YEAR('Raw Orders'!I536)-YEAR('Raw Orders'!H536))*12+MONTH('Raw Orders'!I536)-MONTH('Raw Orders'!H536))</f>
        <v/>
      </c>
      <c r="K536">
        <f>IF('Raw Orders'!J536,"Cancelled",IF('Raw Orders'!K536&gt;=2,"Slipped","On plan"))</f>
        <v/>
      </c>
      <c r="L536" s="14">
        <f>IF(K536="On plan",0,F536)</f>
        <v/>
      </c>
    </row>
    <row r="537">
      <c r="A537">
        <f>'Raw Orders'!A537</f>
        <v/>
      </c>
      <c r="B537">
        <f>'Raw Orders'!B537</f>
        <v/>
      </c>
      <c r="C537">
        <f>'Raw Orders'!C537</f>
        <v/>
      </c>
      <c r="D537" s="13">
        <f>'Raw Orders'!E537</f>
        <v/>
      </c>
      <c r="E537" s="14">
        <f>'Raw Orders'!F537</f>
        <v/>
      </c>
      <c r="F537" s="14">
        <f>'Raw Orders'!F537*0.5</f>
        <v/>
      </c>
      <c r="G537" s="12">
        <f>'Raw Orders'!H537</f>
        <v/>
      </c>
      <c r="H537" s="12">
        <f>'Raw Orders'!I537</f>
        <v/>
      </c>
      <c r="I537" s="13">
        <f>'Raw Orders'!K537</f>
        <v/>
      </c>
      <c r="J537" s="13">
        <f>IF('Raw Orders'!J537,"",(YEAR('Raw Orders'!I537)-YEAR('Raw Orders'!H537))*12+MONTH('Raw Orders'!I537)-MONTH('Raw Orders'!H537))</f>
        <v/>
      </c>
      <c r="K537">
        <f>IF('Raw Orders'!J537,"Cancelled",IF('Raw Orders'!K537&gt;=2,"Slipped","On plan"))</f>
        <v/>
      </c>
      <c r="L537" s="14">
        <f>IF(K537="On plan",0,F537)</f>
        <v/>
      </c>
    </row>
    <row r="538">
      <c r="A538">
        <f>'Raw Orders'!A538</f>
        <v/>
      </c>
      <c r="B538">
        <f>'Raw Orders'!B538</f>
        <v/>
      </c>
      <c r="C538">
        <f>'Raw Orders'!C538</f>
        <v/>
      </c>
      <c r="D538" s="13">
        <f>'Raw Orders'!E538</f>
        <v/>
      </c>
      <c r="E538" s="14">
        <f>'Raw Orders'!F538</f>
        <v/>
      </c>
      <c r="F538" s="14">
        <f>'Raw Orders'!F538*0.5</f>
        <v/>
      </c>
      <c r="G538" s="12">
        <f>'Raw Orders'!H538</f>
        <v/>
      </c>
      <c r="H538" s="12">
        <f>'Raw Orders'!I538</f>
        <v/>
      </c>
      <c r="I538" s="13">
        <f>'Raw Orders'!K538</f>
        <v/>
      </c>
      <c r="J538" s="13">
        <f>IF('Raw Orders'!J538,"",(YEAR('Raw Orders'!I538)-YEAR('Raw Orders'!H538))*12+MONTH('Raw Orders'!I538)-MONTH('Raw Orders'!H538))</f>
        <v/>
      </c>
      <c r="K538">
        <f>IF('Raw Orders'!J538,"Cancelled",IF('Raw Orders'!K538&gt;=2,"Slipped","On plan"))</f>
        <v/>
      </c>
      <c r="L538" s="14">
        <f>IF(K538="On plan",0,F538)</f>
        <v/>
      </c>
    </row>
    <row r="539">
      <c r="A539">
        <f>'Raw Orders'!A539</f>
        <v/>
      </c>
      <c r="B539">
        <f>'Raw Orders'!B539</f>
        <v/>
      </c>
      <c r="C539">
        <f>'Raw Orders'!C539</f>
        <v/>
      </c>
      <c r="D539" s="13">
        <f>'Raw Orders'!E539</f>
        <v/>
      </c>
      <c r="E539" s="14">
        <f>'Raw Orders'!F539</f>
        <v/>
      </c>
      <c r="F539" s="14">
        <f>'Raw Orders'!F539*0.5</f>
        <v/>
      </c>
      <c r="G539" s="12">
        <f>'Raw Orders'!H539</f>
        <v/>
      </c>
      <c r="H539" s="12">
        <f>'Raw Orders'!I539</f>
        <v/>
      </c>
      <c r="I539" s="13">
        <f>'Raw Orders'!K539</f>
        <v/>
      </c>
      <c r="J539" s="13">
        <f>IF('Raw Orders'!J539,"",(YEAR('Raw Orders'!I539)-YEAR('Raw Orders'!H539))*12+MONTH('Raw Orders'!I539)-MONTH('Raw Orders'!H539))</f>
        <v/>
      </c>
      <c r="K539">
        <f>IF('Raw Orders'!J539,"Cancelled",IF('Raw Orders'!K539&gt;=2,"Slipped","On plan"))</f>
        <v/>
      </c>
      <c r="L539" s="14">
        <f>IF(K539="On plan",0,F539)</f>
        <v/>
      </c>
    </row>
    <row r="540">
      <c r="A540">
        <f>'Raw Orders'!A540</f>
        <v/>
      </c>
      <c r="B540">
        <f>'Raw Orders'!B540</f>
        <v/>
      </c>
      <c r="C540">
        <f>'Raw Orders'!C540</f>
        <v/>
      </c>
      <c r="D540" s="13">
        <f>'Raw Orders'!E540</f>
        <v/>
      </c>
      <c r="E540" s="14">
        <f>'Raw Orders'!F540</f>
        <v/>
      </c>
      <c r="F540" s="14">
        <f>'Raw Orders'!F540*0.5</f>
        <v/>
      </c>
      <c r="G540" s="12">
        <f>'Raw Orders'!H540</f>
        <v/>
      </c>
      <c r="H540" s="12">
        <f>'Raw Orders'!I540</f>
        <v/>
      </c>
      <c r="I540" s="13">
        <f>'Raw Orders'!K540</f>
        <v/>
      </c>
      <c r="J540" s="13">
        <f>IF('Raw Orders'!J540,"",(YEAR('Raw Orders'!I540)-YEAR('Raw Orders'!H540))*12+MONTH('Raw Orders'!I540)-MONTH('Raw Orders'!H540))</f>
        <v/>
      </c>
      <c r="K540">
        <f>IF('Raw Orders'!J540,"Cancelled",IF('Raw Orders'!K540&gt;=2,"Slipped","On plan"))</f>
        <v/>
      </c>
      <c r="L540" s="14">
        <f>IF(K540="On plan",0,F540)</f>
        <v/>
      </c>
    </row>
    <row r="541">
      <c r="A541">
        <f>'Raw Orders'!A541</f>
        <v/>
      </c>
      <c r="B541">
        <f>'Raw Orders'!B541</f>
        <v/>
      </c>
      <c r="C541">
        <f>'Raw Orders'!C541</f>
        <v/>
      </c>
      <c r="D541" s="13">
        <f>'Raw Orders'!E541</f>
        <v/>
      </c>
      <c r="E541" s="14">
        <f>'Raw Orders'!F541</f>
        <v/>
      </c>
      <c r="F541" s="14">
        <f>'Raw Orders'!F541*0.5</f>
        <v/>
      </c>
      <c r="G541" s="12">
        <f>'Raw Orders'!H541</f>
        <v/>
      </c>
      <c r="H541" s="12">
        <f>'Raw Orders'!I541</f>
        <v/>
      </c>
      <c r="I541" s="13">
        <f>'Raw Orders'!K541</f>
        <v/>
      </c>
      <c r="J541" s="13">
        <f>IF('Raw Orders'!J541,"",(YEAR('Raw Orders'!I541)-YEAR('Raw Orders'!H541))*12+MONTH('Raw Orders'!I541)-MONTH('Raw Orders'!H541))</f>
        <v/>
      </c>
      <c r="K541">
        <f>IF('Raw Orders'!J541,"Cancelled",IF('Raw Orders'!K541&gt;=2,"Slipped","On plan"))</f>
        <v/>
      </c>
      <c r="L541" s="14">
        <f>IF(K541="On plan",0,F541)</f>
        <v/>
      </c>
    </row>
    <row r="542">
      <c r="A542">
        <f>'Raw Orders'!A542</f>
        <v/>
      </c>
      <c r="B542">
        <f>'Raw Orders'!B542</f>
        <v/>
      </c>
      <c r="C542">
        <f>'Raw Orders'!C542</f>
        <v/>
      </c>
      <c r="D542" s="13">
        <f>'Raw Orders'!E542</f>
        <v/>
      </c>
      <c r="E542" s="14">
        <f>'Raw Orders'!F542</f>
        <v/>
      </c>
      <c r="F542" s="14">
        <f>'Raw Orders'!F542*0.5</f>
        <v/>
      </c>
      <c r="G542" s="12">
        <f>'Raw Orders'!H542</f>
        <v/>
      </c>
      <c r="H542" s="12">
        <f>'Raw Orders'!I542</f>
        <v/>
      </c>
      <c r="I542" s="13">
        <f>'Raw Orders'!K542</f>
        <v/>
      </c>
      <c r="J542" s="13">
        <f>IF('Raw Orders'!J542,"",(YEAR('Raw Orders'!I542)-YEAR('Raw Orders'!H542))*12+MONTH('Raw Orders'!I542)-MONTH('Raw Orders'!H542))</f>
        <v/>
      </c>
      <c r="K542">
        <f>IF('Raw Orders'!J542,"Cancelled",IF('Raw Orders'!K542&gt;=2,"Slipped","On plan"))</f>
        <v/>
      </c>
      <c r="L542" s="14">
        <f>IF(K542="On plan",0,F542)</f>
        <v/>
      </c>
    </row>
    <row r="543">
      <c r="A543">
        <f>'Raw Orders'!A543</f>
        <v/>
      </c>
      <c r="B543">
        <f>'Raw Orders'!B543</f>
        <v/>
      </c>
      <c r="C543">
        <f>'Raw Orders'!C543</f>
        <v/>
      </c>
      <c r="D543" s="13">
        <f>'Raw Orders'!E543</f>
        <v/>
      </c>
      <c r="E543" s="14">
        <f>'Raw Orders'!F543</f>
        <v/>
      </c>
      <c r="F543" s="14">
        <f>'Raw Orders'!F543*0.5</f>
        <v/>
      </c>
      <c r="G543" s="12">
        <f>'Raw Orders'!H543</f>
        <v/>
      </c>
      <c r="H543" s="12">
        <f>'Raw Orders'!I543</f>
        <v/>
      </c>
      <c r="I543" s="13">
        <f>'Raw Orders'!K543</f>
        <v/>
      </c>
      <c r="J543" s="13">
        <f>IF('Raw Orders'!J543,"",(YEAR('Raw Orders'!I543)-YEAR('Raw Orders'!H543))*12+MONTH('Raw Orders'!I543)-MONTH('Raw Orders'!H543))</f>
        <v/>
      </c>
      <c r="K543">
        <f>IF('Raw Orders'!J543,"Cancelled",IF('Raw Orders'!K543&gt;=2,"Slipped","On plan"))</f>
        <v/>
      </c>
      <c r="L543" s="14">
        <f>IF(K543="On plan",0,F543)</f>
        <v/>
      </c>
    </row>
    <row r="544">
      <c r="A544">
        <f>'Raw Orders'!A544</f>
        <v/>
      </c>
      <c r="B544">
        <f>'Raw Orders'!B544</f>
        <v/>
      </c>
      <c r="C544">
        <f>'Raw Orders'!C544</f>
        <v/>
      </c>
      <c r="D544" s="13">
        <f>'Raw Orders'!E544</f>
        <v/>
      </c>
      <c r="E544" s="14">
        <f>'Raw Orders'!F544</f>
        <v/>
      </c>
      <c r="F544" s="14">
        <f>'Raw Orders'!F544*0.5</f>
        <v/>
      </c>
      <c r="G544" s="12">
        <f>'Raw Orders'!H544</f>
        <v/>
      </c>
      <c r="H544" s="12">
        <f>'Raw Orders'!I544</f>
        <v/>
      </c>
      <c r="I544" s="13">
        <f>'Raw Orders'!K544</f>
        <v/>
      </c>
      <c r="J544" s="13">
        <f>IF('Raw Orders'!J544,"",(YEAR('Raw Orders'!I544)-YEAR('Raw Orders'!H544))*12+MONTH('Raw Orders'!I544)-MONTH('Raw Orders'!H544))</f>
        <v/>
      </c>
      <c r="K544">
        <f>IF('Raw Orders'!J544,"Cancelled",IF('Raw Orders'!K544&gt;=2,"Slipped","On plan"))</f>
        <v/>
      </c>
      <c r="L544" s="14">
        <f>IF(K544="On plan",0,F544)</f>
        <v/>
      </c>
    </row>
    <row r="545">
      <c r="A545">
        <f>'Raw Orders'!A545</f>
        <v/>
      </c>
      <c r="B545">
        <f>'Raw Orders'!B545</f>
        <v/>
      </c>
      <c r="C545">
        <f>'Raw Orders'!C545</f>
        <v/>
      </c>
      <c r="D545" s="13">
        <f>'Raw Orders'!E545</f>
        <v/>
      </c>
      <c r="E545" s="14">
        <f>'Raw Orders'!F545</f>
        <v/>
      </c>
      <c r="F545" s="14">
        <f>'Raw Orders'!F545*0.5</f>
        <v/>
      </c>
      <c r="G545" s="12">
        <f>'Raw Orders'!H545</f>
        <v/>
      </c>
      <c r="H545" s="12">
        <f>'Raw Orders'!I545</f>
        <v/>
      </c>
      <c r="I545" s="13">
        <f>'Raw Orders'!K545</f>
        <v/>
      </c>
      <c r="J545" s="13">
        <f>IF('Raw Orders'!J545,"",(YEAR('Raw Orders'!I545)-YEAR('Raw Orders'!H545))*12+MONTH('Raw Orders'!I545)-MONTH('Raw Orders'!H545))</f>
        <v/>
      </c>
      <c r="K545">
        <f>IF('Raw Orders'!J545,"Cancelled",IF('Raw Orders'!K545&gt;=2,"Slipped","On plan"))</f>
        <v/>
      </c>
      <c r="L545" s="14">
        <f>IF(K545="On plan",0,F545)</f>
        <v/>
      </c>
    </row>
    <row r="546">
      <c r="A546">
        <f>'Raw Orders'!A546</f>
        <v/>
      </c>
      <c r="B546">
        <f>'Raw Orders'!B546</f>
        <v/>
      </c>
      <c r="C546">
        <f>'Raw Orders'!C546</f>
        <v/>
      </c>
      <c r="D546" s="13">
        <f>'Raw Orders'!E546</f>
        <v/>
      </c>
      <c r="E546" s="14">
        <f>'Raw Orders'!F546</f>
        <v/>
      </c>
      <c r="F546" s="14">
        <f>'Raw Orders'!F546*0.5</f>
        <v/>
      </c>
      <c r="G546" s="12">
        <f>'Raw Orders'!H546</f>
        <v/>
      </c>
      <c r="H546" s="12">
        <f>'Raw Orders'!I546</f>
        <v/>
      </c>
      <c r="I546" s="13">
        <f>'Raw Orders'!K546</f>
        <v/>
      </c>
      <c r="J546" s="13">
        <f>IF('Raw Orders'!J546,"",(YEAR('Raw Orders'!I546)-YEAR('Raw Orders'!H546))*12+MONTH('Raw Orders'!I546)-MONTH('Raw Orders'!H546))</f>
        <v/>
      </c>
      <c r="K546">
        <f>IF('Raw Orders'!J546,"Cancelled",IF('Raw Orders'!K546&gt;=2,"Slipped","On plan"))</f>
        <v/>
      </c>
      <c r="L546" s="14">
        <f>IF(K546="On plan",0,F546)</f>
        <v/>
      </c>
    </row>
    <row r="547">
      <c r="A547">
        <f>'Raw Orders'!A547</f>
        <v/>
      </c>
      <c r="B547">
        <f>'Raw Orders'!B547</f>
        <v/>
      </c>
      <c r="C547">
        <f>'Raw Orders'!C547</f>
        <v/>
      </c>
      <c r="D547" s="13">
        <f>'Raw Orders'!E547</f>
        <v/>
      </c>
      <c r="E547" s="14">
        <f>'Raw Orders'!F547</f>
        <v/>
      </c>
      <c r="F547" s="14">
        <f>'Raw Orders'!F547*0.5</f>
        <v/>
      </c>
      <c r="G547" s="12">
        <f>'Raw Orders'!H547</f>
        <v/>
      </c>
      <c r="H547" s="12">
        <f>'Raw Orders'!I547</f>
        <v/>
      </c>
      <c r="I547" s="13">
        <f>'Raw Orders'!K547</f>
        <v/>
      </c>
      <c r="J547" s="13">
        <f>IF('Raw Orders'!J547,"",(YEAR('Raw Orders'!I547)-YEAR('Raw Orders'!H547))*12+MONTH('Raw Orders'!I547)-MONTH('Raw Orders'!H547))</f>
        <v/>
      </c>
      <c r="K547">
        <f>IF('Raw Orders'!J547,"Cancelled",IF('Raw Orders'!K547&gt;=2,"Slipped","On plan"))</f>
        <v/>
      </c>
      <c r="L547" s="14">
        <f>IF(K547="On plan",0,F547)</f>
        <v/>
      </c>
    </row>
    <row r="548">
      <c r="A548">
        <f>'Raw Orders'!A548</f>
        <v/>
      </c>
      <c r="B548">
        <f>'Raw Orders'!B548</f>
        <v/>
      </c>
      <c r="C548">
        <f>'Raw Orders'!C548</f>
        <v/>
      </c>
      <c r="D548" s="13">
        <f>'Raw Orders'!E548</f>
        <v/>
      </c>
      <c r="E548" s="14">
        <f>'Raw Orders'!F548</f>
        <v/>
      </c>
      <c r="F548" s="14">
        <f>'Raw Orders'!F548*0.5</f>
        <v/>
      </c>
      <c r="G548" s="12">
        <f>'Raw Orders'!H548</f>
        <v/>
      </c>
      <c r="H548" s="12">
        <f>'Raw Orders'!I548</f>
        <v/>
      </c>
      <c r="I548" s="13">
        <f>'Raw Orders'!K548</f>
        <v/>
      </c>
      <c r="J548" s="13">
        <f>IF('Raw Orders'!J548,"",(YEAR('Raw Orders'!I548)-YEAR('Raw Orders'!H548))*12+MONTH('Raw Orders'!I548)-MONTH('Raw Orders'!H548))</f>
        <v/>
      </c>
      <c r="K548">
        <f>IF('Raw Orders'!J548,"Cancelled",IF('Raw Orders'!K548&gt;=2,"Slipped","On plan"))</f>
        <v/>
      </c>
      <c r="L548" s="14">
        <f>IF(K548="On plan",0,F548)</f>
        <v/>
      </c>
    </row>
    <row r="549">
      <c r="A549">
        <f>'Raw Orders'!A549</f>
        <v/>
      </c>
      <c r="B549">
        <f>'Raw Orders'!B549</f>
        <v/>
      </c>
      <c r="C549">
        <f>'Raw Orders'!C549</f>
        <v/>
      </c>
      <c r="D549" s="13">
        <f>'Raw Orders'!E549</f>
        <v/>
      </c>
      <c r="E549" s="14">
        <f>'Raw Orders'!F549</f>
        <v/>
      </c>
      <c r="F549" s="14">
        <f>'Raw Orders'!F549*0.5</f>
        <v/>
      </c>
      <c r="G549" s="12">
        <f>'Raw Orders'!H549</f>
        <v/>
      </c>
      <c r="H549" s="12">
        <f>'Raw Orders'!I549</f>
        <v/>
      </c>
      <c r="I549" s="13">
        <f>'Raw Orders'!K549</f>
        <v/>
      </c>
      <c r="J549" s="13">
        <f>IF('Raw Orders'!J549,"",(YEAR('Raw Orders'!I549)-YEAR('Raw Orders'!H549))*12+MONTH('Raw Orders'!I549)-MONTH('Raw Orders'!H549))</f>
        <v/>
      </c>
      <c r="K549">
        <f>IF('Raw Orders'!J549,"Cancelled",IF('Raw Orders'!K549&gt;=2,"Slipped","On plan"))</f>
        <v/>
      </c>
      <c r="L549" s="14">
        <f>IF(K549="On plan",0,F549)</f>
        <v/>
      </c>
    </row>
    <row r="550">
      <c r="A550">
        <f>'Raw Orders'!A550</f>
        <v/>
      </c>
      <c r="B550">
        <f>'Raw Orders'!B550</f>
        <v/>
      </c>
      <c r="C550">
        <f>'Raw Orders'!C550</f>
        <v/>
      </c>
      <c r="D550" s="13">
        <f>'Raw Orders'!E550</f>
        <v/>
      </c>
      <c r="E550" s="14">
        <f>'Raw Orders'!F550</f>
        <v/>
      </c>
      <c r="F550" s="14">
        <f>'Raw Orders'!F550*0.5</f>
        <v/>
      </c>
      <c r="G550" s="12">
        <f>'Raw Orders'!H550</f>
        <v/>
      </c>
      <c r="H550" s="12">
        <f>'Raw Orders'!I550</f>
        <v/>
      </c>
      <c r="I550" s="13">
        <f>'Raw Orders'!K550</f>
        <v/>
      </c>
      <c r="J550" s="13">
        <f>IF('Raw Orders'!J550,"",(YEAR('Raw Orders'!I550)-YEAR('Raw Orders'!H550))*12+MONTH('Raw Orders'!I550)-MONTH('Raw Orders'!H550))</f>
        <v/>
      </c>
      <c r="K550">
        <f>IF('Raw Orders'!J550,"Cancelled",IF('Raw Orders'!K550&gt;=2,"Slipped","On plan"))</f>
        <v/>
      </c>
      <c r="L550" s="14">
        <f>IF(K550="On plan",0,F550)</f>
        <v/>
      </c>
    </row>
    <row r="551">
      <c r="A551">
        <f>'Raw Orders'!A551</f>
        <v/>
      </c>
      <c r="B551">
        <f>'Raw Orders'!B551</f>
        <v/>
      </c>
      <c r="C551">
        <f>'Raw Orders'!C551</f>
        <v/>
      </c>
      <c r="D551" s="13">
        <f>'Raw Orders'!E551</f>
        <v/>
      </c>
      <c r="E551" s="14">
        <f>'Raw Orders'!F551</f>
        <v/>
      </c>
      <c r="F551" s="14">
        <f>'Raw Orders'!F551*0.5</f>
        <v/>
      </c>
      <c r="G551" s="12">
        <f>'Raw Orders'!H551</f>
        <v/>
      </c>
      <c r="H551" s="12">
        <f>'Raw Orders'!I551</f>
        <v/>
      </c>
      <c r="I551" s="13">
        <f>'Raw Orders'!K551</f>
        <v/>
      </c>
      <c r="J551" s="13">
        <f>IF('Raw Orders'!J551,"",(YEAR('Raw Orders'!I551)-YEAR('Raw Orders'!H551))*12+MONTH('Raw Orders'!I551)-MONTH('Raw Orders'!H551))</f>
        <v/>
      </c>
      <c r="K551">
        <f>IF('Raw Orders'!J551,"Cancelled",IF('Raw Orders'!K551&gt;=2,"Slipped","On plan"))</f>
        <v/>
      </c>
      <c r="L551" s="14">
        <f>IF(K551="On plan",0,F551)</f>
        <v/>
      </c>
    </row>
    <row r="552">
      <c r="A552">
        <f>'Raw Orders'!A552</f>
        <v/>
      </c>
      <c r="B552">
        <f>'Raw Orders'!B552</f>
        <v/>
      </c>
      <c r="C552">
        <f>'Raw Orders'!C552</f>
        <v/>
      </c>
      <c r="D552" s="13">
        <f>'Raw Orders'!E552</f>
        <v/>
      </c>
      <c r="E552" s="14">
        <f>'Raw Orders'!F552</f>
        <v/>
      </c>
      <c r="F552" s="14">
        <f>'Raw Orders'!F552*0.5</f>
        <v/>
      </c>
      <c r="G552" s="12">
        <f>'Raw Orders'!H552</f>
        <v/>
      </c>
      <c r="H552" s="12">
        <f>'Raw Orders'!I552</f>
        <v/>
      </c>
      <c r="I552" s="13">
        <f>'Raw Orders'!K552</f>
        <v/>
      </c>
      <c r="J552" s="13">
        <f>IF('Raw Orders'!J552,"",(YEAR('Raw Orders'!I552)-YEAR('Raw Orders'!H552))*12+MONTH('Raw Orders'!I552)-MONTH('Raw Orders'!H552))</f>
        <v/>
      </c>
      <c r="K552">
        <f>IF('Raw Orders'!J552,"Cancelled",IF('Raw Orders'!K552&gt;=2,"Slipped","On plan"))</f>
        <v/>
      </c>
      <c r="L552" s="14">
        <f>IF(K552="On plan",0,F552)</f>
        <v/>
      </c>
    </row>
    <row r="553">
      <c r="A553">
        <f>'Raw Orders'!A553</f>
        <v/>
      </c>
      <c r="B553">
        <f>'Raw Orders'!B553</f>
        <v/>
      </c>
      <c r="C553">
        <f>'Raw Orders'!C553</f>
        <v/>
      </c>
      <c r="D553" s="13">
        <f>'Raw Orders'!E553</f>
        <v/>
      </c>
      <c r="E553" s="14">
        <f>'Raw Orders'!F553</f>
        <v/>
      </c>
      <c r="F553" s="14">
        <f>'Raw Orders'!F553*0.5</f>
        <v/>
      </c>
      <c r="G553" s="12">
        <f>'Raw Orders'!H553</f>
        <v/>
      </c>
      <c r="H553" s="12">
        <f>'Raw Orders'!I553</f>
        <v/>
      </c>
      <c r="I553" s="13">
        <f>'Raw Orders'!K553</f>
        <v/>
      </c>
      <c r="J553" s="13">
        <f>IF('Raw Orders'!J553,"",(YEAR('Raw Orders'!I553)-YEAR('Raw Orders'!H553))*12+MONTH('Raw Orders'!I553)-MONTH('Raw Orders'!H553))</f>
        <v/>
      </c>
      <c r="K553">
        <f>IF('Raw Orders'!J553,"Cancelled",IF('Raw Orders'!K553&gt;=2,"Slipped","On plan"))</f>
        <v/>
      </c>
      <c r="L553" s="14">
        <f>IF(K553="On plan",0,F553)</f>
        <v/>
      </c>
    </row>
    <row r="554">
      <c r="A554">
        <f>'Raw Orders'!A554</f>
        <v/>
      </c>
      <c r="B554">
        <f>'Raw Orders'!B554</f>
        <v/>
      </c>
      <c r="C554">
        <f>'Raw Orders'!C554</f>
        <v/>
      </c>
      <c r="D554" s="13">
        <f>'Raw Orders'!E554</f>
        <v/>
      </c>
      <c r="E554" s="14">
        <f>'Raw Orders'!F554</f>
        <v/>
      </c>
      <c r="F554" s="14">
        <f>'Raw Orders'!F554*0.5</f>
        <v/>
      </c>
      <c r="G554" s="12">
        <f>'Raw Orders'!H554</f>
        <v/>
      </c>
      <c r="H554" s="12">
        <f>'Raw Orders'!I554</f>
        <v/>
      </c>
      <c r="I554" s="13">
        <f>'Raw Orders'!K554</f>
        <v/>
      </c>
      <c r="J554" s="13">
        <f>IF('Raw Orders'!J554,"",(YEAR('Raw Orders'!I554)-YEAR('Raw Orders'!H554))*12+MONTH('Raw Orders'!I554)-MONTH('Raw Orders'!H554))</f>
        <v/>
      </c>
      <c r="K554">
        <f>IF('Raw Orders'!J554,"Cancelled",IF('Raw Orders'!K554&gt;=2,"Slipped","On plan"))</f>
        <v/>
      </c>
      <c r="L554" s="14">
        <f>IF(K554="On plan",0,F554)</f>
        <v/>
      </c>
    </row>
    <row r="555">
      <c r="A555">
        <f>'Raw Orders'!A555</f>
        <v/>
      </c>
      <c r="B555">
        <f>'Raw Orders'!B555</f>
        <v/>
      </c>
      <c r="C555">
        <f>'Raw Orders'!C555</f>
        <v/>
      </c>
      <c r="D555" s="13">
        <f>'Raw Orders'!E555</f>
        <v/>
      </c>
      <c r="E555" s="14">
        <f>'Raw Orders'!F555</f>
        <v/>
      </c>
      <c r="F555" s="14">
        <f>'Raw Orders'!F555*0.5</f>
        <v/>
      </c>
      <c r="G555" s="12">
        <f>'Raw Orders'!H555</f>
        <v/>
      </c>
      <c r="H555" s="12">
        <f>'Raw Orders'!I555</f>
        <v/>
      </c>
      <c r="I555" s="13">
        <f>'Raw Orders'!K555</f>
        <v/>
      </c>
      <c r="J555" s="13">
        <f>IF('Raw Orders'!J555,"",(YEAR('Raw Orders'!I555)-YEAR('Raw Orders'!H555))*12+MONTH('Raw Orders'!I555)-MONTH('Raw Orders'!H555))</f>
        <v/>
      </c>
      <c r="K555">
        <f>IF('Raw Orders'!J555,"Cancelled",IF('Raw Orders'!K555&gt;=2,"Slipped","On plan"))</f>
        <v/>
      </c>
      <c r="L555" s="14">
        <f>IF(K555="On plan",0,F555)</f>
        <v/>
      </c>
    </row>
    <row r="556">
      <c r="A556">
        <f>'Raw Orders'!A556</f>
        <v/>
      </c>
      <c r="B556">
        <f>'Raw Orders'!B556</f>
        <v/>
      </c>
      <c r="C556">
        <f>'Raw Orders'!C556</f>
        <v/>
      </c>
      <c r="D556" s="13">
        <f>'Raw Orders'!E556</f>
        <v/>
      </c>
      <c r="E556" s="14">
        <f>'Raw Orders'!F556</f>
        <v/>
      </c>
      <c r="F556" s="14">
        <f>'Raw Orders'!F556*0.5</f>
        <v/>
      </c>
      <c r="G556" s="12">
        <f>'Raw Orders'!H556</f>
        <v/>
      </c>
      <c r="H556" s="12">
        <f>'Raw Orders'!I556</f>
        <v/>
      </c>
      <c r="I556" s="13">
        <f>'Raw Orders'!K556</f>
        <v/>
      </c>
      <c r="J556" s="13">
        <f>IF('Raw Orders'!J556,"",(YEAR('Raw Orders'!I556)-YEAR('Raw Orders'!H556))*12+MONTH('Raw Orders'!I556)-MONTH('Raw Orders'!H556))</f>
        <v/>
      </c>
      <c r="K556">
        <f>IF('Raw Orders'!J556,"Cancelled",IF('Raw Orders'!K556&gt;=2,"Slipped","On plan"))</f>
        <v/>
      </c>
      <c r="L556" s="14">
        <f>IF(K556="On plan",0,F556)</f>
        <v/>
      </c>
    </row>
    <row r="557">
      <c r="A557">
        <f>'Raw Orders'!A557</f>
        <v/>
      </c>
      <c r="B557">
        <f>'Raw Orders'!B557</f>
        <v/>
      </c>
      <c r="C557">
        <f>'Raw Orders'!C557</f>
        <v/>
      </c>
      <c r="D557" s="13">
        <f>'Raw Orders'!E557</f>
        <v/>
      </c>
      <c r="E557" s="14">
        <f>'Raw Orders'!F557</f>
        <v/>
      </c>
      <c r="F557" s="14">
        <f>'Raw Orders'!F557*0.5</f>
        <v/>
      </c>
      <c r="G557" s="12">
        <f>'Raw Orders'!H557</f>
        <v/>
      </c>
      <c r="H557" s="12">
        <f>'Raw Orders'!I557</f>
        <v/>
      </c>
      <c r="I557" s="13">
        <f>'Raw Orders'!K557</f>
        <v/>
      </c>
      <c r="J557" s="13">
        <f>IF('Raw Orders'!J557,"",(YEAR('Raw Orders'!I557)-YEAR('Raw Orders'!H557))*12+MONTH('Raw Orders'!I557)-MONTH('Raw Orders'!H557))</f>
        <v/>
      </c>
      <c r="K557">
        <f>IF('Raw Orders'!J557,"Cancelled",IF('Raw Orders'!K557&gt;=2,"Slipped","On plan"))</f>
        <v/>
      </c>
      <c r="L557" s="14">
        <f>IF(K557="On plan",0,F557)</f>
        <v/>
      </c>
    </row>
    <row r="558">
      <c r="A558">
        <f>'Raw Orders'!A558</f>
        <v/>
      </c>
      <c r="B558">
        <f>'Raw Orders'!B558</f>
        <v/>
      </c>
      <c r="C558">
        <f>'Raw Orders'!C558</f>
        <v/>
      </c>
      <c r="D558" s="13">
        <f>'Raw Orders'!E558</f>
        <v/>
      </c>
      <c r="E558" s="14">
        <f>'Raw Orders'!F558</f>
        <v/>
      </c>
      <c r="F558" s="14">
        <f>'Raw Orders'!F558*0.5</f>
        <v/>
      </c>
      <c r="G558" s="12">
        <f>'Raw Orders'!H558</f>
        <v/>
      </c>
      <c r="H558" s="12">
        <f>'Raw Orders'!I558</f>
        <v/>
      </c>
      <c r="I558" s="13">
        <f>'Raw Orders'!K558</f>
        <v/>
      </c>
      <c r="J558" s="13">
        <f>IF('Raw Orders'!J558,"",(YEAR('Raw Orders'!I558)-YEAR('Raw Orders'!H558))*12+MONTH('Raw Orders'!I558)-MONTH('Raw Orders'!H558))</f>
        <v/>
      </c>
      <c r="K558">
        <f>IF('Raw Orders'!J558,"Cancelled",IF('Raw Orders'!K558&gt;=2,"Slipped","On plan"))</f>
        <v/>
      </c>
      <c r="L558" s="14">
        <f>IF(K558="On plan",0,F558)</f>
        <v/>
      </c>
    </row>
    <row r="559">
      <c r="A559">
        <f>'Raw Orders'!A559</f>
        <v/>
      </c>
      <c r="B559">
        <f>'Raw Orders'!B559</f>
        <v/>
      </c>
      <c r="C559">
        <f>'Raw Orders'!C559</f>
        <v/>
      </c>
      <c r="D559" s="13">
        <f>'Raw Orders'!E559</f>
        <v/>
      </c>
      <c r="E559" s="14">
        <f>'Raw Orders'!F559</f>
        <v/>
      </c>
      <c r="F559" s="14">
        <f>'Raw Orders'!F559*0.5</f>
        <v/>
      </c>
      <c r="G559" s="12">
        <f>'Raw Orders'!H559</f>
        <v/>
      </c>
      <c r="H559" s="12">
        <f>'Raw Orders'!I559</f>
        <v/>
      </c>
      <c r="I559" s="13">
        <f>'Raw Orders'!K559</f>
        <v/>
      </c>
      <c r="J559" s="13">
        <f>IF('Raw Orders'!J559,"",(YEAR('Raw Orders'!I559)-YEAR('Raw Orders'!H559))*12+MONTH('Raw Orders'!I559)-MONTH('Raw Orders'!H559))</f>
        <v/>
      </c>
      <c r="K559">
        <f>IF('Raw Orders'!J559,"Cancelled",IF('Raw Orders'!K559&gt;=2,"Slipped","On plan"))</f>
        <v/>
      </c>
      <c r="L559" s="14">
        <f>IF(K559="On plan",0,F559)</f>
        <v/>
      </c>
    </row>
    <row r="560">
      <c r="A560">
        <f>'Raw Orders'!A560</f>
        <v/>
      </c>
      <c r="B560">
        <f>'Raw Orders'!B560</f>
        <v/>
      </c>
      <c r="C560">
        <f>'Raw Orders'!C560</f>
        <v/>
      </c>
      <c r="D560" s="13">
        <f>'Raw Orders'!E560</f>
        <v/>
      </c>
      <c r="E560" s="14">
        <f>'Raw Orders'!F560</f>
        <v/>
      </c>
      <c r="F560" s="14">
        <f>'Raw Orders'!F560*0.5</f>
        <v/>
      </c>
      <c r="G560" s="12">
        <f>'Raw Orders'!H560</f>
        <v/>
      </c>
      <c r="H560" s="12">
        <f>'Raw Orders'!I560</f>
        <v/>
      </c>
      <c r="I560" s="13">
        <f>'Raw Orders'!K560</f>
        <v/>
      </c>
      <c r="J560" s="13">
        <f>IF('Raw Orders'!J560,"",(YEAR('Raw Orders'!I560)-YEAR('Raw Orders'!H560))*12+MONTH('Raw Orders'!I560)-MONTH('Raw Orders'!H560))</f>
        <v/>
      </c>
      <c r="K560">
        <f>IF('Raw Orders'!J560,"Cancelled",IF('Raw Orders'!K560&gt;=2,"Slipped","On plan"))</f>
        <v/>
      </c>
      <c r="L560" s="14">
        <f>IF(K560="On plan",0,F560)</f>
        <v/>
      </c>
    </row>
    <row r="561">
      <c r="A561">
        <f>'Raw Orders'!A561</f>
        <v/>
      </c>
      <c r="B561">
        <f>'Raw Orders'!B561</f>
        <v/>
      </c>
      <c r="C561">
        <f>'Raw Orders'!C561</f>
        <v/>
      </c>
      <c r="D561" s="13">
        <f>'Raw Orders'!E561</f>
        <v/>
      </c>
      <c r="E561" s="14">
        <f>'Raw Orders'!F561</f>
        <v/>
      </c>
      <c r="F561" s="14">
        <f>'Raw Orders'!F561*0.5</f>
        <v/>
      </c>
      <c r="G561" s="12">
        <f>'Raw Orders'!H561</f>
        <v/>
      </c>
      <c r="H561" s="12">
        <f>'Raw Orders'!I561</f>
        <v/>
      </c>
      <c r="I561" s="13">
        <f>'Raw Orders'!K561</f>
        <v/>
      </c>
      <c r="J561" s="13">
        <f>IF('Raw Orders'!J561,"",(YEAR('Raw Orders'!I561)-YEAR('Raw Orders'!H561))*12+MONTH('Raw Orders'!I561)-MONTH('Raw Orders'!H561))</f>
        <v/>
      </c>
      <c r="K561">
        <f>IF('Raw Orders'!J561,"Cancelled",IF('Raw Orders'!K561&gt;=2,"Slipped","On plan"))</f>
        <v/>
      </c>
      <c r="L561" s="14">
        <f>IF(K561="On plan",0,F561)</f>
        <v/>
      </c>
    </row>
    <row r="562">
      <c r="A562">
        <f>'Raw Orders'!A562</f>
        <v/>
      </c>
      <c r="B562">
        <f>'Raw Orders'!B562</f>
        <v/>
      </c>
      <c r="C562">
        <f>'Raw Orders'!C562</f>
        <v/>
      </c>
      <c r="D562" s="13">
        <f>'Raw Orders'!E562</f>
        <v/>
      </c>
      <c r="E562" s="14">
        <f>'Raw Orders'!F562</f>
        <v/>
      </c>
      <c r="F562" s="14">
        <f>'Raw Orders'!F562*0.5</f>
        <v/>
      </c>
      <c r="G562" s="12">
        <f>'Raw Orders'!H562</f>
        <v/>
      </c>
      <c r="H562" s="12">
        <f>'Raw Orders'!I562</f>
        <v/>
      </c>
      <c r="I562" s="13">
        <f>'Raw Orders'!K562</f>
        <v/>
      </c>
      <c r="J562" s="13">
        <f>IF('Raw Orders'!J562,"",(YEAR('Raw Orders'!I562)-YEAR('Raw Orders'!H562))*12+MONTH('Raw Orders'!I562)-MONTH('Raw Orders'!H562))</f>
        <v/>
      </c>
      <c r="K562">
        <f>IF('Raw Orders'!J562,"Cancelled",IF('Raw Orders'!K562&gt;=2,"Slipped","On plan"))</f>
        <v/>
      </c>
      <c r="L562" s="14">
        <f>IF(K562="On plan",0,F562)</f>
        <v/>
      </c>
    </row>
    <row r="563">
      <c r="A563">
        <f>'Raw Orders'!A563</f>
        <v/>
      </c>
      <c r="B563">
        <f>'Raw Orders'!B563</f>
        <v/>
      </c>
      <c r="C563">
        <f>'Raw Orders'!C563</f>
        <v/>
      </c>
      <c r="D563" s="13">
        <f>'Raw Orders'!E563</f>
        <v/>
      </c>
      <c r="E563" s="14">
        <f>'Raw Orders'!F563</f>
        <v/>
      </c>
      <c r="F563" s="14">
        <f>'Raw Orders'!F563*0.5</f>
        <v/>
      </c>
      <c r="G563" s="12">
        <f>'Raw Orders'!H563</f>
        <v/>
      </c>
      <c r="H563" s="12">
        <f>'Raw Orders'!I563</f>
        <v/>
      </c>
      <c r="I563" s="13">
        <f>'Raw Orders'!K563</f>
        <v/>
      </c>
      <c r="J563" s="13">
        <f>IF('Raw Orders'!J563,"",(YEAR('Raw Orders'!I563)-YEAR('Raw Orders'!H563))*12+MONTH('Raw Orders'!I563)-MONTH('Raw Orders'!H563))</f>
        <v/>
      </c>
      <c r="K563">
        <f>IF('Raw Orders'!J563,"Cancelled",IF('Raw Orders'!K563&gt;=2,"Slipped","On plan"))</f>
        <v/>
      </c>
      <c r="L563" s="14">
        <f>IF(K563="On plan",0,F563)</f>
        <v/>
      </c>
    </row>
    <row r="564">
      <c r="A564">
        <f>'Raw Orders'!A564</f>
        <v/>
      </c>
      <c r="B564">
        <f>'Raw Orders'!B564</f>
        <v/>
      </c>
      <c r="C564">
        <f>'Raw Orders'!C564</f>
        <v/>
      </c>
      <c r="D564" s="13">
        <f>'Raw Orders'!E564</f>
        <v/>
      </c>
      <c r="E564" s="14">
        <f>'Raw Orders'!F564</f>
        <v/>
      </c>
      <c r="F564" s="14">
        <f>'Raw Orders'!F564*0.5</f>
        <v/>
      </c>
      <c r="G564" s="12">
        <f>'Raw Orders'!H564</f>
        <v/>
      </c>
      <c r="H564" s="12">
        <f>'Raw Orders'!I564</f>
        <v/>
      </c>
      <c r="I564" s="13">
        <f>'Raw Orders'!K564</f>
        <v/>
      </c>
      <c r="J564" s="13">
        <f>IF('Raw Orders'!J564,"",(YEAR('Raw Orders'!I564)-YEAR('Raw Orders'!H564))*12+MONTH('Raw Orders'!I564)-MONTH('Raw Orders'!H564))</f>
        <v/>
      </c>
      <c r="K564">
        <f>IF('Raw Orders'!J564,"Cancelled",IF('Raw Orders'!K564&gt;=2,"Slipped","On plan"))</f>
        <v/>
      </c>
      <c r="L564" s="14">
        <f>IF(K564="On plan",0,F564)</f>
        <v/>
      </c>
    </row>
    <row r="565">
      <c r="A565">
        <f>'Raw Orders'!A565</f>
        <v/>
      </c>
      <c r="B565">
        <f>'Raw Orders'!B565</f>
        <v/>
      </c>
      <c r="C565">
        <f>'Raw Orders'!C565</f>
        <v/>
      </c>
      <c r="D565" s="13">
        <f>'Raw Orders'!E565</f>
        <v/>
      </c>
      <c r="E565" s="14">
        <f>'Raw Orders'!F565</f>
        <v/>
      </c>
      <c r="F565" s="14">
        <f>'Raw Orders'!F565*0.5</f>
        <v/>
      </c>
      <c r="G565" s="12">
        <f>'Raw Orders'!H565</f>
        <v/>
      </c>
      <c r="H565" s="12">
        <f>'Raw Orders'!I565</f>
        <v/>
      </c>
      <c r="I565" s="13">
        <f>'Raw Orders'!K565</f>
        <v/>
      </c>
      <c r="J565" s="13">
        <f>IF('Raw Orders'!J565,"",(YEAR('Raw Orders'!I565)-YEAR('Raw Orders'!H565))*12+MONTH('Raw Orders'!I565)-MONTH('Raw Orders'!H565))</f>
        <v/>
      </c>
      <c r="K565">
        <f>IF('Raw Orders'!J565,"Cancelled",IF('Raw Orders'!K565&gt;=2,"Slipped","On plan"))</f>
        <v/>
      </c>
      <c r="L565" s="14">
        <f>IF(K565="On plan",0,F565)</f>
        <v/>
      </c>
    </row>
    <row r="566">
      <c r="A566">
        <f>'Raw Orders'!A566</f>
        <v/>
      </c>
      <c r="B566">
        <f>'Raw Orders'!B566</f>
        <v/>
      </c>
      <c r="C566">
        <f>'Raw Orders'!C566</f>
        <v/>
      </c>
      <c r="D566" s="13">
        <f>'Raw Orders'!E566</f>
        <v/>
      </c>
      <c r="E566" s="14">
        <f>'Raw Orders'!F566</f>
        <v/>
      </c>
      <c r="F566" s="14">
        <f>'Raw Orders'!F566*0.5</f>
        <v/>
      </c>
      <c r="G566" s="12">
        <f>'Raw Orders'!H566</f>
        <v/>
      </c>
      <c r="H566" s="12">
        <f>'Raw Orders'!I566</f>
        <v/>
      </c>
      <c r="I566" s="13">
        <f>'Raw Orders'!K566</f>
        <v/>
      </c>
      <c r="J566" s="13">
        <f>IF('Raw Orders'!J566,"",(YEAR('Raw Orders'!I566)-YEAR('Raw Orders'!H566))*12+MONTH('Raw Orders'!I566)-MONTH('Raw Orders'!H566))</f>
        <v/>
      </c>
      <c r="K566">
        <f>IF('Raw Orders'!J566,"Cancelled",IF('Raw Orders'!K566&gt;=2,"Slipped","On plan"))</f>
        <v/>
      </c>
      <c r="L566" s="14">
        <f>IF(K566="On plan",0,F566)</f>
        <v/>
      </c>
    </row>
    <row r="567">
      <c r="A567">
        <f>'Raw Orders'!A567</f>
        <v/>
      </c>
      <c r="B567">
        <f>'Raw Orders'!B567</f>
        <v/>
      </c>
      <c r="C567">
        <f>'Raw Orders'!C567</f>
        <v/>
      </c>
      <c r="D567" s="13">
        <f>'Raw Orders'!E567</f>
        <v/>
      </c>
      <c r="E567" s="14">
        <f>'Raw Orders'!F567</f>
        <v/>
      </c>
      <c r="F567" s="14">
        <f>'Raw Orders'!F567*0.5</f>
        <v/>
      </c>
      <c r="G567" s="12">
        <f>'Raw Orders'!H567</f>
        <v/>
      </c>
      <c r="H567" s="12">
        <f>'Raw Orders'!I567</f>
        <v/>
      </c>
      <c r="I567" s="13">
        <f>'Raw Orders'!K567</f>
        <v/>
      </c>
      <c r="J567" s="13">
        <f>IF('Raw Orders'!J567,"",(YEAR('Raw Orders'!I567)-YEAR('Raw Orders'!H567))*12+MONTH('Raw Orders'!I567)-MONTH('Raw Orders'!H567))</f>
        <v/>
      </c>
      <c r="K567">
        <f>IF('Raw Orders'!J567,"Cancelled",IF('Raw Orders'!K567&gt;=2,"Slipped","On plan"))</f>
        <v/>
      </c>
      <c r="L567" s="14">
        <f>IF(K567="On plan",0,F567)</f>
        <v/>
      </c>
    </row>
    <row r="568">
      <c r="A568">
        <f>'Raw Orders'!A568</f>
        <v/>
      </c>
      <c r="B568">
        <f>'Raw Orders'!B568</f>
        <v/>
      </c>
      <c r="C568">
        <f>'Raw Orders'!C568</f>
        <v/>
      </c>
      <c r="D568" s="13">
        <f>'Raw Orders'!E568</f>
        <v/>
      </c>
      <c r="E568" s="14">
        <f>'Raw Orders'!F568</f>
        <v/>
      </c>
      <c r="F568" s="14">
        <f>'Raw Orders'!F568*0.5</f>
        <v/>
      </c>
      <c r="G568" s="12">
        <f>'Raw Orders'!H568</f>
        <v/>
      </c>
      <c r="H568" s="12">
        <f>'Raw Orders'!I568</f>
        <v/>
      </c>
      <c r="I568" s="13">
        <f>'Raw Orders'!K568</f>
        <v/>
      </c>
      <c r="J568" s="13">
        <f>IF('Raw Orders'!J568,"",(YEAR('Raw Orders'!I568)-YEAR('Raw Orders'!H568))*12+MONTH('Raw Orders'!I568)-MONTH('Raw Orders'!H568))</f>
        <v/>
      </c>
      <c r="K568">
        <f>IF('Raw Orders'!J568,"Cancelled",IF('Raw Orders'!K568&gt;=2,"Slipped","On plan"))</f>
        <v/>
      </c>
      <c r="L568" s="14">
        <f>IF(K568="On plan",0,F568)</f>
        <v/>
      </c>
    </row>
    <row r="569">
      <c r="A569">
        <f>'Raw Orders'!A569</f>
        <v/>
      </c>
      <c r="B569">
        <f>'Raw Orders'!B569</f>
        <v/>
      </c>
      <c r="C569">
        <f>'Raw Orders'!C569</f>
        <v/>
      </c>
      <c r="D569" s="13">
        <f>'Raw Orders'!E569</f>
        <v/>
      </c>
      <c r="E569" s="14">
        <f>'Raw Orders'!F569</f>
        <v/>
      </c>
      <c r="F569" s="14">
        <f>'Raw Orders'!F569*0.5</f>
        <v/>
      </c>
      <c r="G569" s="12">
        <f>'Raw Orders'!H569</f>
        <v/>
      </c>
      <c r="H569" s="12">
        <f>'Raw Orders'!I569</f>
        <v/>
      </c>
      <c r="I569" s="13">
        <f>'Raw Orders'!K569</f>
        <v/>
      </c>
      <c r="J569" s="13">
        <f>IF('Raw Orders'!J569,"",(YEAR('Raw Orders'!I569)-YEAR('Raw Orders'!H569))*12+MONTH('Raw Orders'!I569)-MONTH('Raw Orders'!H569))</f>
        <v/>
      </c>
      <c r="K569">
        <f>IF('Raw Orders'!J569,"Cancelled",IF('Raw Orders'!K569&gt;=2,"Slipped","On plan"))</f>
        <v/>
      </c>
      <c r="L569" s="14">
        <f>IF(K569="On plan",0,F569)</f>
        <v/>
      </c>
    </row>
    <row r="570">
      <c r="A570">
        <f>'Raw Orders'!A570</f>
        <v/>
      </c>
      <c r="B570">
        <f>'Raw Orders'!B570</f>
        <v/>
      </c>
      <c r="C570">
        <f>'Raw Orders'!C570</f>
        <v/>
      </c>
      <c r="D570" s="13">
        <f>'Raw Orders'!E570</f>
        <v/>
      </c>
      <c r="E570" s="14">
        <f>'Raw Orders'!F570</f>
        <v/>
      </c>
      <c r="F570" s="14">
        <f>'Raw Orders'!F570*0.5</f>
        <v/>
      </c>
      <c r="G570" s="12">
        <f>'Raw Orders'!H570</f>
        <v/>
      </c>
      <c r="H570" s="12">
        <f>'Raw Orders'!I570</f>
        <v/>
      </c>
      <c r="I570" s="13">
        <f>'Raw Orders'!K570</f>
        <v/>
      </c>
      <c r="J570" s="13">
        <f>IF('Raw Orders'!J570,"",(YEAR('Raw Orders'!I570)-YEAR('Raw Orders'!H570))*12+MONTH('Raw Orders'!I570)-MONTH('Raw Orders'!H570))</f>
        <v/>
      </c>
      <c r="K570">
        <f>IF('Raw Orders'!J570,"Cancelled",IF('Raw Orders'!K570&gt;=2,"Slipped","On plan"))</f>
        <v/>
      </c>
      <c r="L570" s="14">
        <f>IF(K570="On plan",0,F570)</f>
        <v/>
      </c>
    </row>
    <row r="571">
      <c r="A571">
        <f>'Raw Orders'!A571</f>
        <v/>
      </c>
      <c r="B571">
        <f>'Raw Orders'!B571</f>
        <v/>
      </c>
      <c r="C571">
        <f>'Raw Orders'!C571</f>
        <v/>
      </c>
      <c r="D571" s="13">
        <f>'Raw Orders'!E571</f>
        <v/>
      </c>
      <c r="E571" s="14">
        <f>'Raw Orders'!F571</f>
        <v/>
      </c>
      <c r="F571" s="14">
        <f>'Raw Orders'!F571*0.5</f>
        <v/>
      </c>
      <c r="G571" s="12">
        <f>'Raw Orders'!H571</f>
        <v/>
      </c>
      <c r="H571" s="12">
        <f>'Raw Orders'!I571</f>
        <v/>
      </c>
      <c r="I571" s="13">
        <f>'Raw Orders'!K571</f>
        <v/>
      </c>
      <c r="J571" s="13">
        <f>IF('Raw Orders'!J571,"",(YEAR('Raw Orders'!I571)-YEAR('Raw Orders'!H571))*12+MONTH('Raw Orders'!I571)-MONTH('Raw Orders'!H571))</f>
        <v/>
      </c>
      <c r="K571">
        <f>IF('Raw Orders'!J571,"Cancelled",IF('Raw Orders'!K571&gt;=2,"Slipped","On plan"))</f>
        <v/>
      </c>
      <c r="L571" s="14">
        <f>IF(K571="On plan",0,F571)</f>
        <v/>
      </c>
    </row>
    <row r="572">
      <c r="A572">
        <f>'Raw Orders'!A572</f>
        <v/>
      </c>
      <c r="B572">
        <f>'Raw Orders'!B572</f>
        <v/>
      </c>
      <c r="C572">
        <f>'Raw Orders'!C572</f>
        <v/>
      </c>
      <c r="D572" s="13">
        <f>'Raw Orders'!E572</f>
        <v/>
      </c>
      <c r="E572" s="14">
        <f>'Raw Orders'!F572</f>
        <v/>
      </c>
      <c r="F572" s="14">
        <f>'Raw Orders'!F572*0.5</f>
        <v/>
      </c>
      <c r="G572" s="12">
        <f>'Raw Orders'!H572</f>
        <v/>
      </c>
      <c r="H572" s="12">
        <f>'Raw Orders'!I572</f>
        <v/>
      </c>
      <c r="I572" s="13">
        <f>'Raw Orders'!K572</f>
        <v/>
      </c>
      <c r="J572" s="13">
        <f>IF('Raw Orders'!J572,"",(YEAR('Raw Orders'!I572)-YEAR('Raw Orders'!H572))*12+MONTH('Raw Orders'!I572)-MONTH('Raw Orders'!H572))</f>
        <v/>
      </c>
      <c r="K572">
        <f>IF('Raw Orders'!J572,"Cancelled",IF('Raw Orders'!K572&gt;=2,"Slipped","On plan"))</f>
        <v/>
      </c>
      <c r="L572" s="14">
        <f>IF(K572="On plan",0,F572)</f>
        <v/>
      </c>
    </row>
    <row r="573">
      <c r="A573">
        <f>'Raw Orders'!A573</f>
        <v/>
      </c>
      <c r="B573">
        <f>'Raw Orders'!B573</f>
        <v/>
      </c>
      <c r="C573">
        <f>'Raw Orders'!C573</f>
        <v/>
      </c>
      <c r="D573" s="13">
        <f>'Raw Orders'!E573</f>
        <v/>
      </c>
      <c r="E573" s="14">
        <f>'Raw Orders'!F573</f>
        <v/>
      </c>
      <c r="F573" s="14">
        <f>'Raw Orders'!F573*0.5</f>
        <v/>
      </c>
      <c r="G573" s="12">
        <f>'Raw Orders'!H573</f>
        <v/>
      </c>
      <c r="H573" s="12">
        <f>'Raw Orders'!I573</f>
        <v/>
      </c>
      <c r="I573" s="13">
        <f>'Raw Orders'!K573</f>
        <v/>
      </c>
      <c r="J573" s="13">
        <f>IF('Raw Orders'!J573,"",(YEAR('Raw Orders'!I573)-YEAR('Raw Orders'!H573))*12+MONTH('Raw Orders'!I573)-MONTH('Raw Orders'!H573))</f>
        <v/>
      </c>
      <c r="K573">
        <f>IF('Raw Orders'!J573,"Cancelled",IF('Raw Orders'!K573&gt;=2,"Slipped","On plan"))</f>
        <v/>
      </c>
      <c r="L573" s="14">
        <f>IF(K573="On plan",0,F573)</f>
        <v/>
      </c>
    </row>
    <row r="574">
      <c r="A574">
        <f>'Raw Orders'!A574</f>
        <v/>
      </c>
      <c r="B574">
        <f>'Raw Orders'!B574</f>
        <v/>
      </c>
      <c r="C574">
        <f>'Raw Orders'!C574</f>
        <v/>
      </c>
      <c r="D574" s="13">
        <f>'Raw Orders'!E574</f>
        <v/>
      </c>
      <c r="E574" s="14">
        <f>'Raw Orders'!F574</f>
        <v/>
      </c>
      <c r="F574" s="14">
        <f>'Raw Orders'!F574*0.5</f>
        <v/>
      </c>
      <c r="G574" s="12">
        <f>'Raw Orders'!H574</f>
        <v/>
      </c>
      <c r="H574" s="12">
        <f>'Raw Orders'!I574</f>
        <v/>
      </c>
      <c r="I574" s="13">
        <f>'Raw Orders'!K574</f>
        <v/>
      </c>
      <c r="J574" s="13">
        <f>IF('Raw Orders'!J574,"",(YEAR('Raw Orders'!I574)-YEAR('Raw Orders'!H574))*12+MONTH('Raw Orders'!I574)-MONTH('Raw Orders'!H574))</f>
        <v/>
      </c>
      <c r="K574">
        <f>IF('Raw Orders'!J574,"Cancelled",IF('Raw Orders'!K574&gt;=2,"Slipped","On plan"))</f>
        <v/>
      </c>
      <c r="L574" s="14">
        <f>IF(K574="On plan",0,F574)</f>
        <v/>
      </c>
    </row>
    <row r="575">
      <c r="A575">
        <f>'Raw Orders'!A575</f>
        <v/>
      </c>
      <c r="B575">
        <f>'Raw Orders'!B575</f>
        <v/>
      </c>
      <c r="C575">
        <f>'Raw Orders'!C575</f>
        <v/>
      </c>
      <c r="D575" s="13">
        <f>'Raw Orders'!E575</f>
        <v/>
      </c>
      <c r="E575" s="14">
        <f>'Raw Orders'!F575</f>
        <v/>
      </c>
      <c r="F575" s="14">
        <f>'Raw Orders'!F575*0.5</f>
        <v/>
      </c>
      <c r="G575" s="12">
        <f>'Raw Orders'!H575</f>
        <v/>
      </c>
      <c r="H575" s="12">
        <f>'Raw Orders'!I575</f>
        <v/>
      </c>
      <c r="I575" s="13">
        <f>'Raw Orders'!K575</f>
        <v/>
      </c>
      <c r="J575" s="13">
        <f>IF('Raw Orders'!J575,"",(YEAR('Raw Orders'!I575)-YEAR('Raw Orders'!H575))*12+MONTH('Raw Orders'!I575)-MONTH('Raw Orders'!H575))</f>
        <v/>
      </c>
      <c r="K575">
        <f>IF('Raw Orders'!J575,"Cancelled",IF('Raw Orders'!K575&gt;=2,"Slipped","On plan"))</f>
        <v/>
      </c>
      <c r="L575" s="14">
        <f>IF(K575="On plan",0,F575)</f>
        <v/>
      </c>
    </row>
    <row r="576">
      <c r="A576">
        <f>'Raw Orders'!A576</f>
        <v/>
      </c>
      <c r="B576">
        <f>'Raw Orders'!B576</f>
        <v/>
      </c>
      <c r="C576">
        <f>'Raw Orders'!C576</f>
        <v/>
      </c>
      <c r="D576" s="13">
        <f>'Raw Orders'!E576</f>
        <v/>
      </c>
      <c r="E576" s="14">
        <f>'Raw Orders'!F576</f>
        <v/>
      </c>
      <c r="F576" s="14">
        <f>'Raw Orders'!F576*0.5</f>
        <v/>
      </c>
      <c r="G576" s="12">
        <f>'Raw Orders'!H576</f>
        <v/>
      </c>
      <c r="H576" s="12">
        <f>'Raw Orders'!I576</f>
        <v/>
      </c>
      <c r="I576" s="13">
        <f>'Raw Orders'!K576</f>
        <v/>
      </c>
      <c r="J576" s="13">
        <f>IF('Raw Orders'!J576,"",(YEAR('Raw Orders'!I576)-YEAR('Raw Orders'!H576))*12+MONTH('Raw Orders'!I576)-MONTH('Raw Orders'!H576))</f>
        <v/>
      </c>
      <c r="K576">
        <f>IF('Raw Orders'!J576,"Cancelled",IF('Raw Orders'!K576&gt;=2,"Slipped","On plan"))</f>
        <v/>
      </c>
      <c r="L576" s="14">
        <f>IF(K576="On plan",0,F576)</f>
        <v/>
      </c>
    </row>
    <row r="577">
      <c r="A577">
        <f>'Raw Orders'!A577</f>
        <v/>
      </c>
      <c r="B577">
        <f>'Raw Orders'!B577</f>
        <v/>
      </c>
      <c r="C577">
        <f>'Raw Orders'!C577</f>
        <v/>
      </c>
      <c r="D577" s="13">
        <f>'Raw Orders'!E577</f>
        <v/>
      </c>
      <c r="E577" s="14">
        <f>'Raw Orders'!F577</f>
        <v/>
      </c>
      <c r="F577" s="14">
        <f>'Raw Orders'!F577*0.5</f>
        <v/>
      </c>
      <c r="G577" s="12">
        <f>'Raw Orders'!H577</f>
        <v/>
      </c>
      <c r="H577" s="12">
        <f>'Raw Orders'!I577</f>
        <v/>
      </c>
      <c r="I577" s="13">
        <f>'Raw Orders'!K577</f>
        <v/>
      </c>
      <c r="J577" s="13">
        <f>IF('Raw Orders'!J577,"",(YEAR('Raw Orders'!I577)-YEAR('Raw Orders'!H577))*12+MONTH('Raw Orders'!I577)-MONTH('Raw Orders'!H577))</f>
        <v/>
      </c>
      <c r="K577">
        <f>IF('Raw Orders'!J577,"Cancelled",IF('Raw Orders'!K577&gt;=2,"Slipped","On plan"))</f>
        <v/>
      </c>
      <c r="L577" s="14">
        <f>IF(K577="On plan",0,F577)</f>
        <v/>
      </c>
    </row>
    <row r="578">
      <c r="A578">
        <f>'Raw Orders'!A578</f>
        <v/>
      </c>
      <c r="B578">
        <f>'Raw Orders'!B578</f>
        <v/>
      </c>
      <c r="C578">
        <f>'Raw Orders'!C578</f>
        <v/>
      </c>
      <c r="D578" s="13">
        <f>'Raw Orders'!E578</f>
        <v/>
      </c>
      <c r="E578" s="14">
        <f>'Raw Orders'!F578</f>
        <v/>
      </c>
      <c r="F578" s="14">
        <f>'Raw Orders'!F578*0.5</f>
        <v/>
      </c>
      <c r="G578" s="12">
        <f>'Raw Orders'!H578</f>
        <v/>
      </c>
      <c r="H578" s="12">
        <f>'Raw Orders'!I578</f>
        <v/>
      </c>
      <c r="I578" s="13">
        <f>'Raw Orders'!K578</f>
        <v/>
      </c>
      <c r="J578" s="13">
        <f>IF('Raw Orders'!J578,"",(YEAR('Raw Orders'!I578)-YEAR('Raw Orders'!H578))*12+MONTH('Raw Orders'!I578)-MONTH('Raw Orders'!H578))</f>
        <v/>
      </c>
      <c r="K578">
        <f>IF('Raw Orders'!J578,"Cancelled",IF('Raw Orders'!K578&gt;=2,"Slipped","On plan"))</f>
        <v/>
      </c>
      <c r="L578" s="14">
        <f>IF(K578="On plan",0,F578)</f>
        <v/>
      </c>
    </row>
    <row r="579">
      <c r="A579">
        <f>'Raw Orders'!A579</f>
        <v/>
      </c>
      <c r="B579">
        <f>'Raw Orders'!B579</f>
        <v/>
      </c>
      <c r="C579">
        <f>'Raw Orders'!C579</f>
        <v/>
      </c>
      <c r="D579" s="13">
        <f>'Raw Orders'!E579</f>
        <v/>
      </c>
      <c r="E579" s="14">
        <f>'Raw Orders'!F579</f>
        <v/>
      </c>
      <c r="F579" s="14">
        <f>'Raw Orders'!F579*0.5</f>
        <v/>
      </c>
      <c r="G579" s="12">
        <f>'Raw Orders'!H579</f>
        <v/>
      </c>
      <c r="H579" s="12">
        <f>'Raw Orders'!I579</f>
        <v/>
      </c>
      <c r="I579" s="13">
        <f>'Raw Orders'!K579</f>
        <v/>
      </c>
      <c r="J579" s="13">
        <f>IF('Raw Orders'!J579,"",(YEAR('Raw Orders'!I579)-YEAR('Raw Orders'!H579))*12+MONTH('Raw Orders'!I579)-MONTH('Raw Orders'!H579))</f>
        <v/>
      </c>
      <c r="K579">
        <f>IF('Raw Orders'!J579,"Cancelled",IF('Raw Orders'!K579&gt;=2,"Slipped","On plan"))</f>
        <v/>
      </c>
      <c r="L579" s="14">
        <f>IF(K579="On plan",0,F579)</f>
        <v/>
      </c>
    </row>
    <row r="580">
      <c r="A580">
        <f>'Raw Orders'!A580</f>
        <v/>
      </c>
      <c r="B580">
        <f>'Raw Orders'!B580</f>
        <v/>
      </c>
      <c r="C580">
        <f>'Raw Orders'!C580</f>
        <v/>
      </c>
      <c r="D580" s="13">
        <f>'Raw Orders'!E580</f>
        <v/>
      </c>
      <c r="E580" s="14">
        <f>'Raw Orders'!F580</f>
        <v/>
      </c>
      <c r="F580" s="14">
        <f>'Raw Orders'!F580*0.5</f>
        <v/>
      </c>
      <c r="G580" s="12">
        <f>'Raw Orders'!H580</f>
        <v/>
      </c>
      <c r="H580" s="12">
        <f>'Raw Orders'!I580</f>
        <v/>
      </c>
      <c r="I580" s="13">
        <f>'Raw Orders'!K580</f>
        <v/>
      </c>
      <c r="J580" s="13">
        <f>IF('Raw Orders'!J580,"",(YEAR('Raw Orders'!I580)-YEAR('Raw Orders'!H580))*12+MONTH('Raw Orders'!I580)-MONTH('Raw Orders'!H580))</f>
        <v/>
      </c>
      <c r="K580">
        <f>IF('Raw Orders'!J580,"Cancelled",IF('Raw Orders'!K580&gt;=2,"Slipped","On plan"))</f>
        <v/>
      </c>
      <c r="L580" s="14">
        <f>IF(K580="On plan",0,F580)</f>
        <v/>
      </c>
    </row>
    <row r="581">
      <c r="A581">
        <f>'Raw Orders'!A581</f>
        <v/>
      </c>
      <c r="B581">
        <f>'Raw Orders'!B581</f>
        <v/>
      </c>
      <c r="C581">
        <f>'Raw Orders'!C581</f>
        <v/>
      </c>
      <c r="D581" s="13">
        <f>'Raw Orders'!E581</f>
        <v/>
      </c>
      <c r="E581" s="14">
        <f>'Raw Orders'!F581</f>
        <v/>
      </c>
      <c r="F581" s="14">
        <f>'Raw Orders'!F581*0.5</f>
        <v/>
      </c>
      <c r="G581" s="12">
        <f>'Raw Orders'!H581</f>
        <v/>
      </c>
      <c r="H581" s="12">
        <f>'Raw Orders'!I581</f>
        <v/>
      </c>
      <c r="I581" s="13">
        <f>'Raw Orders'!K581</f>
        <v/>
      </c>
      <c r="J581" s="13">
        <f>IF('Raw Orders'!J581,"",(YEAR('Raw Orders'!I581)-YEAR('Raw Orders'!H581))*12+MONTH('Raw Orders'!I581)-MONTH('Raw Orders'!H581))</f>
        <v/>
      </c>
      <c r="K581">
        <f>IF('Raw Orders'!J581,"Cancelled",IF('Raw Orders'!K581&gt;=2,"Slipped","On plan"))</f>
        <v/>
      </c>
      <c r="L581" s="14">
        <f>IF(K581="On plan",0,F581)</f>
        <v/>
      </c>
    </row>
    <row r="582">
      <c r="A582">
        <f>'Raw Orders'!A582</f>
        <v/>
      </c>
      <c r="B582">
        <f>'Raw Orders'!B582</f>
        <v/>
      </c>
      <c r="C582">
        <f>'Raw Orders'!C582</f>
        <v/>
      </c>
      <c r="D582" s="13">
        <f>'Raw Orders'!E582</f>
        <v/>
      </c>
      <c r="E582" s="14">
        <f>'Raw Orders'!F582</f>
        <v/>
      </c>
      <c r="F582" s="14">
        <f>'Raw Orders'!F582*0.5</f>
        <v/>
      </c>
      <c r="G582" s="12">
        <f>'Raw Orders'!H582</f>
        <v/>
      </c>
      <c r="H582" s="12">
        <f>'Raw Orders'!I582</f>
        <v/>
      </c>
      <c r="I582" s="13">
        <f>'Raw Orders'!K582</f>
        <v/>
      </c>
      <c r="J582" s="13">
        <f>IF('Raw Orders'!J582,"",(YEAR('Raw Orders'!I582)-YEAR('Raw Orders'!H582))*12+MONTH('Raw Orders'!I582)-MONTH('Raw Orders'!H582))</f>
        <v/>
      </c>
      <c r="K582">
        <f>IF('Raw Orders'!J582,"Cancelled",IF('Raw Orders'!K582&gt;=2,"Slipped","On plan"))</f>
        <v/>
      </c>
      <c r="L582" s="14">
        <f>IF(K582="On plan",0,F582)</f>
        <v/>
      </c>
    </row>
    <row r="583">
      <c r="A583">
        <f>'Raw Orders'!A583</f>
        <v/>
      </c>
      <c r="B583">
        <f>'Raw Orders'!B583</f>
        <v/>
      </c>
      <c r="C583">
        <f>'Raw Orders'!C583</f>
        <v/>
      </c>
      <c r="D583" s="13">
        <f>'Raw Orders'!E583</f>
        <v/>
      </c>
      <c r="E583" s="14">
        <f>'Raw Orders'!F583</f>
        <v/>
      </c>
      <c r="F583" s="14">
        <f>'Raw Orders'!F583*0.5</f>
        <v/>
      </c>
      <c r="G583" s="12">
        <f>'Raw Orders'!H583</f>
        <v/>
      </c>
      <c r="H583" s="12">
        <f>'Raw Orders'!I583</f>
        <v/>
      </c>
      <c r="I583" s="13">
        <f>'Raw Orders'!K583</f>
        <v/>
      </c>
      <c r="J583" s="13">
        <f>IF('Raw Orders'!J583,"",(YEAR('Raw Orders'!I583)-YEAR('Raw Orders'!H583))*12+MONTH('Raw Orders'!I583)-MONTH('Raw Orders'!H583))</f>
        <v/>
      </c>
      <c r="K583">
        <f>IF('Raw Orders'!J583,"Cancelled",IF('Raw Orders'!K583&gt;=2,"Slipped","On plan"))</f>
        <v/>
      </c>
      <c r="L583" s="14">
        <f>IF(K583="On plan",0,F583)</f>
        <v/>
      </c>
    </row>
    <row r="584">
      <c r="A584">
        <f>'Raw Orders'!A584</f>
        <v/>
      </c>
      <c r="B584">
        <f>'Raw Orders'!B584</f>
        <v/>
      </c>
      <c r="C584">
        <f>'Raw Orders'!C584</f>
        <v/>
      </c>
      <c r="D584" s="13">
        <f>'Raw Orders'!E584</f>
        <v/>
      </c>
      <c r="E584" s="14">
        <f>'Raw Orders'!F584</f>
        <v/>
      </c>
      <c r="F584" s="14">
        <f>'Raw Orders'!F584*0.5</f>
        <v/>
      </c>
      <c r="G584" s="12">
        <f>'Raw Orders'!H584</f>
        <v/>
      </c>
      <c r="H584" s="12">
        <f>'Raw Orders'!I584</f>
        <v/>
      </c>
      <c r="I584" s="13">
        <f>'Raw Orders'!K584</f>
        <v/>
      </c>
      <c r="J584" s="13">
        <f>IF('Raw Orders'!J584,"",(YEAR('Raw Orders'!I584)-YEAR('Raw Orders'!H584))*12+MONTH('Raw Orders'!I584)-MONTH('Raw Orders'!H584))</f>
        <v/>
      </c>
      <c r="K584">
        <f>IF('Raw Orders'!J584,"Cancelled",IF('Raw Orders'!K584&gt;=2,"Slipped","On plan"))</f>
        <v/>
      </c>
      <c r="L584" s="14">
        <f>IF(K584="On plan",0,F584)</f>
        <v/>
      </c>
    </row>
    <row r="585">
      <c r="A585">
        <f>'Raw Orders'!A585</f>
        <v/>
      </c>
      <c r="B585">
        <f>'Raw Orders'!B585</f>
        <v/>
      </c>
      <c r="C585">
        <f>'Raw Orders'!C585</f>
        <v/>
      </c>
      <c r="D585" s="13">
        <f>'Raw Orders'!E585</f>
        <v/>
      </c>
      <c r="E585" s="14">
        <f>'Raw Orders'!F585</f>
        <v/>
      </c>
      <c r="F585" s="14">
        <f>'Raw Orders'!F585*0.5</f>
        <v/>
      </c>
      <c r="G585" s="12">
        <f>'Raw Orders'!H585</f>
        <v/>
      </c>
      <c r="H585" s="12">
        <f>'Raw Orders'!I585</f>
        <v/>
      </c>
      <c r="I585" s="13">
        <f>'Raw Orders'!K585</f>
        <v/>
      </c>
      <c r="J585" s="13">
        <f>IF('Raw Orders'!J585,"",(YEAR('Raw Orders'!I585)-YEAR('Raw Orders'!H585))*12+MONTH('Raw Orders'!I585)-MONTH('Raw Orders'!H585))</f>
        <v/>
      </c>
      <c r="K585">
        <f>IF('Raw Orders'!J585,"Cancelled",IF('Raw Orders'!K585&gt;=2,"Slipped","On plan"))</f>
        <v/>
      </c>
      <c r="L585" s="14">
        <f>IF(K585="On plan",0,F585)</f>
        <v/>
      </c>
    </row>
    <row r="586">
      <c r="A586">
        <f>'Raw Orders'!A586</f>
        <v/>
      </c>
      <c r="B586">
        <f>'Raw Orders'!B586</f>
        <v/>
      </c>
      <c r="C586">
        <f>'Raw Orders'!C586</f>
        <v/>
      </c>
      <c r="D586" s="13">
        <f>'Raw Orders'!E586</f>
        <v/>
      </c>
      <c r="E586" s="14">
        <f>'Raw Orders'!F586</f>
        <v/>
      </c>
      <c r="F586" s="14">
        <f>'Raw Orders'!F586*0.5</f>
        <v/>
      </c>
      <c r="G586" s="12">
        <f>'Raw Orders'!H586</f>
        <v/>
      </c>
      <c r="H586" s="12">
        <f>'Raw Orders'!I586</f>
        <v/>
      </c>
      <c r="I586" s="13">
        <f>'Raw Orders'!K586</f>
        <v/>
      </c>
      <c r="J586" s="13">
        <f>IF('Raw Orders'!J586,"",(YEAR('Raw Orders'!I586)-YEAR('Raw Orders'!H586))*12+MONTH('Raw Orders'!I586)-MONTH('Raw Orders'!H586))</f>
        <v/>
      </c>
      <c r="K586">
        <f>IF('Raw Orders'!J586,"Cancelled",IF('Raw Orders'!K586&gt;=2,"Slipped","On plan"))</f>
        <v/>
      </c>
      <c r="L586" s="14">
        <f>IF(K586="On plan",0,F586)</f>
        <v/>
      </c>
    </row>
    <row r="587">
      <c r="A587">
        <f>'Raw Orders'!A587</f>
        <v/>
      </c>
      <c r="B587">
        <f>'Raw Orders'!B587</f>
        <v/>
      </c>
      <c r="C587">
        <f>'Raw Orders'!C587</f>
        <v/>
      </c>
      <c r="D587" s="13">
        <f>'Raw Orders'!E587</f>
        <v/>
      </c>
      <c r="E587" s="14">
        <f>'Raw Orders'!F587</f>
        <v/>
      </c>
      <c r="F587" s="14">
        <f>'Raw Orders'!F587*0.5</f>
        <v/>
      </c>
      <c r="G587" s="12">
        <f>'Raw Orders'!H587</f>
        <v/>
      </c>
      <c r="H587" s="12">
        <f>'Raw Orders'!I587</f>
        <v/>
      </c>
      <c r="I587" s="13">
        <f>'Raw Orders'!K587</f>
        <v/>
      </c>
      <c r="J587" s="13">
        <f>IF('Raw Orders'!J587,"",(YEAR('Raw Orders'!I587)-YEAR('Raw Orders'!H587))*12+MONTH('Raw Orders'!I587)-MONTH('Raw Orders'!H587))</f>
        <v/>
      </c>
      <c r="K587">
        <f>IF('Raw Orders'!J587,"Cancelled",IF('Raw Orders'!K587&gt;=2,"Slipped","On plan"))</f>
        <v/>
      </c>
      <c r="L587" s="14">
        <f>IF(K587="On plan",0,F587)</f>
        <v/>
      </c>
    </row>
    <row r="588">
      <c r="A588">
        <f>'Raw Orders'!A588</f>
        <v/>
      </c>
      <c r="B588">
        <f>'Raw Orders'!B588</f>
        <v/>
      </c>
      <c r="C588">
        <f>'Raw Orders'!C588</f>
        <v/>
      </c>
      <c r="D588" s="13">
        <f>'Raw Orders'!E588</f>
        <v/>
      </c>
      <c r="E588" s="14">
        <f>'Raw Orders'!F588</f>
        <v/>
      </c>
      <c r="F588" s="14">
        <f>'Raw Orders'!F588*0.5</f>
        <v/>
      </c>
      <c r="G588" s="12">
        <f>'Raw Orders'!H588</f>
        <v/>
      </c>
      <c r="H588" s="12">
        <f>'Raw Orders'!I588</f>
        <v/>
      </c>
      <c r="I588" s="13">
        <f>'Raw Orders'!K588</f>
        <v/>
      </c>
      <c r="J588" s="13">
        <f>IF('Raw Orders'!J588,"",(YEAR('Raw Orders'!I588)-YEAR('Raw Orders'!H588))*12+MONTH('Raw Orders'!I588)-MONTH('Raw Orders'!H588))</f>
        <v/>
      </c>
      <c r="K588">
        <f>IF('Raw Orders'!J588,"Cancelled",IF('Raw Orders'!K588&gt;=2,"Slipped","On plan"))</f>
        <v/>
      </c>
      <c r="L588" s="14">
        <f>IF(K588="On plan",0,F588)</f>
        <v/>
      </c>
    </row>
    <row r="589">
      <c r="A589">
        <f>'Raw Orders'!A589</f>
        <v/>
      </c>
      <c r="B589">
        <f>'Raw Orders'!B589</f>
        <v/>
      </c>
      <c r="C589">
        <f>'Raw Orders'!C589</f>
        <v/>
      </c>
      <c r="D589" s="13">
        <f>'Raw Orders'!E589</f>
        <v/>
      </c>
      <c r="E589" s="14">
        <f>'Raw Orders'!F589</f>
        <v/>
      </c>
      <c r="F589" s="14">
        <f>'Raw Orders'!F589*0.5</f>
        <v/>
      </c>
      <c r="G589" s="12">
        <f>'Raw Orders'!H589</f>
        <v/>
      </c>
      <c r="H589" s="12">
        <f>'Raw Orders'!I589</f>
        <v/>
      </c>
      <c r="I589" s="13">
        <f>'Raw Orders'!K589</f>
        <v/>
      </c>
      <c r="J589" s="13">
        <f>IF('Raw Orders'!J589,"",(YEAR('Raw Orders'!I589)-YEAR('Raw Orders'!H589))*12+MONTH('Raw Orders'!I589)-MONTH('Raw Orders'!H589))</f>
        <v/>
      </c>
      <c r="K589">
        <f>IF('Raw Orders'!J589,"Cancelled",IF('Raw Orders'!K589&gt;=2,"Slipped","On plan"))</f>
        <v/>
      </c>
      <c r="L589" s="14">
        <f>IF(K589="On plan",0,F589)</f>
        <v/>
      </c>
    </row>
    <row r="590">
      <c r="A590">
        <f>'Raw Orders'!A590</f>
        <v/>
      </c>
      <c r="B590">
        <f>'Raw Orders'!B590</f>
        <v/>
      </c>
      <c r="C590">
        <f>'Raw Orders'!C590</f>
        <v/>
      </c>
      <c r="D590" s="13">
        <f>'Raw Orders'!E590</f>
        <v/>
      </c>
      <c r="E590" s="14">
        <f>'Raw Orders'!F590</f>
        <v/>
      </c>
      <c r="F590" s="14">
        <f>'Raw Orders'!F590*0.5</f>
        <v/>
      </c>
      <c r="G590" s="12">
        <f>'Raw Orders'!H590</f>
        <v/>
      </c>
      <c r="H590" s="12">
        <f>'Raw Orders'!I590</f>
        <v/>
      </c>
      <c r="I590" s="13">
        <f>'Raw Orders'!K590</f>
        <v/>
      </c>
      <c r="J590" s="13">
        <f>IF('Raw Orders'!J590,"",(YEAR('Raw Orders'!I590)-YEAR('Raw Orders'!H590))*12+MONTH('Raw Orders'!I590)-MONTH('Raw Orders'!H590))</f>
        <v/>
      </c>
      <c r="K590">
        <f>IF('Raw Orders'!J590,"Cancelled",IF('Raw Orders'!K590&gt;=2,"Slipped","On plan"))</f>
        <v/>
      </c>
      <c r="L590" s="14">
        <f>IF(K590="On plan",0,F590)</f>
        <v/>
      </c>
    </row>
    <row r="591">
      <c r="A591">
        <f>'Raw Orders'!A591</f>
        <v/>
      </c>
      <c r="B591">
        <f>'Raw Orders'!B591</f>
        <v/>
      </c>
      <c r="C591">
        <f>'Raw Orders'!C591</f>
        <v/>
      </c>
      <c r="D591" s="13">
        <f>'Raw Orders'!E591</f>
        <v/>
      </c>
      <c r="E591" s="14">
        <f>'Raw Orders'!F591</f>
        <v/>
      </c>
      <c r="F591" s="14">
        <f>'Raw Orders'!F591*0.5</f>
        <v/>
      </c>
      <c r="G591" s="12">
        <f>'Raw Orders'!H591</f>
        <v/>
      </c>
      <c r="H591" s="12">
        <f>'Raw Orders'!I591</f>
        <v/>
      </c>
      <c r="I591" s="13">
        <f>'Raw Orders'!K591</f>
        <v/>
      </c>
      <c r="J591" s="13">
        <f>IF('Raw Orders'!J591,"",(YEAR('Raw Orders'!I591)-YEAR('Raw Orders'!H591))*12+MONTH('Raw Orders'!I591)-MONTH('Raw Orders'!H591))</f>
        <v/>
      </c>
      <c r="K591">
        <f>IF('Raw Orders'!J591,"Cancelled",IF('Raw Orders'!K591&gt;=2,"Slipped","On plan"))</f>
        <v/>
      </c>
      <c r="L591" s="14">
        <f>IF(K591="On plan",0,F591)</f>
        <v/>
      </c>
    </row>
    <row r="592">
      <c r="A592">
        <f>'Raw Orders'!A592</f>
        <v/>
      </c>
      <c r="B592">
        <f>'Raw Orders'!B592</f>
        <v/>
      </c>
      <c r="C592">
        <f>'Raw Orders'!C592</f>
        <v/>
      </c>
      <c r="D592" s="13">
        <f>'Raw Orders'!E592</f>
        <v/>
      </c>
      <c r="E592" s="14">
        <f>'Raw Orders'!F592</f>
        <v/>
      </c>
      <c r="F592" s="14">
        <f>'Raw Orders'!F592*0.5</f>
        <v/>
      </c>
      <c r="G592" s="12">
        <f>'Raw Orders'!H592</f>
        <v/>
      </c>
      <c r="H592" s="12">
        <f>'Raw Orders'!I592</f>
        <v/>
      </c>
      <c r="I592" s="13">
        <f>'Raw Orders'!K592</f>
        <v/>
      </c>
      <c r="J592" s="13">
        <f>IF('Raw Orders'!J592,"",(YEAR('Raw Orders'!I592)-YEAR('Raw Orders'!H592))*12+MONTH('Raw Orders'!I592)-MONTH('Raw Orders'!H592))</f>
        <v/>
      </c>
      <c r="K592">
        <f>IF('Raw Orders'!J592,"Cancelled",IF('Raw Orders'!K592&gt;=2,"Slipped","On plan"))</f>
        <v/>
      </c>
      <c r="L592" s="14">
        <f>IF(K592="On plan",0,F592)</f>
        <v/>
      </c>
    </row>
    <row r="593">
      <c r="A593">
        <f>'Raw Orders'!A593</f>
        <v/>
      </c>
      <c r="B593">
        <f>'Raw Orders'!B593</f>
        <v/>
      </c>
      <c r="C593">
        <f>'Raw Orders'!C593</f>
        <v/>
      </c>
      <c r="D593" s="13">
        <f>'Raw Orders'!E593</f>
        <v/>
      </c>
      <c r="E593" s="14">
        <f>'Raw Orders'!F593</f>
        <v/>
      </c>
      <c r="F593" s="14">
        <f>'Raw Orders'!F593*0.5</f>
        <v/>
      </c>
      <c r="G593" s="12">
        <f>'Raw Orders'!H593</f>
        <v/>
      </c>
      <c r="H593" s="12">
        <f>'Raw Orders'!I593</f>
        <v/>
      </c>
      <c r="I593" s="13">
        <f>'Raw Orders'!K593</f>
        <v/>
      </c>
      <c r="J593" s="13">
        <f>IF('Raw Orders'!J593,"",(YEAR('Raw Orders'!I593)-YEAR('Raw Orders'!H593))*12+MONTH('Raw Orders'!I593)-MONTH('Raw Orders'!H593))</f>
        <v/>
      </c>
      <c r="K593">
        <f>IF('Raw Orders'!J593,"Cancelled",IF('Raw Orders'!K593&gt;=2,"Slipped","On plan"))</f>
        <v/>
      </c>
      <c r="L593" s="14">
        <f>IF(K593="On plan",0,F593)</f>
        <v/>
      </c>
    </row>
    <row r="594">
      <c r="A594">
        <f>'Raw Orders'!A594</f>
        <v/>
      </c>
      <c r="B594">
        <f>'Raw Orders'!B594</f>
        <v/>
      </c>
      <c r="C594">
        <f>'Raw Orders'!C594</f>
        <v/>
      </c>
      <c r="D594" s="13">
        <f>'Raw Orders'!E594</f>
        <v/>
      </c>
      <c r="E594" s="14">
        <f>'Raw Orders'!F594</f>
        <v/>
      </c>
      <c r="F594" s="14">
        <f>'Raw Orders'!F594*0.5</f>
        <v/>
      </c>
      <c r="G594" s="12">
        <f>'Raw Orders'!H594</f>
        <v/>
      </c>
      <c r="H594" s="12">
        <f>'Raw Orders'!I594</f>
        <v/>
      </c>
      <c r="I594" s="13">
        <f>'Raw Orders'!K594</f>
        <v/>
      </c>
      <c r="J594" s="13">
        <f>IF('Raw Orders'!J594,"",(YEAR('Raw Orders'!I594)-YEAR('Raw Orders'!H594))*12+MONTH('Raw Orders'!I594)-MONTH('Raw Orders'!H594))</f>
        <v/>
      </c>
      <c r="K594">
        <f>IF('Raw Orders'!J594,"Cancelled",IF('Raw Orders'!K594&gt;=2,"Slipped","On plan"))</f>
        <v/>
      </c>
      <c r="L594" s="14">
        <f>IF(K594="On plan",0,F594)</f>
        <v/>
      </c>
    </row>
    <row r="595">
      <c r="A595">
        <f>'Raw Orders'!A595</f>
        <v/>
      </c>
      <c r="B595">
        <f>'Raw Orders'!B595</f>
        <v/>
      </c>
      <c r="C595">
        <f>'Raw Orders'!C595</f>
        <v/>
      </c>
      <c r="D595" s="13">
        <f>'Raw Orders'!E595</f>
        <v/>
      </c>
      <c r="E595" s="14">
        <f>'Raw Orders'!F595</f>
        <v/>
      </c>
      <c r="F595" s="14">
        <f>'Raw Orders'!F595*0.5</f>
        <v/>
      </c>
      <c r="G595" s="12">
        <f>'Raw Orders'!H595</f>
        <v/>
      </c>
      <c r="H595" s="12">
        <f>'Raw Orders'!I595</f>
        <v/>
      </c>
      <c r="I595" s="13">
        <f>'Raw Orders'!K595</f>
        <v/>
      </c>
      <c r="J595" s="13">
        <f>IF('Raw Orders'!J595,"",(YEAR('Raw Orders'!I595)-YEAR('Raw Orders'!H595))*12+MONTH('Raw Orders'!I595)-MONTH('Raw Orders'!H595))</f>
        <v/>
      </c>
      <c r="K595">
        <f>IF('Raw Orders'!J595,"Cancelled",IF('Raw Orders'!K595&gt;=2,"Slipped","On plan"))</f>
        <v/>
      </c>
      <c r="L595" s="14">
        <f>IF(K595="On plan",0,F595)</f>
        <v/>
      </c>
    </row>
    <row r="596">
      <c r="A596">
        <f>'Raw Orders'!A596</f>
        <v/>
      </c>
      <c r="B596">
        <f>'Raw Orders'!B596</f>
        <v/>
      </c>
      <c r="C596">
        <f>'Raw Orders'!C596</f>
        <v/>
      </c>
      <c r="D596" s="13">
        <f>'Raw Orders'!E596</f>
        <v/>
      </c>
      <c r="E596" s="14">
        <f>'Raw Orders'!F596</f>
        <v/>
      </c>
      <c r="F596" s="14">
        <f>'Raw Orders'!F596*0.5</f>
        <v/>
      </c>
      <c r="G596" s="12">
        <f>'Raw Orders'!H596</f>
        <v/>
      </c>
      <c r="H596" s="12">
        <f>'Raw Orders'!I596</f>
        <v/>
      </c>
      <c r="I596" s="13">
        <f>'Raw Orders'!K596</f>
        <v/>
      </c>
      <c r="J596" s="13">
        <f>IF('Raw Orders'!J596,"",(YEAR('Raw Orders'!I596)-YEAR('Raw Orders'!H596))*12+MONTH('Raw Orders'!I596)-MONTH('Raw Orders'!H596))</f>
        <v/>
      </c>
      <c r="K596">
        <f>IF('Raw Orders'!J596,"Cancelled",IF('Raw Orders'!K596&gt;=2,"Slipped","On plan"))</f>
        <v/>
      </c>
      <c r="L596" s="14">
        <f>IF(K596="On plan",0,F596)</f>
        <v/>
      </c>
    </row>
    <row r="597">
      <c r="A597">
        <f>'Raw Orders'!A597</f>
        <v/>
      </c>
      <c r="B597">
        <f>'Raw Orders'!B597</f>
        <v/>
      </c>
      <c r="C597">
        <f>'Raw Orders'!C597</f>
        <v/>
      </c>
      <c r="D597" s="13">
        <f>'Raw Orders'!E597</f>
        <v/>
      </c>
      <c r="E597" s="14">
        <f>'Raw Orders'!F597</f>
        <v/>
      </c>
      <c r="F597" s="14">
        <f>'Raw Orders'!F597*0.5</f>
        <v/>
      </c>
      <c r="G597" s="12">
        <f>'Raw Orders'!H597</f>
        <v/>
      </c>
      <c r="H597" s="12">
        <f>'Raw Orders'!I597</f>
        <v/>
      </c>
      <c r="I597" s="13">
        <f>'Raw Orders'!K597</f>
        <v/>
      </c>
      <c r="J597" s="13">
        <f>IF('Raw Orders'!J597,"",(YEAR('Raw Orders'!I597)-YEAR('Raw Orders'!H597))*12+MONTH('Raw Orders'!I597)-MONTH('Raw Orders'!H597))</f>
        <v/>
      </c>
      <c r="K597">
        <f>IF('Raw Orders'!J597,"Cancelled",IF('Raw Orders'!K597&gt;=2,"Slipped","On plan"))</f>
        <v/>
      </c>
      <c r="L597" s="14">
        <f>IF(K597="On plan",0,F597)</f>
        <v/>
      </c>
    </row>
    <row r="598">
      <c r="A598">
        <f>'Raw Orders'!A598</f>
        <v/>
      </c>
      <c r="B598">
        <f>'Raw Orders'!B598</f>
        <v/>
      </c>
      <c r="C598">
        <f>'Raw Orders'!C598</f>
        <v/>
      </c>
      <c r="D598" s="13">
        <f>'Raw Orders'!E598</f>
        <v/>
      </c>
      <c r="E598" s="14">
        <f>'Raw Orders'!F598</f>
        <v/>
      </c>
      <c r="F598" s="14">
        <f>'Raw Orders'!F598*0.5</f>
        <v/>
      </c>
      <c r="G598" s="12">
        <f>'Raw Orders'!H598</f>
        <v/>
      </c>
      <c r="H598" s="12">
        <f>'Raw Orders'!I598</f>
        <v/>
      </c>
      <c r="I598" s="13">
        <f>'Raw Orders'!K598</f>
        <v/>
      </c>
      <c r="J598" s="13">
        <f>IF('Raw Orders'!J598,"",(YEAR('Raw Orders'!I598)-YEAR('Raw Orders'!H598))*12+MONTH('Raw Orders'!I598)-MONTH('Raw Orders'!H598))</f>
        <v/>
      </c>
      <c r="K598">
        <f>IF('Raw Orders'!J598,"Cancelled",IF('Raw Orders'!K598&gt;=2,"Slipped","On plan"))</f>
        <v/>
      </c>
      <c r="L598" s="14">
        <f>IF(K598="On plan",0,F598)</f>
        <v/>
      </c>
    </row>
    <row r="599">
      <c r="A599">
        <f>'Raw Orders'!A599</f>
        <v/>
      </c>
      <c r="B599">
        <f>'Raw Orders'!B599</f>
        <v/>
      </c>
      <c r="C599">
        <f>'Raw Orders'!C599</f>
        <v/>
      </c>
      <c r="D599" s="13">
        <f>'Raw Orders'!E599</f>
        <v/>
      </c>
      <c r="E599" s="14">
        <f>'Raw Orders'!F599</f>
        <v/>
      </c>
      <c r="F599" s="14">
        <f>'Raw Orders'!F599*0.5</f>
        <v/>
      </c>
      <c r="G599" s="12">
        <f>'Raw Orders'!H599</f>
        <v/>
      </c>
      <c r="H599" s="12">
        <f>'Raw Orders'!I599</f>
        <v/>
      </c>
      <c r="I599" s="13">
        <f>'Raw Orders'!K599</f>
        <v/>
      </c>
      <c r="J599" s="13">
        <f>IF('Raw Orders'!J599,"",(YEAR('Raw Orders'!I599)-YEAR('Raw Orders'!H599))*12+MONTH('Raw Orders'!I599)-MONTH('Raw Orders'!H599))</f>
        <v/>
      </c>
      <c r="K599">
        <f>IF('Raw Orders'!J599,"Cancelled",IF('Raw Orders'!K599&gt;=2,"Slipped","On plan"))</f>
        <v/>
      </c>
      <c r="L599" s="14">
        <f>IF(K599="On plan",0,F599)</f>
        <v/>
      </c>
    </row>
    <row r="600">
      <c r="A600">
        <f>'Raw Orders'!A600</f>
        <v/>
      </c>
      <c r="B600">
        <f>'Raw Orders'!B600</f>
        <v/>
      </c>
      <c r="C600">
        <f>'Raw Orders'!C600</f>
        <v/>
      </c>
      <c r="D600" s="13">
        <f>'Raw Orders'!E600</f>
        <v/>
      </c>
      <c r="E600" s="14">
        <f>'Raw Orders'!F600</f>
        <v/>
      </c>
      <c r="F600" s="14">
        <f>'Raw Orders'!F600*0.5</f>
        <v/>
      </c>
      <c r="G600" s="12">
        <f>'Raw Orders'!H600</f>
        <v/>
      </c>
      <c r="H600" s="12">
        <f>'Raw Orders'!I600</f>
        <v/>
      </c>
      <c r="I600" s="13">
        <f>'Raw Orders'!K600</f>
        <v/>
      </c>
      <c r="J600" s="13">
        <f>IF('Raw Orders'!J600,"",(YEAR('Raw Orders'!I600)-YEAR('Raw Orders'!H600))*12+MONTH('Raw Orders'!I600)-MONTH('Raw Orders'!H600))</f>
        <v/>
      </c>
      <c r="K600">
        <f>IF('Raw Orders'!J600,"Cancelled",IF('Raw Orders'!K600&gt;=2,"Slipped","On plan"))</f>
        <v/>
      </c>
      <c r="L600" s="14">
        <f>IF(K600="On plan",0,F600)</f>
        <v/>
      </c>
    </row>
    <row r="601">
      <c r="A601">
        <f>'Raw Orders'!A601</f>
        <v/>
      </c>
      <c r="B601">
        <f>'Raw Orders'!B601</f>
        <v/>
      </c>
      <c r="C601">
        <f>'Raw Orders'!C601</f>
        <v/>
      </c>
      <c r="D601" s="13">
        <f>'Raw Orders'!E601</f>
        <v/>
      </c>
      <c r="E601" s="14">
        <f>'Raw Orders'!F601</f>
        <v/>
      </c>
      <c r="F601" s="14">
        <f>'Raw Orders'!F601*0.5</f>
        <v/>
      </c>
      <c r="G601" s="12">
        <f>'Raw Orders'!H601</f>
        <v/>
      </c>
      <c r="H601" s="12">
        <f>'Raw Orders'!I601</f>
        <v/>
      </c>
      <c r="I601" s="13">
        <f>'Raw Orders'!K601</f>
        <v/>
      </c>
      <c r="J601" s="13">
        <f>IF('Raw Orders'!J601,"",(YEAR('Raw Orders'!I601)-YEAR('Raw Orders'!H601))*12+MONTH('Raw Orders'!I601)-MONTH('Raw Orders'!H601))</f>
        <v/>
      </c>
      <c r="K601">
        <f>IF('Raw Orders'!J601,"Cancelled",IF('Raw Orders'!K601&gt;=2,"Slipped","On plan"))</f>
        <v/>
      </c>
      <c r="L601" s="14">
        <f>IF(K601="On plan",0,F601)</f>
        <v/>
      </c>
    </row>
    <row r="602">
      <c r="A602">
        <f>'Raw Orders'!A602</f>
        <v/>
      </c>
      <c r="B602">
        <f>'Raw Orders'!B602</f>
        <v/>
      </c>
      <c r="C602">
        <f>'Raw Orders'!C602</f>
        <v/>
      </c>
      <c r="D602" s="13">
        <f>'Raw Orders'!E602</f>
        <v/>
      </c>
      <c r="E602" s="14">
        <f>'Raw Orders'!F602</f>
        <v/>
      </c>
      <c r="F602" s="14">
        <f>'Raw Orders'!F602*0.5</f>
        <v/>
      </c>
      <c r="G602" s="12">
        <f>'Raw Orders'!H602</f>
        <v/>
      </c>
      <c r="H602" s="12">
        <f>'Raw Orders'!I602</f>
        <v/>
      </c>
      <c r="I602" s="13">
        <f>'Raw Orders'!K602</f>
        <v/>
      </c>
      <c r="J602" s="13">
        <f>IF('Raw Orders'!J602,"",(YEAR('Raw Orders'!I602)-YEAR('Raw Orders'!H602))*12+MONTH('Raw Orders'!I602)-MONTH('Raw Orders'!H602))</f>
        <v/>
      </c>
      <c r="K602">
        <f>IF('Raw Orders'!J602,"Cancelled",IF('Raw Orders'!K602&gt;=2,"Slipped","On plan"))</f>
        <v/>
      </c>
      <c r="L602" s="14">
        <f>IF(K602="On plan",0,F602)</f>
        <v/>
      </c>
    </row>
    <row r="603">
      <c r="A603">
        <f>'Raw Orders'!A603</f>
        <v/>
      </c>
      <c r="B603">
        <f>'Raw Orders'!B603</f>
        <v/>
      </c>
      <c r="C603">
        <f>'Raw Orders'!C603</f>
        <v/>
      </c>
      <c r="D603" s="13">
        <f>'Raw Orders'!E603</f>
        <v/>
      </c>
      <c r="E603" s="14">
        <f>'Raw Orders'!F603</f>
        <v/>
      </c>
      <c r="F603" s="14">
        <f>'Raw Orders'!F603*0.5</f>
        <v/>
      </c>
      <c r="G603" s="12">
        <f>'Raw Orders'!H603</f>
        <v/>
      </c>
      <c r="H603" s="12">
        <f>'Raw Orders'!I603</f>
        <v/>
      </c>
      <c r="I603" s="13">
        <f>'Raw Orders'!K603</f>
        <v/>
      </c>
      <c r="J603" s="13">
        <f>IF('Raw Orders'!J603,"",(YEAR('Raw Orders'!I603)-YEAR('Raw Orders'!H603))*12+MONTH('Raw Orders'!I603)-MONTH('Raw Orders'!H603))</f>
        <v/>
      </c>
      <c r="K603">
        <f>IF('Raw Orders'!J603,"Cancelled",IF('Raw Orders'!K603&gt;=2,"Slipped","On plan"))</f>
        <v/>
      </c>
      <c r="L603" s="14">
        <f>IF(K603="On plan",0,F603)</f>
        <v/>
      </c>
    </row>
    <row r="604">
      <c r="A604">
        <f>'Raw Orders'!A604</f>
        <v/>
      </c>
      <c r="B604">
        <f>'Raw Orders'!B604</f>
        <v/>
      </c>
      <c r="C604">
        <f>'Raw Orders'!C604</f>
        <v/>
      </c>
      <c r="D604" s="13">
        <f>'Raw Orders'!E604</f>
        <v/>
      </c>
      <c r="E604" s="14">
        <f>'Raw Orders'!F604</f>
        <v/>
      </c>
      <c r="F604" s="14">
        <f>'Raw Orders'!F604*0.5</f>
        <v/>
      </c>
      <c r="G604" s="12">
        <f>'Raw Orders'!H604</f>
        <v/>
      </c>
      <c r="H604" s="12">
        <f>'Raw Orders'!I604</f>
        <v/>
      </c>
      <c r="I604" s="13">
        <f>'Raw Orders'!K604</f>
        <v/>
      </c>
      <c r="J604" s="13">
        <f>IF('Raw Orders'!J604,"",(YEAR('Raw Orders'!I604)-YEAR('Raw Orders'!H604))*12+MONTH('Raw Orders'!I604)-MONTH('Raw Orders'!H604))</f>
        <v/>
      </c>
      <c r="K604">
        <f>IF('Raw Orders'!J604,"Cancelled",IF('Raw Orders'!K604&gt;=2,"Slipped","On plan"))</f>
        <v/>
      </c>
      <c r="L604" s="14">
        <f>IF(K604="On plan",0,F604)</f>
        <v/>
      </c>
    </row>
    <row r="605">
      <c r="A605">
        <f>'Raw Orders'!A605</f>
        <v/>
      </c>
      <c r="B605">
        <f>'Raw Orders'!B605</f>
        <v/>
      </c>
      <c r="C605">
        <f>'Raw Orders'!C605</f>
        <v/>
      </c>
      <c r="D605" s="13">
        <f>'Raw Orders'!E605</f>
        <v/>
      </c>
      <c r="E605" s="14">
        <f>'Raw Orders'!F605</f>
        <v/>
      </c>
      <c r="F605" s="14">
        <f>'Raw Orders'!F605*0.5</f>
        <v/>
      </c>
      <c r="G605" s="12">
        <f>'Raw Orders'!H605</f>
        <v/>
      </c>
      <c r="H605" s="12">
        <f>'Raw Orders'!I605</f>
        <v/>
      </c>
      <c r="I605" s="13">
        <f>'Raw Orders'!K605</f>
        <v/>
      </c>
      <c r="J605" s="13">
        <f>IF('Raw Orders'!J605,"",(YEAR('Raw Orders'!I605)-YEAR('Raw Orders'!H605))*12+MONTH('Raw Orders'!I605)-MONTH('Raw Orders'!H605))</f>
        <v/>
      </c>
      <c r="K605">
        <f>IF('Raw Orders'!J605,"Cancelled",IF('Raw Orders'!K605&gt;=2,"Slipped","On plan"))</f>
        <v/>
      </c>
      <c r="L605" s="14">
        <f>IF(K605="On plan",0,F605)</f>
        <v/>
      </c>
    </row>
    <row r="606">
      <c r="A606">
        <f>'Raw Orders'!A606</f>
        <v/>
      </c>
      <c r="B606">
        <f>'Raw Orders'!B606</f>
        <v/>
      </c>
      <c r="C606">
        <f>'Raw Orders'!C606</f>
        <v/>
      </c>
      <c r="D606" s="13">
        <f>'Raw Orders'!E606</f>
        <v/>
      </c>
      <c r="E606" s="14">
        <f>'Raw Orders'!F606</f>
        <v/>
      </c>
      <c r="F606" s="14">
        <f>'Raw Orders'!F606*0.5</f>
        <v/>
      </c>
      <c r="G606" s="12">
        <f>'Raw Orders'!H606</f>
        <v/>
      </c>
      <c r="H606" s="12">
        <f>'Raw Orders'!I606</f>
        <v/>
      </c>
      <c r="I606" s="13">
        <f>'Raw Orders'!K606</f>
        <v/>
      </c>
      <c r="J606" s="13">
        <f>IF('Raw Orders'!J606,"",(YEAR('Raw Orders'!I606)-YEAR('Raw Orders'!H606))*12+MONTH('Raw Orders'!I606)-MONTH('Raw Orders'!H606))</f>
        <v/>
      </c>
      <c r="K606">
        <f>IF('Raw Orders'!J606,"Cancelled",IF('Raw Orders'!K606&gt;=2,"Slipped","On plan"))</f>
        <v/>
      </c>
      <c r="L606" s="14">
        <f>IF(K606="On plan",0,F606)</f>
        <v/>
      </c>
    </row>
    <row r="607">
      <c r="A607">
        <f>'Raw Orders'!A607</f>
        <v/>
      </c>
      <c r="B607">
        <f>'Raw Orders'!B607</f>
        <v/>
      </c>
      <c r="C607">
        <f>'Raw Orders'!C607</f>
        <v/>
      </c>
      <c r="D607" s="13">
        <f>'Raw Orders'!E607</f>
        <v/>
      </c>
      <c r="E607" s="14">
        <f>'Raw Orders'!F607</f>
        <v/>
      </c>
      <c r="F607" s="14">
        <f>'Raw Orders'!F607*0.5</f>
        <v/>
      </c>
      <c r="G607" s="12">
        <f>'Raw Orders'!H607</f>
        <v/>
      </c>
      <c r="H607" s="12">
        <f>'Raw Orders'!I607</f>
        <v/>
      </c>
      <c r="I607" s="13">
        <f>'Raw Orders'!K607</f>
        <v/>
      </c>
      <c r="J607" s="13">
        <f>IF('Raw Orders'!J607,"",(YEAR('Raw Orders'!I607)-YEAR('Raw Orders'!H607))*12+MONTH('Raw Orders'!I607)-MONTH('Raw Orders'!H607))</f>
        <v/>
      </c>
      <c r="K607">
        <f>IF('Raw Orders'!J607,"Cancelled",IF('Raw Orders'!K607&gt;=2,"Slipped","On plan"))</f>
        <v/>
      </c>
      <c r="L607" s="14">
        <f>IF(K607="On plan",0,F607)</f>
        <v/>
      </c>
    </row>
    <row r="608">
      <c r="A608">
        <f>'Raw Orders'!A608</f>
        <v/>
      </c>
      <c r="B608">
        <f>'Raw Orders'!B608</f>
        <v/>
      </c>
      <c r="C608">
        <f>'Raw Orders'!C608</f>
        <v/>
      </c>
      <c r="D608" s="13">
        <f>'Raw Orders'!E608</f>
        <v/>
      </c>
      <c r="E608" s="14">
        <f>'Raw Orders'!F608</f>
        <v/>
      </c>
      <c r="F608" s="14">
        <f>'Raw Orders'!F608*0.5</f>
        <v/>
      </c>
      <c r="G608" s="12">
        <f>'Raw Orders'!H608</f>
        <v/>
      </c>
      <c r="H608" s="12">
        <f>'Raw Orders'!I608</f>
        <v/>
      </c>
      <c r="I608" s="13">
        <f>'Raw Orders'!K608</f>
        <v/>
      </c>
      <c r="J608" s="13">
        <f>IF('Raw Orders'!J608,"",(YEAR('Raw Orders'!I608)-YEAR('Raw Orders'!H608))*12+MONTH('Raw Orders'!I608)-MONTH('Raw Orders'!H608))</f>
        <v/>
      </c>
      <c r="K608">
        <f>IF('Raw Orders'!J608,"Cancelled",IF('Raw Orders'!K608&gt;=2,"Slipped","On plan"))</f>
        <v/>
      </c>
      <c r="L608" s="14">
        <f>IF(K608="On plan",0,F608)</f>
        <v/>
      </c>
    </row>
    <row r="609">
      <c r="A609">
        <f>'Raw Orders'!A609</f>
        <v/>
      </c>
      <c r="B609">
        <f>'Raw Orders'!B609</f>
        <v/>
      </c>
      <c r="C609">
        <f>'Raw Orders'!C609</f>
        <v/>
      </c>
      <c r="D609" s="13">
        <f>'Raw Orders'!E609</f>
        <v/>
      </c>
      <c r="E609" s="14">
        <f>'Raw Orders'!F609</f>
        <v/>
      </c>
      <c r="F609" s="14">
        <f>'Raw Orders'!F609*0.5</f>
        <v/>
      </c>
      <c r="G609" s="12">
        <f>'Raw Orders'!H609</f>
        <v/>
      </c>
      <c r="H609" s="12">
        <f>'Raw Orders'!I609</f>
        <v/>
      </c>
      <c r="I609" s="13">
        <f>'Raw Orders'!K609</f>
        <v/>
      </c>
      <c r="J609" s="13">
        <f>IF('Raw Orders'!J609,"",(YEAR('Raw Orders'!I609)-YEAR('Raw Orders'!H609))*12+MONTH('Raw Orders'!I609)-MONTH('Raw Orders'!H609))</f>
        <v/>
      </c>
      <c r="K609">
        <f>IF('Raw Orders'!J609,"Cancelled",IF('Raw Orders'!K609&gt;=2,"Slipped","On plan"))</f>
        <v/>
      </c>
      <c r="L609" s="14">
        <f>IF(K609="On plan",0,F609)</f>
        <v/>
      </c>
    </row>
    <row r="610">
      <c r="A610">
        <f>'Raw Orders'!A610</f>
        <v/>
      </c>
      <c r="B610">
        <f>'Raw Orders'!B610</f>
        <v/>
      </c>
      <c r="C610">
        <f>'Raw Orders'!C610</f>
        <v/>
      </c>
      <c r="D610" s="13">
        <f>'Raw Orders'!E610</f>
        <v/>
      </c>
      <c r="E610" s="14">
        <f>'Raw Orders'!F610</f>
        <v/>
      </c>
      <c r="F610" s="14">
        <f>'Raw Orders'!F610*0.5</f>
        <v/>
      </c>
      <c r="G610" s="12">
        <f>'Raw Orders'!H610</f>
        <v/>
      </c>
      <c r="H610" s="12">
        <f>'Raw Orders'!I610</f>
        <v/>
      </c>
      <c r="I610" s="13">
        <f>'Raw Orders'!K610</f>
        <v/>
      </c>
      <c r="J610" s="13">
        <f>IF('Raw Orders'!J610,"",(YEAR('Raw Orders'!I610)-YEAR('Raw Orders'!H610))*12+MONTH('Raw Orders'!I610)-MONTH('Raw Orders'!H610))</f>
        <v/>
      </c>
      <c r="K610">
        <f>IF('Raw Orders'!J610,"Cancelled",IF('Raw Orders'!K610&gt;=2,"Slipped","On plan"))</f>
        <v/>
      </c>
      <c r="L610" s="14">
        <f>IF(K610="On plan",0,F610)</f>
        <v/>
      </c>
    </row>
    <row r="611">
      <c r="A611">
        <f>'Raw Orders'!A611</f>
        <v/>
      </c>
      <c r="B611">
        <f>'Raw Orders'!B611</f>
        <v/>
      </c>
      <c r="C611">
        <f>'Raw Orders'!C611</f>
        <v/>
      </c>
      <c r="D611" s="13">
        <f>'Raw Orders'!E611</f>
        <v/>
      </c>
      <c r="E611" s="14">
        <f>'Raw Orders'!F611</f>
        <v/>
      </c>
      <c r="F611" s="14">
        <f>'Raw Orders'!F611*0.5</f>
        <v/>
      </c>
      <c r="G611" s="12">
        <f>'Raw Orders'!H611</f>
        <v/>
      </c>
      <c r="H611" s="12">
        <f>'Raw Orders'!I611</f>
        <v/>
      </c>
      <c r="I611" s="13">
        <f>'Raw Orders'!K611</f>
        <v/>
      </c>
      <c r="J611" s="13">
        <f>IF('Raw Orders'!J611,"",(YEAR('Raw Orders'!I611)-YEAR('Raw Orders'!H611))*12+MONTH('Raw Orders'!I611)-MONTH('Raw Orders'!H611))</f>
        <v/>
      </c>
      <c r="K611">
        <f>IF('Raw Orders'!J611,"Cancelled",IF('Raw Orders'!K611&gt;=2,"Slipped","On plan"))</f>
        <v/>
      </c>
      <c r="L611" s="14">
        <f>IF(K611="On plan",0,F611)</f>
        <v/>
      </c>
    </row>
    <row r="612">
      <c r="A612">
        <f>'Raw Orders'!A612</f>
        <v/>
      </c>
      <c r="B612">
        <f>'Raw Orders'!B612</f>
        <v/>
      </c>
      <c r="C612">
        <f>'Raw Orders'!C612</f>
        <v/>
      </c>
      <c r="D612" s="13">
        <f>'Raw Orders'!E612</f>
        <v/>
      </c>
      <c r="E612" s="14">
        <f>'Raw Orders'!F612</f>
        <v/>
      </c>
      <c r="F612" s="14">
        <f>'Raw Orders'!F612*0.5</f>
        <v/>
      </c>
      <c r="G612" s="12">
        <f>'Raw Orders'!H612</f>
        <v/>
      </c>
      <c r="H612" s="12">
        <f>'Raw Orders'!I612</f>
        <v/>
      </c>
      <c r="I612" s="13">
        <f>'Raw Orders'!K612</f>
        <v/>
      </c>
      <c r="J612" s="13">
        <f>IF('Raw Orders'!J612,"",(YEAR('Raw Orders'!I612)-YEAR('Raw Orders'!H612))*12+MONTH('Raw Orders'!I612)-MONTH('Raw Orders'!H612))</f>
        <v/>
      </c>
      <c r="K612">
        <f>IF('Raw Orders'!J612,"Cancelled",IF('Raw Orders'!K612&gt;=2,"Slipped","On plan"))</f>
        <v/>
      </c>
      <c r="L612" s="14">
        <f>IF(K612="On plan",0,F612)</f>
        <v/>
      </c>
    </row>
    <row r="613">
      <c r="A613">
        <f>'Raw Orders'!A613</f>
        <v/>
      </c>
      <c r="B613">
        <f>'Raw Orders'!B613</f>
        <v/>
      </c>
      <c r="C613">
        <f>'Raw Orders'!C613</f>
        <v/>
      </c>
      <c r="D613" s="13">
        <f>'Raw Orders'!E613</f>
        <v/>
      </c>
      <c r="E613" s="14">
        <f>'Raw Orders'!F613</f>
        <v/>
      </c>
      <c r="F613" s="14">
        <f>'Raw Orders'!F613*0.5</f>
        <v/>
      </c>
      <c r="G613" s="12">
        <f>'Raw Orders'!H613</f>
        <v/>
      </c>
      <c r="H613" s="12">
        <f>'Raw Orders'!I613</f>
        <v/>
      </c>
      <c r="I613" s="13">
        <f>'Raw Orders'!K613</f>
        <v/>
      </c>
      <c r="J613" s="13">
        <f>IF('Raw Orders'!J613,"",(YEAR('Raw Orders'!I613)-YEAR('Raw Orders'!H613))*12+MONTH('Raw Orders'!I613)-MONTH('Raw Orders'!H613))</f>
        <v/>
      </c>
      <c r="K613">
        <f>IF('Raw Orders'!J613,"Cancelled",IF('Raw Orders'!K613&gt;=2,"Slipped","On plan"))</f>
        <v/>
      </c>
      <c r="L613" s="14">
        <f>IF(K613="On plan",0,F613)</f>
        <v/>
      </c>
    </row>
    <row r="614">
      <c r="A614">
        <f>'Raw Orders'!A614</f>
        <v/>
      </c>
      <c r="B614">
        <f>'Raw Orders'!B614</f>
        <v/>
      </c>
      <c r="C614">
        <f>'Raw Orders'!C614</f>
        <v/>
      </c>
      <c r="D614" s="13">
        <f>'Raw Orders'!E614</f>
        <v/>
      </c>
      <c r="E614" s="14">
        <f>'Raw Orders'!F614</f>
        <v/>
      </c>
      <c r="F614" s="14">
        <f>'Raw Orders'!F614*0.5</f>
        <v/>
      </c>
      <c r="G614" s="12">
        <f>'Raw Orders'!H614</f>
        <v/>
      </c>
      <c r="H614" s="12">
        <f>'Raw Orders'!I614</f>
        <v/>
      </c>
      <c r="I614" s="13">
        <f>'Raw Orders'!K614</f>
        <v/>
      </c>
      <c r="J614" s="13">
        <f>IF('Raw Orders'!J614,"",(YEAR('Raw Orders'!I614)-YEAR('Raw Orders'!H614))*12+MONTH('Raw Orders'!I614)-MONTH('Raw Orders'!H614))</f>
        <v/>
      </c>
      <c r="K614">
        <f>IF('Raw Orders'!J614,"Cancelled",IF('Raw Orders'!K614&gt;=2,"Slipped","On plan"))</f>
        <v/>
      </c>
      <c r="L614" s="14">
        <f>IF(K614="On plan",0,F614)</f>
        <v/>
      </c>
    </row>
    <row r="615">
      <c r="A615">
        <f>'Raw Orders'!A615</f>
        <v/>
      </c>
      <c r="B615">
        <f>'Raw Orders'!B615</f>
        <v/>
      </c>
      <c r="C615">
        <f>'Raw Orders'!C615</f>
        <v/>
      </c>
      <c r="D615" s="13">
        <f>'Raw Orders'!E615</f>
        <v/>
      </c>
      <c r="E615" s="14">
        <f>'Raw Orders'!F615</f>
        <v/>
      </c>
      <c r="F615" s="14">
        <f>'Raw Orders'!F615*0.5</f>
        <v/>
      </c>
      <c r="G615" s="12">
        <f>'Raw Orders'!H615</f>
        <v/>
      </c>
      <c r="H615" s="12">
        <f>'Raw Orders'!I615</f>
        <v/>
      </c>
      <c r="I615" s="13">
        <f>'Raw Orders'!K615</f>
        <v/>
      </c>
      <c r="J615" s="13">
        <f>IF('Raw Orders'!J615,"",(YEAR('Raw Orders'!I615)-YEAR('Raw Orders'!H615))*12+MONTH('Raw Orders'!I615)-MONTH('Raw Orders'!H615))</f>
        <v/>
      </c>
      <c r="K615">
        <f>IF('Raw Orders'!J615,"Cancelled",IF('Raw Orders'!K615&gt;=2,"Slipped","On plan"))</f>
        <v/>
      </c>
      <c r="L615" s="14">
        <f>IF(K615="On plan",0,F615)</f>
        <v/>
      </c>
    </row>
    <row r="616">
      <c r="A616">
        <f>'Raw Orders'!A616</f>
        <v/>
      </c>
      <c r="B616">
        <f>'Raw Orders'!B616</f>
        <v/>
      </c>
      <c r="C616">
        <f>'Raw Orders'!C616</f>
        <v/>
      </c>
      <c r="D616" s="13">
        <f>'Raw Orders'!E616</f>
        <v/>
      </c>
      <c r="E616" s="14">
        <f>'Raw Orders'!F616</f>
        <v/>
      </c>
      <c r="F616" s="14">
        <f>'Raw Orders'!F616*0.5</f>
        <v/>
      </c>
      <c r="G616" s="12">
        <f>'Raw Orders'!H616</f>
        <v/>
      </c>
      <c r="H616" s="12">
        <f>'Raw Orders'!I616</f>
        <v/>
      </c>
      <c r="I616" s="13">
        <f>'Raw Orders'!K616</f>
        <v/>
      </c>
      <c r="J616" s="13">
        <f>IF('Raw Orders'!J616,"",(YEAR('Raw Orders'!I616)-YEAR('Raw Orders'!H616))*12+MONTH('Raw Orders'!I616)-MONTH('Raw Orders'!H616))</f>
        <v/>
      </c>
      <c r="K616">
        <f>IF('Raw Orders'!J616,"Cancelled",IF('Raw Orders'!K616&gt;=2,"Slipped","On plan"))</f>
        <v/>
      </c>
      <c r="L616" s="14">
        <f>IF(K616="On plan",0,F616)</f>
        <v/>
      </c>
    </row>
    <row r="617">
      <c r="A617">
        <f>'Raw Orders'!A617</f>
        <v/>
      </c>
      <c r="B617">
        <f>'Raw Orders'!B617</f>
        <v/>
      </c>
      <c r="C617">
        <f>'Raw Orders'!C617</f>
        <v/>
      </c>
      <c r="D617" s="13">
        <f>'Raw Orders'!E617</f>
        <v/>
      </c>
      <c r="E617" s="14">
        <f>'Raw Orders'!F617</f>
        <v/>
      </c>
      <c r="F617" s="14">
        <f>'Raw Orders'!F617*0.5</f>
        <v/>
      </c>
      <c r="G617" s="12">
        <f>'Raw Orders'!H617</f>
        <v/>
      </c>
      <c r="H617" s="12">
        <f>'Raw Orders'!I617</f>
        <v/>
      </c>
      <c r="I617" s="13">
        <f>'Raw Orders'!K617</f>
        <v/>
      </c>
      <c r="J617" s="13">
        <f>IF('Raw Orders'!J617,"",(YEAR('Raw Orders'!I617)-YEAR('Raw Orders'!H617))*12+MONTH('Raw Orders'!I617)-MONTH('Raw Orders'!H617))</f>
        <v/>
      </c>
      <c r="K617">
        <f>IF('Raw Orders'!J617,"Cancelled",IF('Raw Orders'!K617&gt;=2,"Slipped","On plan"))</f>
        <v/>
      </c>
      <c r="L617" s="14">
        <f>IF(K617="On plan",0,F617)</f>
        <v/>
      </c>
    </row>
    <row r="618">
      <c r="A618">
        <f>'Raw Orders'!A618</f>
        <v/>
      </c>
      <c r="B618">
        <f>'Raw Orders'!B618</f>
        <v/>
      </c>
      <c r="C618">
        <f>'Raw Orders'!C618</f>
        <v/>
      </c>
      <c r="D618" s="13">
        <f>'Raw Orders'!E618</f>
        <v/>
      </c>
      <c r="E618" s="14">
        <f>'Raw Orders'!F618</f>
        <v/>
      </c>
      <c r="F618" s="14">
        <f>'Raw Orders'!F618*0.5</f>
        <v/>
      </c>
      <c r="G618" s="12">
        <f>'Raw Orders'!H618</f>
        <v/>
      </c>
      <c r="H618" s="12">
        <f>'Raw Orders'!I618</f>
        <v/>
      </c>
      <c r="I618" s="13">
        <f>'Raw Orders'!K618</f>
        <v/>
      </c>
      <c r="J618" s="13">
        <f>IF('Raw Orders'!J618,"",(YEAR('Raw Orders'!I618)-YEAR('Raw Orders'!H618))*12+MONTH('Raw Orders'!I618)-MONTH('Raw Orders'!H618))</f>
        <v/>
      </c>
      <c r="K618">
        <f>IF('Raw Orders'!J618,"Cancelled",IF('Raw Orders'!K618&gt;=2,"Slipped","On plan"))</f>
        <v/>
      </c>
      <c r="L618" s="14">
        <f>IF(K618="On plan",0,F618)</f>
        <v/>
      </c>
    </row>
    <row r="619">
      <c r="A619">
        <f>'Raw Orders'!A619</f>
        <v/>
      </c>
      <c r="B619">
        <f>'Raw Orders'!B619</f>
        <v/>
      </c>
      <c r="C619">
        <f>'Raw Orders'!C619</f>
        <v/>
      </c>
      <c r="D619" s="13">
        <f>'Raw Orders'!E619</f>
        <v/>
      </c>
      <c r="E619" s="14">
        <f>'Raw Orders'!F619</f>
        <v/>
      </c>
      <c r="F619" s="14">
        <f>'Raw Orders'!F619*0.5</f>
        <v/>
      </c>
      <c r="G619" s="12">
        <f>'Raw Orders'!H619</f>
        <v/>
      </c>
      <c r="H619" s="12">
        <f>'Raw Orders'!I619</f>
        <v/>
      </c>
      <c r="I619" s="13">
        <f>'Raw Orders'!K619</f>
        <v/>
      </c>
      <c r="J619" s="13">
        <f>IF('Raw Orders'!J619,"",(YEAR('Raw Orders'!I619)-YEAR('Raw Orders'!H619))*12+MONTH('Raw Orders'!I619)-MONTH('Raw Orders'!H619))</f>
        <v/>
      </c>
      <c r="K619">
        <f>IF('Raw Orders'!J619,"Cancelled",IF('Raw Orders'!K619&gt;=2,"Slipped","On plan"))</f>
        <v/>
      </c>
      <c r="L619" s="14">
        <f>IF(K619="On plan",0,F619)</f>
        <v/>
      </c>
    </row>
    <row r="620">
      <c r="A620">
        <f>'Raw Orders'!A620</f>
        <v/>
      </c>
      <c r="B620">
        <f>'Raw Orders'!B620</f>
        <v/>
      </c>
      <c r="C620">
        <f>'Raw Orders'!C620</f>
        <v/>
      </c>
      <c r="D620" s="13">
        <f>'Raw Orders'!E620</f>
        <v/>
      </c>
      <c r="E620" s="14">
        <f>'Raw Orders'!F620</f>
        <v/>
      </c>
      <c r="F620" s="14">
        <f>'Raw Orders'!F620*0.5</f>
        <v/>
      </c>
      <c r="G620" s="12">
        <f>'Raw Orders'!H620</f>
        <v/>
      </c>
      <c r="H620" s="12">
        <f>'Raw Orders'!I620</f>
        <v/>
      </c>
      <c r="I620" s="13">
        <f>'Raw Orders'!K620</f>
        <v/>
      </c>
      <c r="J620" s="13">
        <f>IF('Raw Orders'!J620,"",(YEAR('Raw Orders'!I620)-YEAR('Raw Orders'!H620))*12+MONTH('Raw Orders'!I620)-MONTH('Raw Orders'!H620))</f>
        <v/>
      </c>
      <c r="K620">
        <f>IF('Raw Orders'!J620,"Cancelled",IF('Raw Orders'!K620&gt;=2,"Slipped","On plan"))</f>
        <v/>
      </c>
      <c r="L620" s="14">
        <f>IF(K620="On plan",0,F620)</f>
        <v/>
      </c>
    </row>
    <row r="621">
      <c r="A621">
        <f>'Raw Orders'!A621</f>
        <v/>
      </c>
      <c r="B621">
        <f>'Raw Orders'!B621</f>
        <v/>
      </c>
      <c r="C621">
        <f>'Raw Orders'!C621</f>
        <v/>
      </c>
      <c r="D621" s="13">
        <f>'Raw Orders'!E621</f>
        <v/>
      </c>
      <c r="E621" s="14">
        <f>'Raw Orders'!F621</f>
        <v/>
      </c>
      <c r="F621" s="14">
        <f>'Raw Orders'!F621*0.5</f>
        <v/>
      </c>
      <c r="G621" s="12">
        <f>'Raw Orders'!H621</f>
        <v/>
      </c>
      <c r="H621" s="12">
        <f>'Raw Orders'!I621</f>
        <v/>
      </c>
      <c r="I621" s="13">
        <f>'Raw Orders'!K621</f>
        <v/>
      </c>
      <c r="J621" s="13">
        <f>IF('Raw Orders'!J621,"",(YEAR('Raw Orders'!I621)-YEAR('Raw Orders'!H621))*12+MONTH('Raw Orders'!I621)-MONTH('Raw Orders'!H621))</f>
        <v/>
      </c>
      <c r="K621">
        <f>IF('Raw Orders'!J621,"Cancelled",IF('Raw Orders'!K621&gt;=2,"Slipped","On plan"))</f>
        <v/>
      </c>
      <c r="L621" s="14">
        <f>IF(K621="On plan",0,F621)</f>
        <v/>
      </c>
    </row>
    <row r="622">
      <c r="A622">
        <f>'Raw Orders'!A622</f>
        <v/>
      </c>
      <c r="B622">
        <f>'Raw Orders'!B622</f>
        <v/>
      </c>
      <c r="C622">
        <f>'Raw Orders'!C622</f>
        <v/>
      </c>
      <c r="D622" s="13">
        <f>'Raw Orders'!E622</f>
        <v/>
      </c>
      <c r="E622" s="14">
        <f>'Raw Orders'!F622</f>
        <v/>
      </c>
      <c r="F622" s="14">
        <f>'Raw Orders'!F622*0.5</f>
        <v/>
      </c>
      <c r="G622" s="12">
        <f>'Raw Orders'!H622</f>
        <v/>
      </c>
      <c r="H622" s="12">
        <f>'Raw Orders'!I622</f>
        <v/>
      </c>
      <c r="I622" s="13">
        <f>'Raw Orders'!K622</f>
        <v/>
      </c>
      <c r="J622" s="13">
        <f>IF('Raw Orders'!J622,"",(YEAR('Raw Orders'!I622)-YEAR('Raw Orders'!H622))*12+MONTH('Raw Orders'!I622)-MONTH('Raw Orders'!H622))</f>
        <v/>
      </c>
      <c r="K622">
        <f>IF('Raw Orders'!J622,"Cancelled",IF('Raw Orders'!K622&gt;=2,"Slipped","On plan"))</f>
        <v/>
      </c>
      <c r="L622" s="14">
        <f>IF(K622="On plan",0,F622)</f>
        <v/>
      </c>
    </row>
    <row r="623">
      <c r="A623">
        <f>'Raw Orders'!A623</f>
        <v/>
      </c>
      <c r="B623">
        <f>'Raw Orders'!B623</f>
        <v/>
      </c>
      <c r="C623">
        <f>'Raw Orders'!C623</f>
        <v/>
      </c>
      <c r="D623" s="13">
        <f>'Raw Orders'!E623</f>
        <v/>
      </c>
      <c r="E623" s="14">
        <f>'Raw Orders'!F623</f>
        <v/>
      </c>
      <c r="F623" s="14">
        <f>'Raw Orders'!F623*0.5</f>
        <v/>
      </c>
      <c r="G623" s="12">
        <f>'Raw Orders'!H623</f>
        <v/>
      </c>
      <c r="H623" s="12">
        <f>'Raw Orders'!I623</f>
        <v/>
      </c>
      <c r="I623" s="13">
        <f>'Raw Orders'!K623</f>
        <v/>
      </c>
      <c r="J623" s="13">
        <f>IF('Raw Orders'!J623,"",(YEAR('Raw Orders'!I623)-YEAR('Raw Orders'!H623))*12+MONTH('Raw Orders'!I623)-MONTH('Raw Orders'!H623))</f>
        <v/>
      </c>
      <c r="K623">
        <f>IF('Raw Orders'!J623,"Cancelled",IF('Raw Orders'!K623&gt;=2,"Slipped","On plan"))</f>
        <v/>
      </c>
      <c r="L623" s="14">
        <f>IF(K623="On plan",0,F623)</f>
        <v/>
      </c>
    </row>
    <row r="624">
      <c r="A624">
        <f>'Raw Orders'!A624</f>
        <v/>
      </c>
      <c r="B624">
        <f>'Raw Orders'!B624</f>
        <v/>
      </c>
      <c r="C624">
        <f>'Raw Orders'!C624</f>
        <v/>
      </c>
      <c r="D624" s="13">
        <f>'Raw Orders'!E624</f>
        <v/>
      </c>
      <c r="E624" s="14">
        <f>'Raw Orders'!F624</f>
        <v/>
      </c>
      <c r="F624" s="14">
        <f>'Raw Orders'!F624*0.5</f>
        <v/>
      </c>
      <c r="G624" s="12">
        <f>'Raw Orders'!H624</f>
        <v/>
      </c>
      <c r="H624" s="12">
        <f>'Raw Orders'!I624</f>
        <v/>
      </c>
      <c r="I624" s="13">
        <f>'Raw Orders'!K624</f>
        <v/>
      </c>
      <c r="J624" s="13">
        <f>IF('Raw Orders'!J624,"",(YEAR('Raw Orders'!I624)-YEAR('Raw Orders'!H624))*12+MONTH('Raw Orders'!I624)-MONTH('Raw Orders'!H624))</f>
        <v/>
      </c>
      <c r="K624">
        <f>IF('Raw Orders'!J624,"Cancelled",IF('Raw Orders'!K624&gt;=2,"Slipped","On plan"))</f>
        <v/>
      </c>
      <c r="L624" s="14">
        <f>IF(K624="On plan",0,F624)</f>
        <v/>
      </c>
    </row>
    <row r="625">
      <c r="A625">
        <f>'Raw Orders'!A625</f>
        <v/>
      </c>
      <c r="B625">
        <f>'Raw Orders'!B625</f>
        <v/>
      </c>
      <c r="C625">
        <f>'Raw Orders'!C625</f>
        <v/>
      </c>
      <c r="D625" s="13">
        <f>'Raw Orders'!E625</f>
        <v/>
      </c>
      <c r="E625" s="14">
        <f>'Raw Orders'!F625</f>
        <v/>
      </c>
      <c r="F625" s="14">
        <f>'Raw Orders'!F625*0.5</f>
        <v/>
      </c>
      <c r="G625" s="12">
        <f>'Raw Orders'!H625</f>
        <v/>
      </c>
      <c r="H625" s="12">
        <f>'Raw Orders'!I625</f>
        <v/>
      </c>
      <c r="I625" s="13">
        <f>'Raw Orders'!K625</f>
        <v/>
      </c>
      <c r="J625" s="13">
        <f>IF('Raw Orders'!J625,"",(YEAR('Raw Orders'!I625)-YEAR('Raw Orders'!H625))*12+MONTH('Raw Orders'!I625)-MONTH('Raw Orders'!H625))</f>
        <v/>
      </c>
      <c r="K625">
        <f>IF('Raw Orders'!J625,"Cancelled",IF('Raw Orders'!K625&gt;=2,"Slipped","On plan"))</f>
        <v/>
      </c>
      <c r="L625" s="14">
        <f>IF(K625="On plan",0,F625)</f>
        <v/>
      </c>
    </row>
    <row r="626">
      <c r="A626">
        <f>'Raw Orders'!A626</f>
        <v/>
      </c>
      <c r="B626">
        <f>'Raw Orders'!B626</f>
        <v/>
      </c>
      <c r="C626">
        <f>'Raw Orders'!C626</f>
        <v/>
      </c>
      <c r="D626" s="13">
        <f>'Raw Orders'!E626</f>
        <v/>
      </c>
      <c r="E626" s="14">
        <f>'Raw Orders'!F626</f>
        <v/>
      </c>
      <c r="F626" s="14">
        <f>'Raw Orders'!F626*0.5</f>
        <v/>
      </c>
      <c r="G626" s="12">
        <f>'Raw Orders'!H626</f>
        <v/>
      </c>
      <c r="H626" s="12">
        <f>'Raw Orders'!I626</f>
        <v/>
      </c>
      <c r="I626" s="13">
        <f>'Raw Orders'!K626</f>
        <v/>
      </c>
      <c r="J626" s="13">
        <f>IF('Raw Orders'!J626,"",(YEAR('Raw Orders'!I626)-YEAR('Raw Orders'!H626))*12+MONTH('Raw Orders'!I626)-MONTH('Raw Orders'!H626))</f>
        <v/>
      </c>
      <c r="K626">
        <f>IF('Raw Orders'!J626,"Cancelled",IF('Raw Orders'!K626&gt;=2,"Slipped","On plan"))</f>
        <v/>
      </c>
      <c r="L626" s="14">
        <f>IF(K626="On plan",0,F626)</f>
        <v/>
      </c>
    </row>
    <row r="627">
      <c r="A627">
        <f>'Raw Orders'!A627</f>
        <v/>
      </c>
      <c r="B627">
        <f>'Raw Orders'!B627</f>
        <v/>
      </c>
      <c r="C627">
        <f>'Raw Orders'!C627</f>
        <v/>
      </c>
      <c r="D627" s="13">
        <f>'Raw Orders'!E627</f>
        <v/>
      </c>
      <c r="E627" s="14">
        <f>'Raw Orders'!F627</f>
        <v/>
      </c>
      <c r="F627" s="14">
        <f>'Raw Orders'!F627*0.5</f>
        <v/>
      </c>
      <c r="G627" s="12">
        <f>'Raw Orders'!H627</f>
        <v/>
      </c>
      <c r="H627" s="12">
        <f>'Raw Orders'!I627</f>
        <v/>
      </c>
      <c r="I627" s="13">
        <f>'Raw Orders'!K627</f>
        <v/>
      </c>
      <c r="J627" s="13">
        <f>IF('Raw Orders'!J627,"",(YEAR('Raw Orders'!I627)-YEAR('Raw Orders'!H627))*12+MONTH('Raw Orders'!I627)-MONTH('Raw Orders'!H627))</f>
        <v/>
      </c>
      <c r="K627">
        <f>IF('Raw Orders'!J627,"Cancelled",IF('Raw Orders'!K627&gt;=2,"Slipped","On plan"))</f>
        <v/>
      </c>
      <c r="L627" s="14">
        <f>IF(K627="On plan",0,F627)</f>
        <v/>
      </c>
    </row>
    <row r="628">
      <c r="A628">
        <f>'Raw Orders'!A628</f>
        <v/>
      </c>
      <c r="B628">
        <f>'Raw Orders'!B628</f>
        <v/>
      </c>
      <c r="C628">
        <f>'Raw Orders'!C628</f>
        <v/>
      </c>
      <c r="D628" s="13">
        <f>'Raw Orders'!E628</f>
        <v/>
      </c>
      <c r="E628" s="14">
        <f>'Raw Orders'!F628</f>
        <v/>
      </c>
      <c r="F628" s="14">
        <f>'Raw Orders'!F628*0.5</f>
        <v/>
      </c>
      <c r="G628" s="12">
        <f>'Raw Orders'!H628</f>
        <v/>
      </c>
      <c r="H628" s="12">
        <f>'Raw Orders'!I628</f>
        <v/>
      </c>
      <c r="I628" s="13">
        <f>'Raw Orders'!K628</f>
        <v/>
      </c>
      <c r="J628" s="13">
        <f>IF('Raw Orders'!J628,"",(YEAR('Raw Orders'!I628)-YEAR('Raw Orders'!H628))*12+MONTH('Raw Orders'!I628)-MONTH('Raw Orders'!H628))</f>
        <v/>
      </c>
      <c r="K628">
        <f>IF('Raw Orders'!J628,"Cancelled",IF('Raw Orders'!K628&gt;=2,"Slipped","On plan"))</f>
        <v/>
      </c>
      <c r="L628" s="14">
        <f>IF(K628="On plan",0,F628)</f>
        <v/>
      </c>
    </row>
    <row r="629">
      <c r="A629">
        <f>'Raw Orders'!A629</f>
        <v/>
      </c>
      <c r="B629">
        <f>'Raw Orders'!B629</f>
        <v/>
      </c>
      <c r="C629">
        <f>'Raw Orders'!C629</f>
        <v/>
      </c>
      <c r="D629" s="13">
        <f>'Raw Orders'!E629</f>
        <v/>
      </c>
      <c r="E629" s="14">
        <f>'Raw Orders'!F629</f>
        <v/>
      </c>
      <c r="F629" s="14">
        <f>'Raw Orders'!F629*0.5</f>
        <v/>
      </c>
      <c r="G629" s="12">
        <f>'Raw Orders'!H629</f>
        <v/>
      </c>
      <c r="H629" s="12">
        <f>'Raw Orders'!I629</f>
        <v/>
      </c>
      <c r="I629" s="13">
        <f>'Raw Orders'!K629</f>
        <v/>
      </c>
      <c r="J629" s="13">
        <f>IF('Raw Orders'!J629,"",(YEAR('Raw Orders'!I629)-YEAR('Raw Orders'!H629))*12+MONTH('Raw Orders'!I629)-MONTH('Raw Orders'!H629))</f>
        <v/>
      </c>
      <c r="K629">
        <f>IF('Raw Orders'!J629,"Cancelled",IF('Raw Orders'!K629&gt;=2,"Slipped","On plan"))</f>
        <v/>
      </c>
      <c r="L629" s="14">
        <f>IF(K629="On plan",0,F629)</f>
        <v/>
      </c>
    </row>
    <row r="630">
      <c r="A630">
        <f>'Raw Orders'!A630</f>
        <v/>
      </c>
      <c r="B630">
        <f>'Raw Orders'!B630</f>
        <v/>
      </c>
      <c r="C630">
        <f>'Raw Orders'!C630</f>
        <v/>
      </c>
      <c r="D630" s="13">
        <f>'Raw Orders'!E630</f>
        <v/>
      </c>
      <c r="E630" s="14">
        <f>'Raw Orders'!F630</f>
        <v/>
      </c>
      <c r="F630" s="14">
        <f>'Raw Orders'!F630*0.5</f>
        <v/>
      </c>
      <c r="G630" s="12">
        <f>'Raw Orders'!H630</f>
        <v/>
      </c>
      <c r="H630" s="12">
        <f>'Raw Orders'!I630</f>
        <v/>
      </c>
      <c r="I630" s="13">
        <f>'Raw Orders'!K630</f>
        <v/>
      </c>
      <c r="J630" s="13">
        <f>IF('Raw Orders'!J630,"",(YEAR('Raw Orders'!I630)-YEAR('Raw Orders'!H630))*12+MONTH('Raw Orders'!I630)-MONTH('Raw Orders'!H630))</f>
        <v/>
      </c>
      <c r="K630">
        <f>IF('Raw Orders'!J630,"Cancelled",IF('Raw Orders'!K630&gt;=2,"Slipped","On plan"))</f>
        <v/>
      </c>
      <c r="L630" s="14">
        <f>IF(K630="On plan",0,F630)</f>
        <v/>
      </c>
    </row>
    <row r="631">
      <c r="A631">
        <f>'Raw Orders'!A631</f>
        <v/>
      </c>
      <c r="B631">
        <f>'Raw Orders'!B631</f>
        <v/>
      </c>
      <c r="C631">
        <f>'Raw Orders'!C631</f>
        <v/>
      </c>
      <c r="D631" s="13">
        <f>'Raw Orders'!E631</f>
        <v/>
      </c>
      <c r="E631" s="14">
        <f>'Raw Orders'!F631</f>
        <v/>
      </c>
      <c r="F631" s="14">
        <f>'Raw Orders'!F631*0.5</f>
        <v/>
      </c>
      <c r="G631" s="12">
        <f>'Raw Orders'!H631</f>
        <v/>
      </c>
      <c r="H631" s="12">
        <f>'Raw Orders'!I631</f>
        <v/>
      </c>
      <c r="I631" s="13">
        <f>'Raw Orders'!K631</f>
        <v/>
      </c>
      <c r="J631" s="13">
        <f>IF('Raw Orders'!J631,"",(YEAR('Raw Orders'!I631)-YEAR('Raw Orders'!H631))*12+MONTH('Raw Orders'!I631)-MONTH('Raw Orders'!H631))</f>
        <v/>
      </c>
      <c r="K631">
        <f>IF('Raw Orders'!J631,"Cancelled",IF('Raw Orders'!K631&gt;=2,"Slipped","On plan"))</f>
        <v/>
      </c>
      <c r="L631" s="14">
        <f>IF(K631="On plan",0,F631)</f>
        <v/>
      </c>
    </row>
    <row r="632">
      <c r="A632">
        <f>'Raw Orders'!A632</f>
        <v/>
      </c>
      <c r="B632">
        <f>'Raw Orders'!B632</f>
        <v/>
      </c>
      <c r="C632">
        <f>'Raw Orders'!C632</f>
        <v/>
      </c>
      <c r="D632" s="13">
        <f>'Raw Orders'!E632</f>
        <v/>
      </c>
      <c r="E632" s="14">
        <f>'Raw Orders'!F632</f>
        <v/>
      </c>
      <c r="F632" s="14">
        <f>'Raw Orders'!F632*0.5</f>
        <v/>
      </c>
      <c r="G632" s="12">
        <f>'Raw Orders'!H632</f>
        <v/>
      </c>
      <c r="H632" s="12">
        <f>'Raw Orders'!I632</f>
        <v/>
      </c>
      <c r="I632" s="13">
        <f>'Raw Orders'!K632</f>
        <v/>
      </c>
      <c r="J632" s="13">
        <f>IF('Raw Orders'!J632,"",(YEAR('Raw Orders'!I632)-YEAR('Raw Orders'!H632))*12+MONTH('Raw Orders'!I632)-MONTH('Raw Orders'!H632))</f>
        <v/>
      </c>
      <c r="K632">
        <f>IF('Raw Orders'!J632,"Cancelled",IF('Raw Orders'!K632&gt;=2,"Slipped","On plan"))</f>
        <v/>
      </c>
      <c r="L632" s="14">
        <f>IF(K632="On plan",0,F632)</f>
        <v/>
      </c>
    </row>
    <row r="633">
      <c r="A633">
        <f>'Raw Orders'!A633</f>
        <v/>
      </c>
      <c r="B633">
        <f>'Raw Orders'!B633</f>
        <v/>
      </c>
      <c r="C633">
        <f>'Raw Orders'!C633</f>
        <v/>
      </c>
      <c r="D633" s="13">
        <f>'Raw Orders'!E633</f>
        <v/>
      </c>
      <c r="E633" s="14">
        <f>'Raw Orders'!F633</f>
        <v/>
      </c>
      <c r="F633" s="14">
        <f>'Raw Orders'!F633*0.5</f>
        <v/>
      </c>
      <c r="G633" s="12">
        <f>'Raw Orders'!H633</f>
        <v/>
      </c>
      <c r="H633" s="12">
        <f>'Raw Orders'!I633</f>
        <v/>
      </c>
      <c r="I633" s="13">
        <f>'Raw Orders'!K633</f>
        <v/>
      </c>
      <c r="J633" s="13">
        <f>IF('Raw Orders'!J633,"",(YEAR('Raw Orders'!I633)-YEAR('Raw Orders'!H633))*12+MONTH('Raw Orders'!I633)-MONTH('Raw Orders'!H633))</f>
        <v/>
      </c>
      <c r="K633">
        <f>IF('Raw Orders'!J633,"Cancelled",IF('Raw Orders'!K633&gt;=2,"Slipped","On plan"))</f>
        <v/>
      </c>
      <c r="L633" s="14">
        <f>IF(K633="On plan",0,F633)</f>
        <v/>
      </c>
    </row>
    <row r="634">
      <c r="A634">
        <f>'Raw Orders'!A634</f>
        <v/>
      </c>
      <c r="B634">
        <f>'Raw Orders'!B634</f>
        <v/>
      </c>
      <c r="C634">
        <f>'Raw Orders'!C634</f>
        <v/>
      </c>
      <c r="D634" s="13">
        <f>'Raw Orders'!E634</f>
        <v/>
      </c>
      <c r="E634" s="14">
        <f>'Raw Orders'!F634</f>
        <v/>
      </c>
      <c r="F634" s="14">
        <f>'Raw Orders'!F634*0.5</f>
        <v/>
      </c>
      <c r="G634" s="12">
        <f>'Raw Orders'!H634</f>
        <v/>
      </c>
      <c r="H634" s="12">
        <f>'Raw Orders'!I634</f>
        <v/>
      </c>
      <c r="I634" s="13">
        <f>'Raw Orders'!K634</f>
        <v/>
      </c>
      <c r="J634" s="13">
        <f>IF('Raw Orders'!J634,"",(YEAR('Raw Orders'!I634)-YEAR('Raw Orders'!H634))*12+MONTH('Raw Orders'!I634)-MONTH('Raw Orders'!H634))</f>
        <v/>
      </c>
      <c r="K634">
        <f>IF('Raw Orders'!J634,"Cancelled",IF('Raw Orders'!K634&gt;=2,"Slipped","On plan"))</f>
        <v/>
      </c>
      <c r="L634" s="14">
        <f>IF(K634="On plan",0,F634)</f>
        <v/>
      </c>
    </row>
    <row r="635">
      <c r="A635">
        <f>'Raw Orders'!A635</f>
        <v/>
      </c>
      <c r="B635">
        <f>'Raw Orders'!B635</f>
        <v/>
      </c>
      <c r="C635">
        <f>'Raw Orders'!C635</f>
        <v/>
      </c>
      <c r="D635" s="13">
        <f>'Raw Orders'!E635</f>
        <v/>
      </c>
      <c r="E635" s="14">
        <f>'Raw Orders'!F635</f>
        <v/>
      </c>
      <c r="F635" s="14">
        <f>'Raw Orders'!F635*0.5</f>
        <v/>
      </c>
      <c r="G635" s="12">
        <f>'Raw Orders'!H635</f>
        <v/>
      </c>
      <c r="H635" s="12">
        <f>'Raw Orders'!I635</f>
        <v/>
      </c>
      <c r="I635" s="13">
        <f>'Raw Orders'!K635</f>
        <v/>
      </c>
      <c r="J635" s="13">
        <f>IF('Raw Orders'!J635,"",(YEAR('Raw Orders'!I635)-YEAR('Raw Orders'!H635))*12+MONTH('Raw Orders'!I635)-MONTH('Raw Orders'!H635))</f>
        <v/>
      </c>
      <c r="K635">
        <f>IF('Raw Orders'!J635,"Cancelled",IF('Raw Orders'!K635&gt;=2,"Slipped","On plan"))</f>
        <v/>
      </c>
      <c r="L635" s="14">
        <f>IF(K635="On plan",0,F635)</f>
        <v/>
      </c>
    </row>
    <row r="636">
      <c r="A636">
        <f>'Raw Orders'!A636</f>
        <v/>
      </c>
      <c r="B636">
        <f>'Raw Orders'!B636</f>
        <v/>
      </c>
      <c r="C636">
        <f>'Raw Orders'!C636</f>
        <v/>
      </c>
      <c r="D636" s="13">
        <f>'Raw Orders'!E636</f>
        <v/>
      </c>
      <c r="E636" s="14">
        <f>'Raw Orders'!F636</f>
        <v/>
      </c>
      <c r="F636" s="14">
        <f>'Raw Orders'!F636*0.5</f>
        <v/>
      </c>
      <c r="G636" s="12">
        <f>'Raw Orders'!H636</f>
        <v/>
      </c>
      <c r="H636" s="12">
        <f>'Raw Orders'!I636</f>
        <v/>
      </c>
      <c r="I636" s="13">
        <f>'Raw Orders'!K636</f>
        <v/>
      </c>
      <c r="J636" s="13">
        <f>IF('Raw Orders'!J636,"",(YEAR('Raw Orders'!I636)-YEAR('Raw Orders'!H636))*12+MONTH('Raw Orders'!I636)-MONTH('Raw Orders'!H636))</f>
        <v/>
      </c>
      <c r="K636">
        <f>IF('Raw Orders'!J636,"Cancelled",IF('Raw Orders'!K636&gt;=2,"Slipped","On plan"))</f>
        <v/>
      </c>
      <c r="L636" s="14">
        <f>IF(K636="On plan",0,F636)</f>
        <v/>
      </c>
    </row>
    <row r="637">
      <c r="A637">
        <f>'Raw Orders'!A637</f>
        <v/>
      </c>
      <c r="B637">
        <f>'Raw Orders'!B637</f>
        <v/>
      </c>
      <c r="C637">
        <f>'Raw Orders'!C637</f>
        <v/>
      </c>
      <c r="D637" s="13">
        <f>'Raw Orders'!E637</f>
        <v/>
      </c>
      <c r="E637" s="14">
        <f>'Raw Orders'!F637</f>
        <v/>
      </c>
      <c r="F637" s="14">
        <f>'Raw Orders'!F637*0.5</f>
        <v/>
      </c>
      <c r="G637" s="12">
        <f>'Raw Orders'!H637</f>
        <v/>
      </c>
      <c r="H637" s="12">
        <f>'Raw Orders'!I637</f>
        <v/>
      </c>
      <c r="I637" s="13">
        <f>'Raw Orders'!K637</f>
        <v/>
      </c>
      <c r="J637" s="13">
        <f>IF('Raw Orders'!J637,"",(YEAR('Raw Orders'!I637)-YEAR('Raw Orders'!H637))*12+MONTH('Raw Orders'!I637)-MONTH('Raw Orders'!H637))</f>
        <v/>
      </c>
      <c r="K637">
        <f>IF('Raw Orders'!J637,"Cancelled",IF('Raw Orders'!K637&gt;=2,"Slipped","On plan"))</f>
        <v/>
      </c>
      <c r="L637" s="14">
        <f>IF(K637="On plan",0,F637)</f>
        <v/>
      </c>
    </row>
    <row r="638">
      <c r="A638">
        <f>'Raw Orders'!A638</f>
        <v/>
      </c>
      <c r="B638">
        <f>'Raw Orders'!B638</f>
        <v/>
      </c>
      <c r="C638">
        <f>'Raw Orders'!C638</f>
        <v/>
      </c>
      <c r="D638" s="13">
        <f>'Raw Orders'!E638</f>
        <v/>
      </c>
      <c r="E638" s="14">
        <f>'Raw Orders'!F638</f>
        <v/>
      </c>
      <c r="F638" s="14">
        <f>'Raw Orders'!F638*0.5</f>
        <v/>
      </c>
      <c r="G638" s="12">
        <f>'Raw Orders'!H638</f>
        <v/>
      </c>
      <c r="H638" s="12">
        <f>'Raw Orders'!I638</f>
        <v/>
      </c>
      <c r="I638" s="13">
        <f>'Raw Orders'!K638</f>
        <v/>
      </c>
      <c r="J638" s="13">
        <f>IF('Raw Orders'!J638,"",(YEAR('Raw Orders'!I638)-YEAR('Raw Orders'!H638))*12+MONTH('Raw Orders'!I638)-MONTH('Raw Orders'!H638))</f>
        <v/>
      </c>
      <c r="K638">
        <f>IF('Raw Orders'!J638,"Cancelled",IF('Raw Orders'!K638&gt;=2,"Slipped","On plan"))</f>
        <v/>
      </c>
      <c r="L638" s="14">
        <f>IF(K638="On plan",0,F638)</f>
        <v/>
      </c>
    </row>
    <row r="639">
      <c r="A639">
        <f>'Raw Orders'!A639</f>
        <v/>
      </c>
      <c r="B639">
        <f>'Raw Orders'!B639</f>
        <v/>
      </c>
      <c r="C639">
        <f>'Raw Orders'!C639</f>
        <v/>
      </c>
      <c r="D639" s="13">
        <f>'Raw Orders'!E639</f>
        <v/>
      </c>
      <c r="E639" s="14">
        <f>'Raw Orders'!F639</f>
        <v/>
      </c>
      <c r="F639" s="14">
        <f>'Raw Orders'!F639*0.5</f>
        <v/>
      </c>
      <c r="G639" s="12">
        <f>'Raw Orders'!H639</f>
        <v/>
      </c>
      <c r="H639" s="12">
        <f>'Raw Orders'!I639</f>
        <v/>
      </c>
      <c r="I639" s="13">
        <f>'Raw Orders'!K639</f>
        <v/>
      </c>
      <c r="J639" s="13">
        <f>IF('Raw Orders'!J639,"",(YEAR('Raw Orders'!I639)-YEAR('Raw Orders'!H639))*12+MONTH('Raw Orders'!I639)-MONTH('Raw Orders'!H639))</f>
        <v/>
      </c>
      <c r="K639">
        <f>IF('Raw Orders'!J639,"Cancelled",IF('Raw Orders'!K639&gt;=2,"Slipped","On plan"))</f>
        <v/>
      </c>
      <c r="L639" s="14">
        <f>IF(K639="On plan",0,F639)</f>
        <v/>
      </c>
    </row>
    <row r="640">
      <c r="A640">
        <f>'Raw Orders'!A640</f>
        <v/>
      </c>
      <c r="B640">
        <f>'Raw Orders'!B640</f>
        <v/>
      </c>
      <c r="C640">
        <f>'Raw Orders'!C640</f>
        <v/>
      </c>
      <c r="D640" s="13">
        <f>'Raw Orders'!E640</f>
        <v/>
      </c>
      <c r="E640" s="14">
        <f>'Raw Orders'!F640</f>
        <v/>
      </c>
      <c r="F640" s="14">
        <f>'Raw Orders'!F640*0.5</f>
        <v/>
      </c>
      <c r="G640" s="12">
        <f>'Raw Orders'!H640</f>
        <v/>
      </c>
      <c r="H640" s="12">
        <f>'Raw Orders'!I640</f>
        <v/>
      </c>
      <c r="I640" s="13">
        <f>'Raw Orders'!K640</f>
        <v/>
      </c>
      <c r="J640" s="13">
        <f>IF('Raw Orders'!J640,"",(YEAR('Raw Orders'!I640)-YEAR('Raw Orders'!H640))*12+MONTH('Raw Orders'!I640)-MONTH('Raw Orders'!H640))</f>
        <v/>
      </c>
      <c r="K640">
        <f>IF('Raw Orders'!J640,"Cancelled",IF('Raw Orders'!K640&gt;=2,"Slipped","On plan"))</f>
        <v/>
      </c>
      <c r="L640" s="14">
        <f>IF(K640="On plan",0,F640)</f>
        <v/>
      </c>
    </row>
    <row r="641">
      <c r="A641">
        <f>'Raw Orders'!A641</f>
        <v/>
      </c>
      <c r="B641">
        <f>'Raw Orders'!B641</f>
        <v/>
      </c>
      <c r="C641">
        <f>'Raw Orders'!C641</f>
        <v/>
      </c>
      <c r="D641" s="13">
        <f>'Raw Orders'!E641</f>
        <v/>
      </c>
      <c r="E641" s="14">
        <f>'Raw Orders'!F641</f>
        <v/>
      </c>
      <c r="F641" s="14">
        <f>'Raw Orders'!F641*0.5</f>
        <v/>
      </c>
      <c r="G641" s="12">
        <f>'Raw Orders'!H641</f>
        <v/>
      </c>
      <c r="H641" s="12">
        <f>'Raw Orders'!I641</f>
        <v/>
      </c>
      <c r="I641" s="13">
        <f>'Raw Orders'!K641</f>
        <v/>
      </c>
      <c r="J641" s="13">
        <f>IF('Raw Orders'!J641,"",(YEAR('Raw Orders'!I641)-YEAR('Raw Orders'!H641))*12+MONTH('Raw Orders'!I641)-MONTH('Raw Orders'!H641))</f>
        <v/>
      </c>
      <c r="K641">
        <f>IF('Raw Orders'!J641,"Cancelled",IF('Raw Orders'!K641&gt;=2,"Slipped","On plan"))</f>
        <v/>
      </c>
      <c r="L641" s="14">
        <f>IF(K641="On plan",0,F641)</f>
        <v/>
      </c>
    </row>
    <row r="642">
      <c r="A642">
        <f>'Raw Orders'!A642</f>
        <v/>
      </c>
      <c r="B642">
        <f>'Raw Orders'!B642</f>
        <v/>
      </c>
      <c r="C642">
        <f>'Raw Orders'!C642</f>
        <v/>
      </c>
      <c r="D642" s="13">
        <f>'Raw Orders'!E642</f>
        <v/>
      </c>
      <c r="E642" s="14">
        <f>'Raw Orders'!F642</f>
        <v/>
      </c>
      <c r="F642" s="14">
        <f>'Raw Orders'!F642*0.5</f>
        <v/>
      </c>
      <c r="G642" s="12">
        <f>'Raw Orders'!H642</f>
        <v/>
      </c>
      <c r="H642" s="12">
        <f>'Raw Orders'!I642</f>
        <v/>
      </c>
      <c r="I642" s="13">
        <f>'Raw Orders'!K642</f>
        <v/>
      </c>
      <c r="J642" s="13">
        <f>IF('Raw Orders'!J642,"",(YEAR('Raw Orders'!I642)-YEAR('Raw Orders'!H642))*12+MONTH('Raw Orders'!I642)-MONTH('Raw Orders'!H642))</f>
        <v/>
      </c>
      <c r="K642">
        <f>IF('Raw Orders'!J642,"Cancelled",IF('Raw Orders'!K642&gt;=2,"Slipped","On plan"))</f>
        <v/>
      </c>
      <c r="L642" s="14">
        <f>IF(K642="On plan",0,F642)</f>
        <v/>
      </c>
    </row>
    <row r="643">
      <c r="A643">
        <f>'Raw Orders'!A643</f>
        <v/>
      </c>
      <c r="B643">
        <f>'Raw Orders'!B643</f>
        <v/>
      </c>
      <c r="C643">
        <f>'Raw Orders'!C643</f>
        <v/>
      </c>
      <c r="D643" s="13">
        <f>'Raw Orders'!E643</f>
        <v/>
      </c>
      <c r="E643" s="14">
        <f>'Raw Orders'!F643</f>
        <v/>
      </c>
      <c r="F643" s="14">
        <f>'Raw Orders'!F643*0.5</f>
        <v/>
      </c>
      <c r="G643" s="12">
        <f>'Raw Orders'!H643</f>
        <v/>
      </c>
      <c r="H643" s="12">
        <f>'Raw Orders'!I643</f>
        <v/>
      </c>
      <c r="I643" s="13">
        <f>'Raw Orders'!K643</f>
        <v/>
      </c>
      <c r="J643" s="13">
        <f>IF('Raw Orders'!J643,"",(YEAR('Raw Orders'!I643)-YEAR('Raw Orders'!H643))*12+MONTH('Raw Orders'!I643)-MONTH('Raw Orders'!H643))</f>
        <v/>
      </c>
      <c r="K643">
        <f>IF('Raw Orders'!J643,"Cancelled",IF('Raw Orders'!K643&gt;=2,"Slipped","On plan"))</f>
        <v/>
      </c>
      <c r="L643" s="14">
        <f>IF(K643="On plan",0,F643)</f>
        <v/>
      </c>
    </row>
    <row r="644">
      <c r="A644">
        <f>'Raw Orders'!A644</f>
        <v/>
      </c>
      <c r="B644">
        <f>'Raw Orders'!B644</f>
        <v/>
      </c>
      <c r="C644">
        <f>'Raw Orders'!C644</f>
        <v/>
      </c>
      <c r="D644" s="13">
        <f>'Raw Orders'!E644</f>
        <v/>
      </c>
      <c r="E644" s="14">
        <f>'Raw Orders'!F644</f>
        <v/>
      </c>
      <c r="F644" s="14">
        <f>'Raw Orders'!F644*0.5</f>
        <v/>
      </c>
      <c r="G644" s="12">
        <f>'Raw Orders'!H644</f>
        <v/>
      </c>
      <c r="H644" s="12">
        <f>'Raw Orders'!I644</f>
        <v/>
      </c>
      <c r="I644" s="13">
        <f>'Raw Orders'!K644</f>
        <v/>
      </c>
      <c r="J644" s="13">
        <f>IF('Raw Orders'!J644,"",(YEAR('Raw Orders'!I644)-YEAR('Raw Orders'!H644))*12+MONTH('Raw Orders'!I644)-MONTH('Raw Orders'!H644))</f>
        <v/>
      </c>
      <c r="K644">
        <f>IF('Raw Orders'!J644,"Cancelled",IF('Raw Orders'!K644&gt;=2,"Slipped","On plan"))</f>
        <v/>
      </c>
      <c r="L644" s="14">
        <f>IF(K644="On plan",0,F644)</f>
        <v/>
      </c>
    </row>
    <row r="645">
      <c r="A645">
        <f>'Raw Orders'!A645</f>
        <v/>
      </c>
      <c r="B645">
        <f>'Raw Orders'!B645</f>
        <v/>
      </c>
      <c r="C645">
        <f>'Raw Orders'!C645</f>
        <v/>
      </c>
      <c r="D645" s="13">
        <f>'Raw Orders'!E645</f>
        <v/>
      </c>
      <c r="E645" s="14">
        <f>'Raw Orders'!F645</f>
        <v/>
      </c>
      <c r="F645" s="14">
        <f>'Raw Orders'!F645*0.5</f>
        <v/>
      </c>
      <c r="G645" s="12">
        <f>'Raw Orders'!H645</f>
        <v/>
      </c>
      <c r="H645" s="12">
        <f>'Raw Orders'!I645</f>
        <v/>
      </c>
      <c r="I645" s="13">
        <f>'Raw Orders'!K645</f>
        <v/>
      </c>
      <c r="J645" s="13">
        <f>IF('Raw Orders'!J645,"",(YEAR('Raw Orders'!I645)-YEAR('Raw Orders'!H645))*12+MONTH('Raw Orders'!I645)-MONTH('Raw Orders'!H645))</f>
        <v/>
      </c>
      <c r="K645">
        <f>IF('Raw Orders'!J645,"Cancelled",IF('Raw Orders'!K645&gt;=2,"Slipped","On plan"))</f>
        <v/>
      </c>
      <c r="L645" s="14">
        <f>IF(K645="On plan",0,F645)</f>
        <v/>
      </c>
    </row>
    <row r="646">
      <c r="A646">
        <f>'Raw Orders'!A646</f>
        <v/>
      </c>
      <c r="B646">
        <f>'Raw Orders'!B646</f>
        <v/>
      </c>
      <c r="C646">
        <f>'Raw Orders'!C646</f>
        <v/>
      </c>
      <c r="D646" s="13">
        <f>'Raw Orders'!E646</f>
        <v/>
      </c>
      <c r="E646" s="14">
        <f>'Raw Orders'!F646</f>
        <v/>
      </c>
      <c r="F646" s="14">
        <f>'Raw Orders'!F646*0.5</f>
        <v/>
      </c>
      <c r="G646" s="12">
        <f>'Raw Orders'!H646</f>
        <v/>
      </c>
      <c r="H646" s="12">
        <f>'Raw Orders'!I646</f>
        <v/>
      </c>
      <c r="I646" s="13">
        <f>'Raw Orders'!K646</f>
        <v/>
      </c>
      <c r="J646" s="13">
        <f>IF('Raw Orders'!J646,"",(YEAR('Raw Orders'!I646)-YEAR('Raw Orders'!H646))*12+MONTH('Raw Orders'!I646)-MONTH('Raw Orders'!H646))</f>
        <v/>
      </c>
      <c r="K646">
        <f>IF('Raw Orders'!J646,"Cancelled",IF('Raw Orders'!K646&gt;=2,"Slipped","On plan"))</f>
        <v/>
      </c>
      <c r="L646" s="14">
        <f>IF(K646="On plan",0,F646)</f>
        <v/>
      </c>
    </row>
    <row r="647">
      <c r="A647">
        <f>'Raw Orders'!A647</f>
        <v/>
      </c>
      <c r="B647">
        <f>'Raw Orders'!B647</f>
        <v/>
      </c>
      <c r="C647">
        <f>'Raw Orders'!C647</f>
        <v/>
      </c>
      <c r="D647" s="13">
        <f>'Raw Orders'!E647</f>
        <v/>
      </c>
      <c r="E647" s="14">
        <f>'Raw Orders'!F647</f>
        <v/>
      </c>
      <c r="F647" s="14">
        <f>'Raw Orders'!F647*0.5</f>
        <v/>
      </c>
      <c r="G647" s="12">
        <f>'Raw Orders'!H647</f>
        <v/>
      </c>
      <c r="H647" s="12">
        <f>'Raw Orders'!I647</f>
        <v/>
      </c>
      <c r="I647" s="13">
        <f>'Raw Orders'!K647</f>
        <v/>
      </c>
      <c r="J647" s="13">
        <f>IF('Raw Orders'!J647,"",(YEAR('Raw Orders'!I647)-YEAR('Raw Orders'!H647))*12+MONTH('Raw Orders'!I647)-MONTH('Raw Orders'!H647))</f>
        <v/>
      </c>
      <c r="K647">
        <f>IF('Raw Orders'!J647,"Cancelled",IF('Raw Orders'!K647&gt;=2,"Slipped","On plan"))</f>
        <v/>
      </c>
      <c r="L647" s="14">
        <f>IF(K647="On plan",0,F647)</f>
        <v/>
      </c>
    </row>
    <row r="648">
      <c r="A648">
        <f>'Raw Orders'!A648</f>
        <v/>
      </c>
      <c r="B648">
        <f>'Raw Orders'!B648</f>
        <v/>
      </c>
      <c r="C648">
        <f>'Raw Orders'!C648</f>
        <v/>
      </c>
      <c r="D648" s="13">
        <f>'Raw Orders'!E648</f>
        <v/>
      </c>
      <c r="E648" s="14">
        <f>'Raw Orders'!F648</f>
        <v/>
      </c>
      <c r="F648" s="14">
        <f>'Raw Orders'!F648*0.5</f>
        <v/>
      </c>
      <c r="G648" s="12">
        <f>'Raw Orders'!H648</f>
        <v/>
      </c>
      <c r="H648" s="12">
        <f>'Raw Orders'!I648</f>
        <v/>
      </c>
      <c r="I648" s="13">
        <f>'Raw Orders'!K648</f>
        <v/>
      </c>
      <c r="J648" s="13">
        <f>IF('Raw Orders'!J648,"",(YEAR('Raw Orders'!I648)-YEAR('Raw Orders'!H648))*12+MONTH('Raw Orders'!I648)-MONTH('Raw Orders'!H648))</f>
        <v/>
      </c>
      <c r="K648">
        <f>IF('Raw Orders'!J648,"Cancelled",IF('Raw Orders'!K648&gt;=2,"Slipped","On plan"))</f>
        <v/>
      </c>
      <c r="L648" s="14">
        <f>IF(K648="On plan",0,F648)</f>
        <v/>
      </c>
    </row>
    <row r="649">
      <c r="A649">
        <f>'Raw Orders'!A649</f>
        <v/>
      </c>
      <c r="B649">
        <f>'Raw Orders'!B649</f>
        <v/>
      </c>
      <c r="C649">
        <f>'Raw Orders'!C649</f>
        <v/>
      </c>
      <c r="D649" s="13">
        <f>'Raw Orders'!E649</f>
        <v/>
      </c>
      <c r="E649" s="14">
        <f>'Raw Orders'!F649</f>
        <v/>
      </c>
      <c r="F649" s="14">
        <f>'Raw Orders'!F649*0.5</f>
        <v/>
      </c>
      <c r="G649" s="12">
        <f>'Raw Orders'!H649</f>
        <v/>
      </c>
      <c r="H649" s="12">
        <f>'Raw Orders'!I649</f>
        <v/>
      </c>
      <c r="I649" s="13">
        <f>'Raw Orders'!K649</f>
        <v/>
      </c>
      <c r="J649" s="13">
        <f>IF('Raw Orders'!J649,"",(YEAR('Raw Orders'!I649)-YEAR('Raw Orders'!H649))*12+MONTH('Raw Orders'!I649)-MONTH('Raw Orders'!H649))</f>
        <v/>
      </c>
      <c r="K649">
        <f>IF('Raw Orders'!J649,"Cancelled",IF('Raw Orders'!K649&gt;=2,"Slipped","On plan"))</f>
        <v/>
      </c>
      <c r="L649" s="14">
        <f>IF(K649="On plan",0,F649)</f>
        <v/>
      </c>
    </row>
    <row r="650">
      <c r="A650">
        <f>'Raw Orders'!A650</f>
        <v/>
      </c>
      <c r="B650">
        <f>'Raw Orders'!B650</f>
        <v/>
      </c>
      <c r="C650">
        <f>'Raw Orders'!C650</f>
        <v/>
      </c>
      <c r="D650" s="13">
        <f>'Raw Orders'!E650</f>
        <v/>
      </c>
      <c r="E650" s="14">
        <f>'Raw Orders'!F650</f>
        <v/>
      </c>
      <c r="F650" s="14">
        <f>'Raw Orders'!F650*0.5</f>
        <v/>
      </c>
      <c r="G650" s="12">
        <f>'Raw Orders'!H650</f>
        <v/>
      </c>
      <c r="H650" s="12">
        <f>'Raw Orders'!I650</f>
        <v/>
      </c>
      <c r="I650" s="13">
        <f>'Raw Orders'!K650</f>
        <v/>
      </c>
      <c r="J650" s="13">
        <f>IF('Raw Orders'!J650,"",(YEAR('Raw Orders'!I650)-YEAR('Raw Orders'!H650))*12+MONTH('Raw Orders'!I650)-MONTH('Raw Orders'!H650))</f>
        <v/>
      </c>
      <c r="K650">
        <f>IF('Raw Orders'!J650,"Cancelled",IF('Raw Orders'!K650&gt;=2,"Slipped","On plan"))</f>
        <v/>
      </c>
      <c r="L650" s="14">
        <f>IF(K650="On plan",0,F650)</f>
        <v/>
      </c>
    </row>
    <row r="651">
      <c r="A651">
        <f>'Raw Orders'!A651</f>
        <v/>
      </c>
      <c r="B651">
        <f>'Raw Orders'!B651</f>
        <v/>
      </c>
      <c r="C651">
        <f>'Raw Orders'!C651</f>
        <v/>
      </c>
      <c r="D651" s="13">
        <f>'Raw Orders'!E651</f>
        <v/>
      </c>
      <c r="E651" s="14">
        <f>'Raw Orders'!F651</f>
        <v/>
      </c>
      <c r="F651" s="14">
        <f>'Raw Orders'!F651*0.5</f>
        <v/>
      </c>
      <c r="G651" s="12">
        <f>'Raw Orders'!H651</f>
        <v/>
      </c>
      <c r="H651" s="12">
        <f>'Raw Orders'!I651</f>
        <v/>
      </c>
      <c r="I651" s="13">
        <f>'Raw Orders'!K651</f>
        <v/>
      </c>
      <c r="J651" s="13">
        <f>IF('Raw Orders'!J651,"",(YEAR('Raw Orders'!I651)-YEAR('Raw Orders'!H651))*12+MONTH('Raw Orders'!I651)-MONTH('Raw Orders'!H651))</f>
        <v/>
      </c>
      <c r="K651">
        <f>IF('Raw Orders'!J651,"Cancelled",IF('Raw Orders'!K651&gt;=2,"Slipped","On plan"))</f>
        <v/>
      </c>
      <c r="L651" s="14">
        <f>IF(K651="On plan",0,F651)</f>
        <v/>
      </c>
    </row>
    <row r="652">
      <c r="A652">
        <f>'Raw Orders'!A652</f>
        <v/>
      </c>
      <c r="B652">
        <f>'Raw Orders'!B652</f>
        <v/>
      </c>
      <c r="C652">
        <f>'Raw Orders'!C652</f>
        <v/>
      </c>
      <c r="D652" s="13">
        <f>'Raw Orders'!E652</f>
        <v/>
      </c>
      <c r="E652" s="14">
        <f>'Raw Orders'!F652</f>
        <v/>
      </c>
      <c r="F652" s="14">
        <f>'Raw Orders'!F652*0.5</f>
        <v/>
      </c>
      <c r="G652" s="12">
        <f>'Raw Orders'!H652</f>
        <v/>
      </c>
      <c r="H652" s="12">
        <f>'Raw Orders'!I652</f>
        <v/>
      </c>
      <c r="I652" s="13">
        <f>'Raw Orders'!K652</f>
        <v/>
      </c>
      <c r="J652" s="13">
        <f>IF('Raw Orders'!J652,"",(YEAR('Raw Orders'!I652)-YEAR('Raw Orders'!H652))*12+MONTH('Raw Orders'!I652)-MONTH('Raw Orders'!H652))</f>
        <v/>
      </c>
      <c r="K652">
        <f>IF('Raw Orders'!J652,"Cancelled",IF('Raw Orders'!K652&gt;=2,"Slipped","On plan"))</f>
        <v/>
      </c>
      <c r="L652" s="14">
        <f>IF(K652="On plan",0,F652)</f>
        <v/>
      </c>
    </row>
    <row r="653">
      <c r="A653">
        <f>'Raw Orders'!A653</f>
        <v/>
      </c>
      <c r="B653">
        <f>'Raw Orders'!B653</f>
        <v/>
      </c>
      <c r="C653">
        <f>'Raw Orders'!C653</f>
        <v/>
      </c>
      <c r="D653" s="13">
        <f>'Raw Orders'!E653</f>
        <v/>
      </c>
      <c r="E653" s="14">
        <f>'Raw Orders'!F653</f>
        <v/>
      </c>
      <c r="F653" s="14">
        <f>'Raw Orders'!F653*0.5</f>
        <v/>
      </c>
      <c r="G653" s="12">
        <f>'Raw Orders'!H653</f>
        <v/>
      </c>
      <c r="H653" s="12">
        <f>'Raw Orders'!I653</f>
        <v/>
      </c>
      <c r="I653" s="13">
        <f>'Raw Orders'!K653</f>
        <v/>
      </c>
      <c r="J653" s="13">
        <f>IF('Raw Orders'!J653,"",(YEAR('Raw Orders'!I653)-YEAR('Raw Orders'!H653))*12+MONTH('Raw Orders'!I653)-MONTH('Raw Orders'!H653))</f>
        <v/>
      </c>
      <c r="K653">
        <f>IF('Raw Orders'!J653,"Cancelled",IF('Raw Orders'!K653&gt;=2,"Slipped","On plan"))</f>
        <v/>
      </c>
      <c r="L653" s="14">
        <f>IF(K653="On plan",0,F653)</f>
        <v/>
      </c>
    </row>
    <row r="654">
      <c r="A654">
        <f>'Raw Orders'!A654</f>
        <v/>
      </c>
      <c r="B654">
        <f>'Raw Orders'!B654</f>
        <v/>
      </c>
      <c r="C654">
        <f>'Raw Orders'!C654</f>
        <v/>
      </c>
      <c r="D654" s="13">
        <f>'Raw Orders'!E654</f>
        <v/>
      </c>
      <c r="E654" s="14">
        <f>'Raw Orders'!F654</f>
        <v/>
      </c>
      <c r="F654" s="14">
        <f>'Raw Orders'!F654*0.5</f>
        <v/>
      </c>
      <c r="G654" s="12">
        <f>'Raw Orders'!H654</f>
        <v/>
      </c>
      <c r="H654" s="12">
        <f>'Raw Orders'!I654</f>
        <v/>
      </c>
      <c r="I654" s="13">
        <f>'Raw Orders'!K654</f>
        <v/>
      </c>
      <c r="J654" s="13">
        <f>IF('Raw Orders'!J654,"",(YEAR('Raw Orders'!I654)-YEAR('Raw Orders'!H654))*12+MONTH('Raw Orders'!I654)-MONTH('Raw Orders'!H654))</f>
        <v/>
      </c>
      <c r="K654">
        <f>IF('Raw Orders'!J654,"Cancelled",IF('Raw Orders'!K654&gt;=2,"Slipped","On plan"))</f>
        <v/>
      </c>
      <c r="L654" s="14">
        <f>IF(K654="On plan",0,F654)</f>
        <v/>
      </c>
    </row>
    <row r="655">
      <c r="A655">
        <f>'Raw Orders'!A655</f>
        <v/>
      </c>
      <c r="B655">
        <f>'Raw Orders'!B655</f>
        <v/>
      </c>
      <c r="C655">
        <f>'Raw Orders'!C655</f>
        <v/>
      </c>
      <c r="D655" s="13">
        <f>'Raw Orders'!E655</f>
        <v/>
      </c>
      <c r="E655" s="14">
        <f>'Raw Orders'!F655</f>
        <v/>
      </c>
      <c r="F655" s="14">
        <f>'Raw Orders'!F655*0.5</f>
        <v/>
      </c>
      <c r="G655" s="12">
        <f>'Raw Orders'!H655</f>
        <v/>
      </c>
      <c r="H655" s="12">
        <f>'Raw Orders'!I655</f>
        <v/>
      </c>
      <c r="I655" s="13">
        <f>'Raw Orders'!K655</f>
        <v/>
      </c>
      <c r="J655" s="13">
        <f>IF('Raw Orders'!J655,"",(YEAR('Raw Orders'!I655)-YEAR('Raw Orders'!H655))*12+MONTH('Raw Orders'!I655)-MONTH('Raw Orders'!H655))</f>
        <v/>
      </c>
      <c r="K655">
        <f>IF('Raw Orders'!J655,"Cancelled",IF('Raw Orders'!K655&gt;=2,"Slipped","On plan"))</f>
        <v/>
      </c>
      <c r="L655" s="14">
        <f>IF(K655="On plan",0,F655)</f>
        <v/>
      </c>
    </row>
    <row r="656">
      <c r="A656">
        <f>'Raw Orders'!A656</f>
        <v/>
      </c>
      <c r="B656">
        <f>'Raw Orders'!B656</f>
        <v/>
      </c>
      <c r="C656">
        <f>'Raw Orders'!C656</f>
        <v/>
      </c>
      <c r="D656" s="13">
        <f>'Raw Orders'!E656</f>
        <v/>
      </c>
      <c r="E656" s="14">
        <f>'Raw Orders'!F656</f>
        <v/>
      </c>
      <c r="F656" s="14">
        <f>'Raw Orders'!F656*0.5</f>
        <v/>
      </c>
      <c r="G656" s="12">
        <f>'Raw Orders'!H656</f>
        <v/>
      </c>
      <c r="H656" s="12">
        <f>'Raw Orders'!I656</f>
        <v/>
      </c>
      <c r="I656" s="13">
        <f>'Raw Orders'!K656</f>
        <v/>
      </c>
      <c r="J656" s="13">
        <f>IF('Raw Orders'!J656,"",(YEAR('Raw Orders'!I656)-YEAR('Raw Orders'!H656))*12+MONTH('Raw Orders'!I656)-MONTH('Raw Orders'!H656))</f>
        <v/>
      </c>
      <c r="K656">
        <f>IF('Raw Orders'!J656,"Cancelled",IF('Raw Orders'!K656&gt;=2,"Slipped","On plan"))</f>
        <v/>
      </c>
      <c r="L656" s="14">
        <f>IF(K656="On plan",0,F656)</f>
        <v/>
      </c>
    </row>
    <row r="657">
      <c r="A657">
        <f>'Raw Orders'!A657</f>
        <v/>
      </c>
      <c r="B657">
        <f>'Raw Orders'!B657</f>
        <v/>
      </c>
      <c r="C657">
        <f>'Raw Orders'!C657</f>
        <v/>
      </c>
      <c r="D657" s="13">
        <f>'Raw Orders'!E657</f>
        <v/>
      </c>
      <c r="E657" s="14">
        <f>'Raw Orders'!F657</f>
        <v/>
      </c>
      <c r="F657" s="14">
        <f>'Raw Orders'!F657*0.5</f>
        <v/>
      </c>
      <c r="G657" s="12">
        <f>'Raw Orders'!H657</f>
        <v/>
      </c>
      <c r="H657" s="12">
        <f>'Raw Orders'!I657</f>
        <v/>
      </c>
      <c r="I657" s="13">
        <f>'Raw Orders'!K657</f>
        <v/>
      </c>
      <c r="J657" s="13">
        <f>IF('Raw Orders'!J657,"",(YEAR('Raw Orders'!I657)-YEAR('Raw Orders'!H657))*12+MONTH('Raw Orders'!I657)-MONTH('Raw Orders'!H657))</f>
        <v/>
      </c>
      <c r="K657">
        <f>IF('Raw Orders'!J657,"Cancelled",IF('Raw Orders'!K657&gt;=2,"Slipped","On plan"))</f>
        <v/>
      </c>
      <c r="L657" s="14">
        <f>IF(K657="On plan",0,F657)</f>
        <v/>
      </c>
    </row>
    <row r="658">
      <c r="A658">
        <f>'Raw Orders'!A658</f>
        <v/>
      </c>
      <c r="B658">
        <f>'Raw Orders'!B658</f>
        <v/>
      </c>
      <c r="C658">
        <f>'Raw Orders'!C658</f>
        <v/>
      </c>
      <c r="D658" s="13">
        <f>'Raw Orders'!E658</f>
        <v/>
      </c>
      <c r="E658" s="14">
        <f>'Raw Orders'!F658</f>
        <v/>
      </c>
      <c r="F658" s="14">
        <f>'Raw Orders'!F658*0.5</f>
        <v/>
      </c>
      <c r="G658" s="12">
        <f>'Raw Orders'!H658</f>
        <v/>
      </c>
      <c r="H658" s="12">
        <f>'Raw Orders'!I658</f>
        <v/>
      </c>
      <c r="I658" s="13">
        <f>'Raw Orders'!K658</f>
        <v/>
      </c>
      <c r="J658" s="13">
        <f>IF('Raw Orders'!J658,"",(YEAR('Raw Orders'!I658)-YEAR('Raw Orders'!H658))*12+MONTH('Raw Orders'!I658)-MONTH('Raw Orders'!H658))</f>
        <v/>
      </c>
      <c r="K658">
        <f>IF('Raw Orders'!J658,"Cancelled",IF('Raw Orders'!K658&gt;=2,"Slipped","On plan"))</f>
        <v/>
      </c>
      <c r="L658" s="14">
        <f>IF(K658="On plan",0,F658)</f>
        <v/>
      </c>
    </row>
    <row r="659">
      <c r="A659">
        <f>'Raw Orders'!A659</f>
        <v/>
      </c>
      <c r="B659">
        <f>'Raw Orders'!B659</f>
        <v/>
      </c>
      <c r="C659">
        <f>'Raw Orders'!C659</f>
        <v/>
      </c>
      <c r="D659" s="13">
        <f>'Raw Orders'!E659</f>
        <v/>
      </c>
      <c r="E659" s="14">
        <f>'Raw Orders'!F659</f>
        <v/>
      </c>
      <c r="F659" s="14">
        <f>'Raw Orders'!F659*0.5</f>
        <v/>
      </c>
      <c r="G659" s="12">
        <f>'Raw Orders'!H659</f>
        <v/>
      </c>
      <c r="H659" s="12">
        <f>'Raw Orders'!I659</f>
        <v/>
      </c>
      <c r="I659" s="13">
        <f>'Raw Orders'!K659</f>
        <v/>
      </c>
      <c r="J659" s="13">
        <f>IF('Raw Orders'!J659,"",(YEAR('Raw Orders'!I659)-YEAR('Raw Orders'!H659))*12+MONTH('Raw Orders'!I659)-MONTH('Raw Orders'!H659))</f>
        <v/>
      </c>
      <c r="K659">
        <f>IF('Raw Orders'!J659,"Cancelled",IF('Raw Orders'!K659&gt;=2,"Slipped","On plan"))</f>
        <v/>
      </c>
      <c r="L659" s="14">
        <f>IF(K659="On plan",0,F659)</f>
        <v/>
      </c>
    </row>
    <row r="660">
      <c r="A660">
        <f>'Raw Orders'!A660</f>
        <v/>
      </c>
      <c r="B660">
        <f>'Raw Orders'!B660</f>
        <v/>
      </c>
      <c r="C660">
        <f>'Raw Orders'!C660</f>
        <v/>
      </c>
      <c r="D660" s="13">
        <f>'Raw Orders'!E660</f>
        <v/>
      </c>
      <c r="E660" s="14">
        <f>'Raw Orders'!F660</f>
        <v/>
      </c>
      <c r="F660" s="14">
        <f>'Raw Orders'!F660*0.5</f>
        <v/>
      </c>
      <c r="G660" s="12">
        <f>'Raw Orders'!H660</f>
        <v/>
      </c>
      <c r="H660" s="12">
        <f>'Raw Orders'!I660</f>
        <v/>
      </c>
      <c r="I660" s="13">
        <f>'Raw Orders'!K660</f>
        <v/>
      </c>
      <c r="J660" s="13">
        <f>IF('Raw Orders'!J660,"",(YEAR('Raw Orders'!I660)-YEAR('Raw Orders'!H660))*12+MONTH('Raw Orders'!I660)-MONTH('Raw Orders'!H660))</f>
        <v/>
      </c>
      <c r="K660">
        <f>IF('Raw Orders'!J660,"Cancelled",IF('Raw Orders'!K660&gt;=2,"Slipped","On plan"))</f>
        <v/>
      </c>
      <c r="L660" s="14">
        <f>IF(K660="On plan",0,F660)</f>
        <v/>
      </c>
    </row>
    <row r="661">
      <c r="A661">
        <f>'Raw Orders'!A661</f>
        <v/>
      </c>
      <c r="B661">
        <f>'Raw Orders'!B661</f>
        <v/>
      </c>
      <c r="C661">
        <f>'Raw Orders'!C661</f>
        <v/>
      </c>
      <c r="D661" s="13">
        <f>'Raw Orders'!E661</f>
        <v/>
      </c>
      <c r="E661" s="14">
        <f>'Raw Orders'!F661</f>
        <v/>
      </c>
      <c r="F661" s="14">
        <f>'Raw Orders'!F661*0.5</f>
        <v/>
      </c>
      <c r="G661" s="12">
        <f>'Raw Orders'!H661</f>
        <v/>
      </c>
      <c r="H661" s="12">
        <f>'Raw Orders'!I661</f>
        <v/>
      </c>
      <c r="I661" s="13">
        <f>'Raw Orders'!K661</f>
        <v/>
      </c>
      <c r="J661" s="13">
        <f>IF('Raw Orders'!J661,"",(YEAR('Raw Orders'!I661)-YEAR('Raw Orders'!H661))*12+MONTH('Raw Orders'!I661)-MONTH('Raw Orders'!H661))</f>
        <v/>
      </c>
      <c r="K661">
        <f>IF('Raw Orders'!J661,"Cancelled",IF('Raw Orders'!K661&gt;=2,"Slipped","On plan"))</f>
        <v/>
      </c>
      <c r="L661" s="14">
        <f>IF(K661="On plan",0,F661)</f>
        <v/>
      </c>
    </row>
    <row r="662">
      <c r="A662">
        <f>'Raw Orders'!A662</f>
        <v/>
      </c>
      <c r="B662">
        <f>'Raw Orders'!B662</f>
        <v/>
      </c>
      <c r="C662">
        <f>'Raw Orders'!C662</f>
        <v/>
      </c>
      <c r="D662" s="13">
        <f>'Raw Orders'!E662</f>
        <v/>
      </c>
      <c r="E662" s="14">
        <f>'Raw Orders'!F662</f>
        <v/>
      </c>
      <c r="F662" s="14">
        <f>'Raw Orders'!F662*0.5</f>
        <v/>
      </c>
      <c r="G662" s="12">
        <f>'Raw Orders'!H662</f>
        <v/>
      </c>
      <c r="H662" s="12">
        <f>'Raw Orders'!I662</f>
        <v/>
      </c>
      <c r="I662" s="13">
        <f>'Raw Orders'!K662</f>
        <v/>
      </c>
      <c r="J662" s="13">
        <f>IF('Raw Orders'!J662,"",(YEAR('Raw Orders'!I662)-YEAR('Raw Orders'!H662))*12+MONTH('Raw Orders'!I662)-MONTH('Raw Orders'!H662))</f>
        <v/>
      </c>
      <c r="K662">
        <f>IF('Raw Orders'!J662,"Cancelled",IF('Raw Orders'!K662&gt;=2,"Slipped","On plan"))</f>
        <v/>
      </c>
      <c r="L662" s="14">
        <f>IF(K662="On plan",0,F662)</f>
        <v/>
      </c>
    </row>
    <row r="663">
      <c r="A663">
        <f>'Raw Orders'!A663</f>
        <v/>
      </c>
      <c r="B663">
        <f>'Raw Orders'!B663</f>
        <v/>
      </c>
      <c r="C663">
        <f>'Raw Orders'!C663</f>
        <v/>
      </c>
      <c r="D663" s="13">
        <f>'Raw Orders'!E663</f>
        <v/>
      </c>
      <c r="E663" s="14">
        <f>'Raw Orders'!F663</f>
        <v/>
      </c>
      <c r="F663" s="14">
        <f>'Raw Orders'!F663*0.5</f>
        <v/>
      </c>
      <c r="G663" s="12">
        <f>'Raw Orders'!H663</f>
        <v/>
      </c>
      <c r="H663" s="12">
        <f>'Raw Orders'!I663</f>
        <v/>
      </c>
      <c r="I663" s="13">
        <f>'Raw Orders'!K663</f>
        <v/>
      </c>
      <c r="J663" s="13">
        <f>IF('Raw Orders'!J663,"",(YEAR('Raw Orders'!I663)-YEAR('Raw Orders'!H663))*12+MONTH('Raw Orders'!I663)-MONTH('Raw Orders'!H663))</f>
        <v/>
      </c>
      <c r="K663">
        <f>IF('Raw Orders'!J663,"Cancelled",IF('Raw Orders'!K663&gt;=2,"Slipped","On plan"))</f>
        <v/>
      </c>
      <c r="L663" s="14">
        <f>IF(K663="On plan",0,F663)</f>
        <v/>
      </c>
    </row>
    <row r="664">
      <c r="A664">
        <f>'Raw Orders'!A664</f>
        <v/>
      </c>
      <c r="B664">
        <f>'Raw Orders'!B664</f>
        <v/>
      </c>
      <c r="C664">
        <f>'Raw Orders'!C664</f>
        <v/>
      </c>
      <c r="D664" s="13">
        <f>'Raw Orders'!E664</f>
        <v/>
      </c>
      <c r="E664" s="14">
        <f>'Raw Orders'!F664</f>
        <v/>
      </c>
      <c r="F664" s="14">
        <f>'Raw Orders'!F664*0.5</f>
        <v/>
      </c>
      <c r="G664" s="12">
        <f>'Raw Orders'!H664</f>
        <v/>
      </c>
      <c r="H664" s="12">
        <f>'Raw Orders'!I664</f>
        <v/>
      </c>
      <c r="I664" s="13">
        <f>'Raw Orders'!K664</f>
        <v/>
      </c>
      <c r="J664" s="13">
        <f>IF('Raw Orders'!J664,"",(YEAR('Raw Orders'!I664)-YEAR('Raw Orders'!H664))*12+MONTH('Raw Orders'!I664)-MONTH('Raw Orders'!H664))</f>
        <v/>
      </c>
      <c r="K664">
        <f>IF('Raw Orders'!J664,"Cancelled",IF('Raw Orders'!K664&gt;=2,"Slipped","On plan"))</f>
        <v/>
      </c>
      <c r="L664" s="14">
        <f>IF(K664="On plan",0,F664)</f>
        <v/>
      </c>
    </row>
    <row r="665">
      <c r="A665">
        <f>'Raw Orders'!A665</f>
        <v/>
      </c>
      <c r="B665">
        <f>'Raw Orders'!B665</f>
        <v/>
      </c>
      <c r="C665">
        <f>'Raw Orders'!C665</f>
        <v/>
      </c>
      <c r="D665" s="13">
        <f>'Raw Orders'!E665</f>
        <v/>
      </c>
      <c r="E665" s="14">
        <f>'Raw Orders'!F665</f>
        <v/>
      </c>
      <c r="F665" s="14">
        <f>'Raw Orders'!F665*0.5</f>
        <v/>
      </c>
      <c r="G665" s="12">
        <f>'Raw Orders'!H665</f>
        <v/>
      </c>
      <c r="H665" s="12">
        <f>'Raw Orders'!I665</f>
        <v/>
      </c>
      <c r="I665" s="13">
        <f>'Raw Orders'!K665</f>
        <v/>
      </c>
      <c r="J665" s="13">
        <f>IF('Raw Orders'!J665,"",(YEAR('Raw Orders'!I665)-YEAR('Raw Orders'!H665))*12+MONTH('Raw Orders'!I665)-MONTH('Raw Orders'!H665))</f>
        <v/>
      </c>
      <c r="K665">
        <f>IF('Raw Orders'!J665,"Cancelled",IF('Raw Orders'!K665&gt;=2,"Slipped","On plan"))</f>
        <v/>
      </c>
      <c r="L665" s="14">
        <f>IF(K665="On plan",0,F665)</f>
        <v/>
      </c>
    </row>
    <row r="666">
      <c r="A666">
        <f>'Raw Orders'!A666</f>
        <v/>
      </c>
      <c r="B666">
        <f>'Raw Orders'!B666</f>
        <v/>
      </c>
      <c r="C666">
        <f>'Raw Orders'!C666</f>
        <v/>
      </c>
      <c r="D666" s="13">
        <f>'Raw Orders'!E666</f>
        <v/>
      </c>
      <c r="E666" s="14">
        <f>'Raw Orders'!F666</f>
        <v/>
      </c>
      <c r="F666" s="14">
        <f>'Raw Orders'!F666*0.5</f>
        <v/>
      </c>
      <c r="G666" s="12">
        <f>'Raw Orders'!H666</f>
        <v/>
      </c>
      <c r="H666" s="12">
        <f>'Raw Orders'!I666</f>
        <v/>
      </c>
      <c r="I666" s="13">
        <f>'Raw Orders'!K666</f>
        <v/>
      </c>
      <c r="J666" s="13">
        <f>IF('Raw Orders'!J666,"",(YEAR('Raw Orders'!I666)-YEAR('Raw Orders'!H666))*12+MONTH('Raw Orders'!I666)-MONTH('Raw Orders'!H666))</f>
        <v/>
      </c>
      <c r="K666">
        <f>IF('Raw Orders'!J666,"Cancelled",IF('Raw Orders'!K666&gt;=2,"Slipped","On plan"))</f>
        <v/>
      </c>
      <c r="L666" s="14">
        <f>IF(K666="On plan",0,F666)</f>
        <v/>
      </c>
    </row>
    <row r="667">
      <c r="A667">
        <f>'Raw Orders'!A667</f>
        <v/>
      </c>
      <c r="B667">
        <f>'Raw Orders'!B667</f>
        <v/>
      </c>
      <c r="C667">
        <f>'Raw Orders'!C667</f>
        <v/>
      </c>
      <c r="D667" s="13">
        <f>'Raw Orders'!E667</f>
        <v/>
      </c>
      <c r="E667" s="14">
        <f>'Raw Orders'!F667</f>
        <v/>
      </c>
      <c r="F667" s="14">
        <f>'Raw Orders'!F667*0.5</f>
        <v/>
      </c>
      <c r="G667" s="12">
        <f>'Raw Orders'!H667</f>
        <v/>
      </c>
      <c r="H667" s="12">
        <f>'Raw Orders'!I667</f>
        <v/>
      </c>
      <c r="I667" s="13">
        <f>'Raw Orders'!K667</f>
        <v/>
      </c>
      <c r="J667" s="13">
        <f>IF('Raw Orders'!J667,"",(YEAR('Raw Orders'!I667)-YEAR('Raw Orders'!H667))*12+MONTH('Raw Orders'!I667)-MONTH('Raw Orders'!H667))</f>
        <v/>
      </c>
      <c r="K667">
        <f>IF('Raw Orders'!J667,"Cancelled",IF('Raw Orders'!K667&gt;=2,"Slipped","On plan"))</f>
        <v/>
      </c>
      <c r="L667" s="14">
        <f>IF(K667="On plan",0,F667)</f>
        <v/>
      </c>
    </row>
    <row r="668">
      <c r="A668">
        <f>'Raw Orders'!A668</f>
        <v/>
      </c>
      <c r="B668">
        <f>'Raw Orders'!B668</f>
        <v/>
      </c>
      <c r="C668">
        <f>'Raw Orders'!C668</f>
        <v/>
      </c>
      <c r="D668" s="13">
        <f>'Raw Orders'!E668</f>
        <v/>
      </c>
      <c r="E668" s="14">
        <f>'Raw Orders'!F668</f>
        <v/>
      </c>
      <c r="F668" s="14">
        <f>'Raw Orders'!F668*0.5</f>
        <v/>
      </c>
      <c r="G668" s="12">
        <f>'Raw Orders'!H668</f>
        <v/>
      </c>
      <c r="H668" s="12">
        <f>'Raw Orders'!I668</f>
        <v/>
      </c>
      <c r="I668" s="13">
        <f>'Raw Orders'!K668</f>
        <v/>
      </c>
      <c r="J668" s="13">
        <f>IF('Raw Orders'!J668,"",(YEAR('Raw Orders'!I668)-YEAR('Raw Orders'!H668))*12+MONTH('Raw Orders'!I668)-MONTH('Raw Orders'!H668))</f>
        <v/>
      </c>
      <c r="K668">
        <f>IF('Raw Orders'!J668,"Cancelled",IF('Raw Orders'!K668&gt;=2,"Slipped","On plan"))</f>
        <v/>
      </c>
      <c r="L668" s="14">
        <f>IF(K668="On plan",0,F668)</f>
        <v/>
      </c>
    </row>
    <row r="669">
      <c r="A669">
        <f>'Raw Orders'!A669</f>
        <v/>
      </c>
      <c r="B669">
        <f>'Raw Orders'!B669</f>
        <v/>
      </c>
      <c r="C669">
        <f>'Raw Orders'!C669</f>
        <v/>
      </c>
      <c r="D669" s="13">
        <f>'Raw Orders'!E669</f>
        <v/>
      </c>
      <c r="E669" s="14">
        <f>'Raw Orders'!F669</f>
        <v/>
      </c>
      <c r="F669" s="14">
        <f>'Raw Orders'!F669*0.5</f>
        <v/>
      </c>
      <c r="G669" s="12">
        <f>'Raw Orders'!H669</f>
        <v/>
      </c>
      <c r="H669" s="12">
        <f>'Raw Orders'!I669</f>
        <v/>
      </c>
      <c r="I669" s="13">
        <f>'Raw Orders'!K669</f>
        <v/>
      </c>
      <c r="J669" s="13">
        <f>IF('Raw Orders'!J669,"",(YEAR('Raw Orders'!I669)-YEAR('Raw Orders'!H669))*12+MONTH('Raw Orders'!I669)-MONTH('Raw Orders'!H669))</f>
        <v/>
      </c>
      <c r="K669">
        <f>IF('Raw Orders'!J669,"Cancelled",IF('Raw Orders'!K669&gt;=2,"Slipped","On plan"))</f>
        <v/>
      </c>
      <c r="L669" s="14">
        <f>IF(K669="On plan",0,F669)</f>
        <v/>
      </c>
    </row>
    <row r="670">
      <c r="A670">
        <f>'Raw Orders'!A670</f>
        <v/>
      </c>
      <c r="B670">
        <f>'Raw Orders'!B670</f>
        <v/>
      </c>
      <c r="C670">
        <f>'Raw Orders'!C670</f>
        <v/>
      </c>
      <c r="D670" s="13">
        <f>'Raw Orders'!E670</f>
        <v/>
      </c>
      <c r="E670" s="14">
        <f>'Raw Orders'!F670</f>
        <v/>
      </c>
      <c r="F670" s="14">
        <f>'Raw Orders'!F670*0.5</f>
        <v/>
      </c>
      <c r="G670" s="12">
        <f>'Raw Orders'!H670</f>
        <v/>
      </c>
      <c r="H670" s="12">
        <f>'Raw Orders'!I670</f>
        <v/>
      </c>
      <c r="I670" s="13">
        <f>'Raw Orders'!K670</f>
        <v/>
      </c>
      <c r="J670" s="13">
        <f>IF('Raw Orders'!J670,"",(YEAR('Raw Orders'!I670)-YEAR('Raw Orders'!H670))*12+MONTH('Raw Orders'!I670)-MONTH('Raw Orders'!H670))</f>
        <v/>
      </c>
      <c r="K670">
        <f>IF('Raw Orders'!J670,"Cancelled",IF('Raw Orders'!K670&gt;=2,"Slipped","On plan"))</f>
        <v/>
      </c>
      <c r="L670" s="14">
        <f>IF(K670="On plan",0,F670)</f>
        <v/>
      </c>
    </row>
    <row r="671">
      <c r="A671">
        <f>'Raw Orders'!A671</f>
        <v/>
      </c>
      <c r="B671">
        <f>'Raw Orders'!B671</f>
        <v/>
      </c>
      <c r="C671">
        <f>'Raw Orders'!C671</f>
        <v/>
      </c>
      <c r="D671" s="13">
        <f>'Raw Orders'!E671</f>
        <v/>
      </c>
      <c r="E671" s="14">
        <f>'Raw Orders'!F671</f>
        <v/>
      </c>
      <c r="F671" s="14">
        <f>'Raw Orders'!F671*0.5</f>
        <v/>
      </c>
      <c r="G671" s="12">
        <f>'Raw Orders'!H671</f>
        <v/>
      </c>
      <c r="H671" s="12">
        <f>'Raw Orders'!I671</f>
        <v/>
      </c>
      <c r="I671" s="13">
        <f>'Raw Orders'!K671</f>
        <v/>
      </c>
      <c r="J671" s="13">
        <f>IF('Raw Orders'!J671,"",(YEAR('Raw Orders'!I671)-YEAR('Raw Orders'!H671))*12+MONTH('Raw Orders'!I671)-MONTH('Raw Orders'!H671))</f>
        <v/>
      </c>
      <c r="K671">
        <f>IF('Raw Orders'!J671,"Cancelled",IF('Raw Orders'!K671&gt;=2,"Slipped","On plan"))</f>
        <v/>
      </c>
      <c r="L671" s="14">
        <f>IF(K671="On plan",0,F671)</f>
        <v/>
      </c>
    </row>
    <row r="672">
      <c r="A672">
        <f>'Raw Orders'!A672</f>
        <v/>
      </c>
      <c r="B672">
        <f>'Raw Orders'!B672</f>
        <v/>
      </c>
      <c r="C672">
        <f>'Raw Orders'!C672</f>
        <v/>
      </c>
      <c r="D672" s="13">
        <f>'Raw Orders'!E672</f>
        <v/>
      </c>
      <c r="E672" s="14">
        <f>'Raw Orders'!F672</f>
        <v/>
      </c>
      <c r="F672" s="14">
        <f>'Raw Orders'!F672*0.5</f>
        <v/>
      </c>
      <c r="G672" s="12">
        <f>'Raw Orders'!H672</f>
        <v/>
      </c>
      <c r="H672" s="12">
        <f>'Raw Orders'!I672</f>
        <v/>
      </c>
      <c r="I672" s="13">
        <f>'Raw Orders'!K672</f>
        <v/>
      </c>
      <c r="J672" s="13">
        <f>IF('Raw Orders'!J672,"",(YEAR('Raw Orders'!I672)-YEAR('Raw Orders'!H672))*12+MONTH('Raw Orders'!I672)-MONTH('Raw Orders'!H672))</f>
        <v/>
      </c>
      <c r="K672">
        <f>IF('Raw Orders'!J672,"Cancelled",IF('Raw Orders'!K672&gt;=2,"Slipped","On plan"))</f>
        <v/>
      </c>
      <c r="L672" s="14">
        <f>IF(K672="On plan",0,F672)</f>
        <v/>
      </c>
    </row>
    <row r="673">
      <c r="A673">
        <f>'Raw Orders'!A673</f>
        <v/>
      </c>
      <c r="B673">
        <f>'Raw Orders'!B673</f>
        <v/>
      </c>
      <c r="C673">
        <f>'Raw Orders'!C673</f>
        <v/>
      </c>
      <c r="D673" s="13">
        <f>'Raw Orders'!E673</f>
        <v/>
      </c>
      <c r="E673" s="14">
        <f>'Raw Orders'!F673</f>
        <v/>
      </c>
      <c r="F673" s="14">
        <f>'Raw Orders'!F673*0.5</f>
        <v/>
      </c>
      <c r="G673" s="12">
        <f>'Raw Orders'!H673</f>
        <v/>
      </c>
      <c r="H673" s="12">
        <f>'Raw Orders'!I673</f>
        <v/>
      </c>
      <c r="I673" s="13">
        <f>'Raw Orders'!K673</f>
        <v/>
      </c>
      <c r="J673" s="13">
        <f>IF('Raw Orders'!J673,"",(YEAR('Raw Orders'!I673)-YEAR('Raw Orders'!H673))*12+MONTH('Raw Orders'!I673)-MONTH('Raw Orders'!H673))</f>
        <v/>
      </c>
      <c r="K673">
        <f>IF('Raw Orders'!J673,"Cancelled",IF('Raw Orders'!K673&gt;=2,"Slipped","On plan"))</f>
        <v/>
      </c>
      <c r="L673" s="14">
        <f>IF(K673="On plan",0,F673)</f>
        <v/>
      </c>
    </row>
    <row r="674">
      <c r="A674">
        <f>'Raw Orders'!A674</f>
        <v/>
      </c>
      <c r="B674">
        <f>'Raw Orders'!B674</f>
        <v/>
      </c>
      <c r="C674">
        <f>'Raw Orders'!C674</f>
        <v/>
      </c>
      <c r="D674" s="13">
        <f>'Raw Orders'!E674</f>
        <v/>
      </c>
      <c r="E674" s="14">
        <f>'Raw Orders'!F674</f>
        <v/>
      </c>
      <c r="F674" s="14">
        <f>'Raw Orders'!F674*0.5</f>
        <v/>
      </c>
      <c r="G674" s="12">
        <f>'Raw Orders'!H674</f>
        <v/>
      </c>
      <c r="H674" s="12">
        <f>'Raw Orders'!I674</f>
        <v/>
      </c>
      <c r="I674" s="13">
        <f>'Raw Orders'!K674</f>
        <v/>
      </c>
      <c r="J674" s="13">
        <f>IF('Raw Orders'!J674,"",(YEAR('Raw Orders'!I674)-YEAR('Raw Orders'!H674))*12+MONTH('Raw Orders'!I674)-MONTH('Raw Orders'!H674))</f>
        <v/>
      </c>
      <c r="K674">
        <f>IF('Raw Orders'!J674,"Cancelled",IF('Raw Orders'!K674&gt;=2,"Slipped","On plan"))</f>
        <v/>
      </c>
      <c r="L674" s="14">
        <f>IF(K674="On plan",0,F674)</f>
        <v/>
      </c>
    </row>
    <row r="675">
      <c r="A675">
        <f>'Raw Orders'!A675</f>
        <v/>
      </c>
      <c r="B675">
        <f>'Raw Orders'!B675</f>
        <v/>
      </c>
      <c r="C675">
        <f>'Raw Orders'!C675</f>
        <v/>
      </c>
      <c r="D675" s="13">
        <f>'Raw Orders'!E675</f>
        <v/>
      </c>
      <c r="E675" s="14">
        <f>'Raw Orders'!F675</f>
        <v/>
      </c>
      <c r="F675" s="14">
        <f>'Raw Orders'!F675*0.5</f>
        <v/>
      </c>
      <c r="G675" s="12">
        <f>'Raw Orders'!H675</f>
        <v/>
      </c>
      <c r="H675" s="12">
        <f>'Raw Orders'!I675</f>
        <v/>
      </c>
      <c r="I675" s="13">
        <f>'Raw Orders'!K675</f>
        <v/>
      </c>
      <c r="J675" s="13">
        <f>IF('Raw Orders'!J675,"",(YEAR('Raw Orders'!I675)-YEAR('Raw Orders'!H675))*12+MONTH('Raw Orders'!I675)-MONTH('Raw Orders'!H675))</f>
        <v/>
      </c>
      <c r="K675">
        <f>IF('Raw Orders'!J675,"Cancelled",IF('Raw Orders'!K675&gt;=2,"Slipped","On plan"))</f>
        <v/>
      </c>
      <c r="L675" s="14">
        <f>IF(K675="On plan",0,F675)</f>
        <v/>
      </c>
    </row>
    <row r="676">
      <c r="A676">
        <f>'Raw Orders'!A676</f>
        <v/>
      </c>
      <c r="B676">
        <f>'Raw Orders'!B676</f>
        <v/>
      </c>
      <c r="C676">
        <f>'Raw Orders'!C676</f>
        <v/>
      </c>
      <c r="D676" s="13">
        <f>'Raw Orders'!E676</f>
        <v/>
      </c>
      <c r="E676" s="14">
        <f>'Raw Orders'!F676</f>
        <v/>
      </c>
      <c r="F676" s="14">
        <f>'Raw Orders'!F676*0.5</f>
        <v/>
      </c>
      <c r="G676" s="12">
        <f>'Raw Orders'!H676</f>
        <v/>
      </c>
      <c r="H676" s="12">
        <f>'Raw Orders'!I676</f>
        <v/>
      </c>
      <c r="I676" s="13">
        <f>'Raw Orders'!K676</f>
        <v/>
      </c>
      <c r="J676" s="13">
        <f>IF('Raw Orders'!J676,"",(YEAR('Raw Orders'!I676)-YEAR('Raw Orders'!H676))*12+MONTH('Raw Orders'!I676)-MONTH('Raw Orders'!H676))</f>
        <v/>
      </c>
      <c r="K676">
        <f>IF('Raw Orders'!J676,"Cancelled",IF('Raw Orders'!K676&gt;=2,"Slipped","On plan"))</f>
        <v/>
      </c>
      <c r="L676" s="14">
        <f>IF(K676="On plan",0,F676)</f>
        <v/>
      </c>
    </row>
    <row r="677">
      <c r="A677">
        <f>'Raw Orders'!A677</f>
        <v/>
      </c>
      <c r="B677">
        <f>'Raw Orders'!B677</f>
        <v/>
      </c>
      <c r="C677">
        <f>'Raw Orders'!C677</f>
        <v/>
      </c>
      <c r="D677" s="13">
        <f>'Raw Orders'!E677</f>
        <v/>
      </c>
      <c r="E677" s="14">
        <f>'Raw Orders'!F677</f>
        <v/>
      </c>
      <c r="F677" s="14">
        <f>'Raw Orders'!F677*0.5</f>
        <v/>
      </c>
      <c r="G677" s="12">
        <f>'Raw Orders'!H677</f>
        <v/>
      </c>
      <c r="H677" s="12">
        <f>'Raw Orders'!I677</f>
        <v/>
      </c>
      <c r="I677" s="13">
        <f>'Raw Orders'!K677</f>
        <v/>
      </c>
      <c r="J677" s="13">
        <f>IF('Raw Orders'!J677,"",(YEAR('Raw Orders'!I677)-YEAR('Raw Orders'!H677))*12+MONTH('Raw Orders'!I677)-MONTH('Raw Orders'!H677))</f>
        <v/>
      </c>
      <c r="K677">
        <f>IF('Raw Orders'!J677,"Cancelled",IF('Raw Orders'!K677&gt;=2,"Slipped","On plan"))</f>
        <v/>
      </c>
      <c r="L677" s="14">
        <f>IF(K677="On plan",0,F677)</f>
        <v/>
      </c>
    </row>
    <row r="678">
      <c r="A678">
        <f>'Raw Orders'!A678</f>
        <v/>
      </c>
      <c r="B678">
        <f>'Raw Orders'!B678</f>
        <v/>
      </c>
      <c r="C678">
        <f>'Raw Orders'!C678</f>
        <v/>
      </c>
      <c r="D678" s="13">
        <f>'Raw Orders'!E678</f>
        <v/>
      </c>
      <c r="E678" s="14">
        <f>'Raw Orders'!F678</f>
        <v/>
      </c>
      <c r="F678" s="14">
        <f>'Raw Orders'!F678*0.5</f>
        <v/>
      </c>
      <c r="G678" s="12">
        <f>'Raw Orders'!H678</f>
        <v/>
      </c>
      <c r="H678" s="12">
        <f>'Raw Orders'!I678</f>
        <v/>
      </c>
      <c r="I678" s="13">
        <f>'Raw Orders'!K678</f>
        <v/>
      </c>
      <c r="J678" s="13">
        <f>IF('Raw Orders'!J678,"",(YEAR('Raw Orders'!I678)-YEAR('Raw Orders'!H678))*12+MONTH('Raw Orders'!I678)-MONTH('Raw Orders'!H678))</f>
        <v/>
      </c>
      <c r="K678">
        <f>IF('Raw Orders'!J678,"Cancelled",IF('Raw Orders'!K678&gt;=2,"Slipped","On plan"))</f>
        <v/>
      </c>
      <c r="L678" s="14">
        <f>IF(K678="On plan",0,F678)</f>
        <v/>
      </c>
    </row>
    <row r="679">
      <c r="A679">
        <f>'Raw Orders'!A679</f>
        <v/>
      </c>
      <c r="B679">
        <f>'Raw Orders'!B679</f>
        <v/>
      </c>
      <c r="C679">
        <f>'Raw Orders'!C679</f>
        <v/>
      </c>
      <c r="D679" s="13">
        <f>'Raw Orders'!E679</f>
        <v/>
      </c>
      <c r="E679" s="14">
        <f>'Raw Orders'!F679</f>
        <v/>
      </c>
      <c r="F679" s="14">
        <f>'Raw Orders'!F679*0.5</f>
        <v/>
      </c>
      <c r="G679" s="12">
        <f>'Raw Orders'!H679</f>
        <v/>
      </c>
      <c r="H679" s="12">
        <f>'Raw Orders'!I679</f>
        <v/>
      </c>
      <c r="I679" s="13">
        <f>'Raw Orders'!K679</f>
        <v/>
      </c>
      <c r="J679" s="13">
        <f>IF('Raw Orders'!J679,"",(YEAR('Raw Orders'!I679)-YEAR('Raw Orders'!H679))*12+MONTH('Raw Orders'!I679)-MONTH('Raw Orders'!H679))</f>
        <v/>
      </c>
      <c r="K679">
        <f>IF('Raw Orders'!J679,"Cancelled",IF('Raw Orders'!K679&gt;=2,"Slipped","On plan"))</f>
        <v/>
      </c>
      <c r="L679" s="14">
        <f>IF(K679="On plan",0,F679)</f>
        <v/>
      </c>
    </row>
    <row r="680">
      <c r="A680">
        <f>'Raw Orders'!A680</f>
        <v/>
      </c>
      <c r="B680">
        <f>'Raw Orders'!B680</f>
        <v/>
      </c>
      <c r="C680">
        <f>'Raw Orders'!C680</f>
        <v/>
      </c>
      <c r="D680" s="13">
        <f>'Raw Orders'!E680</f>
        <v/>
      </c>
      <c r="E680" s="14">
        <f>'Raw Orders'!F680</f>
        <v/>
      </c>
      <c r="F680" s="14">
        <f>'Raw Orders'!F680*0.5</f>
        <v/>
      </c>
      <c r="G680" s="12">
        <f>'Raw Orders'!H680</f>
        <v/>
      </c>
      <c r="H680" s="12">
        <f>'Raw Orders'!I680</f>
        <v/>
      </c>
      <c r="I680" s="13">
        <f>'Raw Orders'!K680</f>
        <v/>
      </c>
      <c r="J680" s="13">
        <f>IF('Raw Orders'!J680,"",(YEAR('Raw Orders'!I680)-YEAR('Raw Orders'!H680))*12+MONTH('Raw Orders'!I680)-MONTH('Raw Orders'!H680))</f>
        <v/>
      </c>
      <c r="K680">
        <f>IF('Raw Orders'!J680,"Cancelled",IF('Raw Orders'!K680&gt;=2,"Slipped","On plan"))</f>
        <v/>
      </c>
      <c r="L680" s="14">
        <f>IF(K680="On plan",0,F680)</f>
        <v/>
      </c>
    </row>
    <row r="681">
      <c r="A681">
        <f>'Raw Orders'!A681</f>
        <v/>
      </c>
      <c r="B681">
        <f>'Raw Orders'!B681</f>
        <v/>
      </c>
      <c r="C681">
        <f>'Raw Orders'!C681</f>
        <v/>
      </c>
      <c r="D681" s="13">
        <f>'Raw Orders'!E681</f>
        <v/>
      </c>
      <c r="E681" s="14">
        <f>'Raw Orders'!F681</f>
        <v/>
      </c>
      <c r="F681" s="14">
        <f>'Raw Orders'!F681*0.5</f>
        <v/>
      </c>
      <c r="G681" s="12">
        <f>'Raw Orders'!H681</f>
        <v/>
      </c>
      <c r="H681" s="12">
        <f>'Raw Orders'!I681</f>
        <v/>
      </c>
      <c r="I681" s="13">
        <f>'Raw Orders'!K681</f>
        <v/>
      </c>
      <c r="J681" s="13">
        <f>IF('Raw Orders'!J681,"",(YEAR('Raw Orders'!I681)-YEAR('Raw Orders'!H681))*12+MONTH('Raw Orders'!I681)-MONTH('Raw Orders'!H681))</f>
        <v/>
      </c>
      <c r="K681">
        <f>IF('Raw Orders'!J681,"Cancelled",IF('Raw Orders'!K681&gt;=2,"Slipped","On plan"))</f>
        <v/>
      </c>
      <c r="L681" s="14">
        <f>IF(K681="On plan",0,F681)</f>
        <v/>
      </c>
    </row>
    <row r="682">
      <c r="A682">
        <f>'Raw Orders'!A682</f>
        <v/>
      </c>
      <c r="B682">
        <f>'Raw Orders'!B682</f>
        <v/>
      </c>
      <c r="C682">
        <f>'Raw Orders'!C682</f>
        <v/>
      </c>
      <c r="D682" s="13">
        <f>'Raw Orders'!E682</f>
        <v/>
      </c>
      <c r="E682" s="14">
        <f>'Raw Orders'!F682</f>
        <v/>
      </c>
      <c r="F682" s="14">
        <f>'Raw Orders'!F682*0.5</f>
        <v/>
      </c>
      <c r="G682" s="12">
        <f>'Raw Orders'!H682</f>
        <v/>
      </c>
      <c r="H682" s="12">
        <f>'Raw Orders'!I682</f>
        <v/>
      </c>
      <c r="I682" s="13">
        <f>'Raw Orders'!K682</f>
        <v/>
      </c>
      <c r="J682" s="13">
        <f>IF('Raw Orders'!J682,"",(YEAR('Raw Orders'!I682)-YEAR('Raw Orders'!H682))*12+MONTH('Raw Orders'!I682)-MONTH('Raw Orders'!H682))</f>
        <v/>
      </c>
      <c r="K682">
        <f>IF('Raw Orders'!J682,"Cancelled",IF('Raw Orders'!K682&gt;=2,"Slipped","On plan"))</f>
        <v/>
      </c>
      <c r="L682" s="14">
        <f>IF(K682="On plan",0,F682)</f>
        <v/>
      </c>
    </row>
    <row r="683">
      <c r="A683">
        <f>'Raw Orders'!A683</f>
        <v/>
      </c>
      <c r="B683">
        <f>'Raw Orders'!B683</f>
        <v/>
      </c>
      <c r="C683">
        <f>'Raw Orders'!C683</f>
        <v/>
      </c>
      <c r="D683" s="13">
        <f>'Raw Orders'!E683</f>
        <v/>
      </c>
      <c r="E683" s="14">
        <f>'Raw Orders'!F683</f>
        <v/>
      </c>
      <c r="F683" s="14">
        <f>'Raw Orders'!F683*0.5</f>
        <v/>
      </c>
      <c r="G683" s="12">
        <f>'Raw Orders'!H683</f>
        <v/>
      </c>
      <c r="H683" s="12">
        <f>'Raw Orders'!I683</f>
        <v/>
      </c>
      <c r="I683" s="13">
        <f>'Raw Orders'!K683</f>
        <v/>
      </c>
      <c r="J683" s="13">
        <f>IF('Raw Orders'!J683,"",(YEAR('Raw Orders'!I683)-YEAR('Raw Orders'!H683))*12+MONTH('Raw Orders'!I683)-MONTH('Raw Orders'!H683))</f>
        <v/>
      </c>
      <c r="K683">
        <f>IF('Raw Orders'!J683,"Cancelled",IF('Raw Orders'!K683&gt;=2,"Slipped","On plan"))</f>
        <v/>
      </c>
      <c r="L683" s="14">
        <f>IF(K683="On plan",0,F683)</f>
        <v/>
      </c>
    </row>
    <row r="684">
      <c r="A684">
        <f>'Raw Orders'!A684</f>
        <v/>
      </c>
      <c r="B684">
        <f>'Raw Orders'!B684</f>
        <v/>
      </c>
      <c r="C684">
        <f>'Raw Orders'!C684</f>
        <v/>
      </c>
      <c r="D684" s="13">
        <f>'Raw Orders'!E684</f>
        <v/>
      </c>
      <c r="E684" s="14">
        <f>'Raw Orders'!F684</f>
        <v/>
      </c>
      <c r="F684" s="14">
        <f>'Raw Orders'!F684*0.5</f>
        <v/>
      </c>
      <c r="G684" s="12">
        <f>'Raw Orders'!H684</f>
        <v/>
      </c>
      <c r="H684" s="12">
        <f>'Raw Orders'!I684</f>
        <v/>
      </c>
      <c r="I684" s="13">
        <f>'Raw Orders'!K684</f>
        <v/>
      </c>
      <c r="J684" s="13">
        <f>IF('Raw Orders'!J684,"",(YEAR('Raw Orders'!I684)-YEAR('Raw Orders'!H684))*12+MONTH('Raw Orders'!I684)-MONTH('Raw Orders'!H684))</f>
        <v/>
      </c>
      <c r="K684">
        <f>IF('Raw Orders'!J684,"Cancelled",IF('Raw Orders'!K684&gt;=2,"Slipped","On plan"))</f>
        <v/>
      </c>
      <c r="L684" s="14">
        <f>IF(K684="On plan",0,F684)</f>
        <v/>
      </c>
    </row>
    <row r="685">
      <c r="A685">
        <f>'Raw Orders'!A685</f>
        <v/>
      </c>
      <c r="B685">
        <f>'Raw Orders'!B685</f>
        <v/>
      </c>
      <c r="C685">
        <f>'Raw Orders'!C685</f>
        <v/>
      </c>
      <c r="D685" s="13">
        <f>'Raw Orders'!E685</f>
        <v/>
      </c>
      <c r="E685" s="14">
        <f>'Raw Orders'!F685</f>
        <v/>
      </c>
      <c r="F685" s="14">
        <f>'Raw Orders'!F685*0.5</f>
        <v/>
      </c>
      <c r="G685" s="12">
        <f>'Raw Orders'!H685</f>
        <v/>
      </c>
      <c r="H685" s="12">
        <f>'Raw Orders'!I685</f>
        <v/>
      </c>
      <c r="I685" s="13">
        <f>'Raw Orders'!K685</f>
        <v/>
      </c>
      <c r="J685" s="13">
        <f>IF('Raw Orders'!J685,"",(YEAR('Raw Orders'!I685)-YEAR('Raw Orders'!H685))*12+MONTH('Raw Orders'!I685)-MONTH('Raw Orders'!H685))</f>
        <v/>
      </c>
      <c r="K685">
        <f>IF('Raw Orders'!J685,"Cancelled",IF('Raw Orders'!K685&gt;=2,"Slipped","On plan"))</f>
        <v/>
      </c>
      <c r="L685" s="14">
        <f>IF(K685="On plan",0,F685)</f>
        <v/>
      </c>
    </row>
    <row r="686">
      <c r="A686">
        <f>'Raw Orders'!A686</f>
        <v/>
      </c>
      <c r="B686">
        <f>'Raw Orders'!B686</f>
        <v/>
      </c>
      <c r="C686">
        <f>'Raw Orders'!C686</f>
        <v/>
      </c>
      <c r="D686" s="13">
        <f>'Raw Orders'!E686</f>
        <v/>
      </c>
      <c r="E686" s="14">
        <f>'Raw Orders'!F686</f>
        <v/>
      </c>
      <c r="F686" s="14">
        <f>'Raw Orders'!F686*0.5</f>
        <v/>
      </c>
      <c r="G686" s="12">
        <f>'Raw Orders'!H686</f>
        <v/>
      </c>
      <c r="H686" s="12">
        <f>'Raw Orders'!I686</f>
        <v/>
      </c>
      <c r="I686" s="13">
        <f>'Raw Orders'!K686</f>
        <v/>
      </c>
      <c r="J686" s="13">
        <f>IF('Raw Orders'!J686,"",(YEAR('Raw Orders'!I686)-YEAR('Raw Orders'!H686))*12+MONTH('Raw Orders'!I686)-MONTH('Raw Orders'!H686))</f>
        <v/>
      </c>
      <c r="K686">
        <f>IF('Raw Orders'!J686,"Cancelled",IF('Raw Orders'!K686&gt;=2,"Slipped","On plan"))</f>
        <v/>
      </c>
      <c r="L686" s="14">
        <f>IF(K686="On plan",0,F686)</f>
        <v/>
      </c>
    </row>
    <row r="687">
      <c r="A687">
        <f>'Raw Orders'!A687</f>
        <v/>
      </c>
      <c r="B687">
        <f>'Raw Orders'!B687</f>
        <v/>
      </c>
      <c r="C687">
        <f>'Raw Orders'!C687</f>
        <v/>
      </c>
      <c r="D687" s="13">
        <f>'Raw Orders'!E687</f>
        <v/>
      </c>
      <c r="E687" s="14">
        <f>'Raw Orders'!F687</f>
        <v/>
      </c>
      <c r="F687" s="14">
        <f>'Raw Orders'!F687*0.5</f>
        <v/>
      </c>
      <c r="G687" s="12">
        <f>'Raw Orders'!H687</f>
        <v/>
      </c>
      <c r="H687" s="12">
        <f>'Raw Orders'!I687</f>
        <v/>
      </c>
      <c r="I687" s="13">
        <f>'Raw Orders'!K687</f>
        <v/>
      </c>
      <c r="J687" s="13">
        <f>IF('Raw Orders'!J687,"",(YEAR('Raw Orders'!I687)-YEAR('Raw Orders'!H687))*12+MONTH('Raw Orders'!I687)-MONTH('Raw Orders'!H687))</f>
        <v/>
      </c>
      <c r="K687">
        <f>IF('Raw Orders'!J687,"Cancelled",IF('Raw Orders'!K687&gt;=2,"Slipped","On plan"))</f>
        <v/>
      </c>
      <c r="L687" s="14">
        <f>IF(K687="On plan",0,F687)</f>
        <v/>
      </c>
    </row>
    <row r="688">
      <c r="A688">
        <f>'Raw Orders'!A688</f>
        <v/>
      </c>
      <c r="B688">
        <f>'Raw Orders'!B688</f>
        <v/>
      </c>
      <c r="C688">
        <f>'Raw Orders'!C688</f>
        <v/>
      </c>
      <c r="D688" s="13">
        <f>'Raw Orders'!E688</f>
        <v/>
      </c>
      <c r="E688" s="14">
        <f>'Raw Orders'!F688</f>
        <v/>
      </c>
      <c r="F688" s="14">
        <f>'Raw Orders'!F688*0.5</f>
        <v/>
      </c>
      <c r="G688" s="12">
        <f>'Raw Orders'!H688</f>
        <v/>
      </c>
      <c r="H688" s="12">
        <f>'Raw Orders'!I688</f>
        <v/>
      </c>
      <c r="I688" s="13">
        <f>'Raw Orders'!K688</f>
        <v/>
      </c>
      <c r="J688" s="13">
        <f>IF('Raw Orders'!J688,"",(YEAR('Raw Orders'!I688)-YEAR('Raw Orders'!H688))*12+MONTH('Raw Orders'!I688)-MONTH('Raw Orders'!H688))</f>
        <v/>
      </c>
      <c r="K688">
        <f>IF('Raw Orders'!J688,"Cancelled",IF('Raw Orders'!K688&gt;=2,"Slipped","On plan"))</f>
        <v/>
      </c>
      <c r="L688" s="14">
        <f>IF(K688="On plan",0,F688)</f>
        <v/>
      </c>
    </row>
    <row r="689">
      <c r="A689">
        <f>'Raw Orders'!A689</f>
        <v/>
      </c>
      <c r="B689">
        <f>'Raw Orders'!B689</f>
        <v/>
      </c>
      <c r="C689">
        <f>'Raw Orders'!C689</f>
        <v/>
      </c>
      <c r="D689" s="13">
        <f>'Raw Orders'!E689</f>
        <v/>
      </c>
      <c r="E689" s="14">
        <f>'Raw Orders'!F689</f>
        <v/>
      </c>
      <c r="F689" s="14">
        <f>'Raw Orders'!F689*0.5</f>
        <v/>
      </c>
      <c r="G689" s="12">
        <f>'Raw Orders'!H689</f>
        <v/>
      </c>
      <c r="H689" s="12">
        <f>'Raw Orders'!I689</f>
        <v/>
      </c>
      <c r="I689" s="13">
        <f>'Raw Orders'!K689</f>
        <v/>
      </c>
      <c r="J689" s="13">
        <f>IF('Raw Orders'!J689,"",(YEAR('Raw Orders'!I689)-YEAR('Raw Orders'!H689))*12+MONTH('Raw Orders'!I689)-MONTH('Raw Orders'!H689))</f>
        <v/>
      </c>
      <c r="K689">
        <f>IF('Raw Orders'!J689,"Cancelled",IF('Raw Orders'!K689&gt;=2,"Slipped","On plan"))</f>
        <v/>
      </c>
      <c r="L689" s="14">
        <f>IF(K689="On plan",0,F689)</f>
        <v/>
      </c>
    </row>
    <row r="690">
      <c r="A690">
        <f>'Raw Orders'!A690</f>
        <v/>
      </c>
      <c r="B690">
        <f>'Raw Orders'!B690</f>
        <v/>
      </c>
      <c r="C690">
        <f>'Raw Orders'!C690</f>
        <v/>
      </c>
      <c r="D690" s="13">
        <f>'Raw Orders'!E690</f>
        <v/>
      </c>
      <c r="E690" s="14">
        <f>'Raw Orders'!F690</f>
        <v/>
      </c>
      <c r="F690" s="14">
        <f>'Raw Orders'!F690*0.5</f>
        <v/>
      </c>
      <c r="G690" s="12">
        <f>'Raw Orders'!H690</f>
        <v/>
      </c>
      <c r="H690" s="12">
        <f>'Raw Orders'!I690</f>
        <v/>
      </c>
      <c r="I690" s="13">
        <f>'Raw Orders'!K690</f>
        <v/>
      </c>
      <c r="J690" s="13">
        <f>IF('Raw Orders'!J690,"",(YEAR('Raw Orders'!I690)-YEAR('Raw Orders'!H690))*12+MONTH('Raw Orders'!I690)-MONTH('Raw Orders'!H690))</f>
        <v/>
      </c>
      <c r="K690">
        <f>IF('Raw Orders'!J690,"Cancelled",IF('Raw Orders'!K690&gt;=2,"Slipped","On plan"))</f>
        <v/>
      </c>
      <c r="L690" s="14">
        <f>IF(K690="On plan",0,F690)</f>
        <v/>
      </c>
    </row>
    <row r="691">
      <c r="A691">
        <f>'Raw Orders'!A691</f>
        <v/>
      </c>
      <c r="B691">
        <f>'Raw Orders'!B691</f>
        <v/>
      </c>
      <c r="C691">
        <f>'Raw Orders'!C691</f>
        <v/>
      </c>
      <c r="D691" s="13">
        <f>'Raw Orders'!E691</f>
        <v/>
      </c>
      <c r="E691" s="14">
        <f>'Raw Orders'!F691</f>
        <v/>
      </c>
      <c r="F691" s="14">
        <f>'Raw Orders'!F691*0.5</f>
        <v/>
      </c>
      <c r="G691" s="12">
        <f>'Raw Orders'!H691</f>
        <v/>
      </c>
      <c r="H691" s="12">
        <f>'Raw Orders'!I691</f>
        <v/>
      </c>
      <c r="I691" s="13">
        <f>'Raw Orders'!K691</f>
        <v/>
      </c>
      <c r="J691" s="13">
        <f>IF('Raw Orders'!J691,"",(YEAR('Raw Orders'!I691)-YEAR('Raw Orders'!H691))*12+MONTH('Raw Orders'!I691)-MONTH('Raw Orders'!H691))</f>
        <v/>
      </c>
      <c r="K691">
        <f>IF('Raw Orders'!J691,"Cancelled",IF('Raw Orders'!K691&gt;=2,"Slipped","On plan"))</f>
        <v/>
      </c>
      <c r="L691" s="14">
        <f>IF(K691="On plan",0,F691)</f>
        <v/>
      </c>
    </row>
    <row r="692">
      <c r="A692">
        <f>'Raw Orders'!A692</f>
        <v/>
      </c>
      <c r="B692">
        <f>'Raw Orders'!B692</f>
        <v/>
      </c>
      <c r="C692">
        <f>'Raw Orders'!C692</f>
        <v/>
      </c>
      <c r="D692" s="13">
        <f>'Raw Orders'!E692</f>
        <v/>
      </c>
      <c r="E692" s="14">
        <f>'Raw Orders'!F692</f>
        <v/>
      </c>
      <c r="F692" s="14">
        <f>'Raw Orders'!F692*0.5</f>
        <v/>
      </c>
      <c r="G692" s="12">
        <f>'Raw Orders'!H692</f>
        <v/>
      </c>
      <c r="H692" s="12">
        <f>'Raw Orders'!I692</f>
        <v/>
      </c>
      <c r="I692" s="13">
        <f>'Raw Orders'!K692</f>
        <v/>
      </c>
      <c r="J692" s="13">
        <f>IF('Raw Orders'!J692,"",(YEAR('Raw Orders'!I692)-YEAR('Raw Orders'!H692))*12+MONTH('Raw Orders'!I692)-MONTH('Raw Orders'!H692))</f>
        <v/>
      </c>
      <c r="K692">
        <f>IF('Raw Orders'!J692,"Cancelled",IF('Raw Orders'!K692&gt;=2,"Slipped","On plan"))</f>
        <v/>
      </c>
      <c r="L692" s="14">
        <f>IF(K692="On plan",0,F692)</f>
        <v/>
      </c>
    </row>
    <row r="693">
      <c r="A693">
        <f>'Raw Orders'!A693</f>
        <v/>
      </c>
      <c r="B693">
        <f>'Raw Orders'!B693</f>
        <v/>
      </c>
      <c r="C693">
        <f>'Raw Orders'!C693</f>
        <v/>
      </c>
      <c r="D693" s="13">
        <f>'Raw Orders'!E693</f>
        <v/>
      </c>
      <c r="E693" s="14">
        <f>'Raw Orders'!F693</f>
        <v/>
      </c>
      <c r="F693" s="14">
        <f>'Raw Orders'!F693*0.5</f>
        <v/>
      </c>
      <c r="G693" s="12">
        <f>'Raw Orders'!H693</f>
        <v/>
      </c>
      <c r="H693" s="12">
        <f>'Raw Orders'!I693</f>
        <v/>
      </c>
      <c r="I693" s="13">
        <f>'Raw Orders'!K693</f>
        <v/>
      </c>
      <c r="J693" s="13">
        <f>IF('Raw Orders'!J693,"",(YEAR('Raw Orders'!I693)-YEAR('Raw Orders'!H693))*12+MONTH('Raw Orders'!I693)-MONTH('Raw Orders'!H693))</f>
        <v/>
      </c>
      <c r="K693">
        <f>IF('Raw Orders'!J693,"Cancelled",IF('Raw Orders'!K693&gt;=2,"Slipped","On plan"))</f>
        <v/>
      </c>
      <c r="L693" s="14">
        <f>IF(K693="On plan",0,F693)</f>
        <v/>
      </c>
    </row>
    <row r="694">
      <c r="A694">
        <f>'Raw Orders'!A694</f>
        <v/>
      </c>
      <c r="B694">
        <f>'Raw Orders'!B694</f>
        <v/>
      </c>
      <c r="C694">
        <f>'Raw Orders'!C694</f>
        <v/>
      </c>
      <c r="D694" s="13">
        <f>'Raw Orders'!E694</f>
        <v/>
      </c>
      <c r="E694" s="14">
        <f>'Raw Orders'!F694</f>
        <v/>
      </c>
      <c r="F694" s="14">
        <f>'Raw Orders'!F694*0.5</f>
        <v/>
      </c>
      <c r="G694" s="12">
        <f>'Raw Orders'!H694</f>
        <v/>
      </c>
      <c r="H694" s="12">
        <f>'Raw Orders'!I694</f>
        <v/>
      </c>
      <c r="I694" s="13">
        <f>'Raw Orders'!K694</f>
        <v/>
      </c>
      <c r="J694" s="13">
        <f>IF('Raw Orders'!J694,"",(YEAR('Raw Orders'!I694)-YEAR('Raw Orders'!H694))*12+MONTH('Raw Orders'!I694)-MONTH('Raw Orders'!H694))</f>
        <v/>
      </c>
      <c r="K694">
        <f>IF('Raw Orders'!J694,"Cancelled",IF('Raw Orders'!K694&gt;=2,"Slipped","On plan"))</f>
        <v/>
      </c>
      <c r="L694" s="14">
        <f>IF(K694="On plan",0,F694)</f>
        <v/>
      </c>
    </row>
    <row r="695">
      <c r="A695">
        <f>'Raw Orders'!A695</f>
        <v/>
      </c>
      <c r="B695">
        <f>'Raw Orders'!B695</f>
        <v/>
      </c>
      <c r="C695">
        <f>'Raw Orders'!C695</f>
        <v/>
      </c>
      <c r="D695" s="13">
        <f>'Raw Orders'!E695</f>
        <v/>
      </c>
      <c r="E695" s="14">
        <f>'Raw Orders'!F695</f>
        <v/>
      </c>
      <c r="F695" s="14">
        <f>'Raw Orders'!F695*0.5</f>
        <v/>
      </c>
      <c r="G695" s="12">
        <f>'Raw Orders'!H695</f>
        <v/>
      </c>
      <c r="H695" s="12">
        <f>'Raw Orders'!I695</f>
        <v/>
      </c>
      <c r="I695" s="13">
        <f>'Raw Orders'!K695</f>
        <v/>
      </c>
      <c r="J695" s="13">
        <f>IF('Raw Orders'!J695,"",(YEAR('Raw Orders'!I695)-YEAR('Raw Orders'!H695))*12+MONTH('Raw Orders'!I695)-MONTH('Raw Orders'!H695))</f>
        <v/>
      </c>
      <c r="K695">
        <f>IF('Raw Orders'!J695,"Cancelled",IF('Raw Orders'!K695&gt;=2,"Slipped","On plan"))</f>
        <v/>
      </c>
      <c r="L695" s="14">
        <f>IF(K695="On plan",0,F695)</f>
        <v/>
      </c>
    </row>
    <row r="696">
      <c r="A696">
        <f>'Raw Orders'!A696</f>
        <v/>
      </c>
      <c r="B696">
        <f>'Raw Orders'!B696</f>
        <v/>
      </c>
      <c r="C696">
        <f>'Raw Orders'!C696</f>
        <v/>
      </c>
      <c r="D696" s="13">
        <f>'Raw Orders'!E696</f>
        <v/>
      </c>
      <c r="E696" s="14">
        <f>'Raw Orders'!F696</f>
        <v/>
      </c>
      <c r="F696" s="14">
        <f>'Raw Orders'!F696*0.5</f>
        <v/>
      </c>
      <c r="G696" s="12">
        <f>'Raw Orders'!H696</f>
        <v/>
      </c>
      <c r="H696" s="12">
        <f>'Raw Orders'!I696</f>
        <v/>
      </c>
      <c r="I696" s="13">
        <f>'Raw Orders'!K696</f>
        <v/>
      </c>
      <c r="J696" s="13">
        <f>IF('Raw Orders'!J696,"",(YEAR('Raw Orders'!I696)-YEAR('Raw Orders'!H696))*12+MONTH('Raw Orders'!I696)-MONTH('Raw Orders'!H696))</f>
        <v/>
      </c>
      <c r="K696">
        <f>IF('Raw Orders'!J696,"Cancelled",IF('Raw Orders'!K696&gt;=2,"Slipped","On plan"))</f>
        <v/>
      </c>
      <c r="L696" s="14">
        <f>IF(K696="On plan",0,F696)</f>
        <v/>
      </c>
    </row>
    <row r="697">
      <c r="A697">
        <f>'Raw Orders'!A697</f>
        <v/>
      </c>
      <c r="B697">
        <f>'Raw Orders'!B697</f>
        <v/>
      </c>
      <c r="C697">
        <f>'Raw Orders'!C697</f>
        <v/>
      </c>
      <c r="D697" s="13">
        <f>'Raw Orders'!E697</f>
        <v/>
      </c>
      <c r="E697" s="14">
        <f>'Raw Orders'!F697</f>
        <v/>
      </c>
      <c r="F697" s="14">
        <f>'Raw Orders'!F697*0.5</f>
        <v/>
      </c>
      <c r="G697" s="12">
        <f>'Raw Orders'!H697</f>
        <v/>
      </c>
      <c r="H697" s="12">
        <f>'Raw Orders'!I697</f>
        <v/>
      </c>
      <c r="I697" s="13">
        <f>'Raw Orders'!K697</f>
        <v/>
      </c>
      <c r="J697" s="13">
        <f>IF('Raw Orders'!J697,"",(YEAR('Raw Orders'!I697)-YEAR('Raw Orders'!H697))*12+MONTH('Raw Orders'!I697)-MONTH('Raw Orders'!H697))</f>
        <v/>
      </c>
      <c r="K697">
        <f>IF('Raw Orders'!J697,"Cancelled",IF('Raw Orders'!K697&gt;=2,"Slipped","On plan"))</f>
        <v/>
      </c>
      <c r="L697" s="14">
        <f>IF(K697="On plan",0,F697)</f>
        <v/>
      </c>
    </row>
    <row r="698">
      <c r="A698">
        <f>'Raw Orders'!A698</f>
        <v/>
      </c>
      <c r="B698">
        <f>'Raw Orders'!B698</f>
        <v/>
      </c>
      <c r="C698">
        <f>'Raw Orders'!C698</f>
        <v/>
      </c>
      <c r="D698" s="13">
        <f>'Raw Orders'!E698</f>
        <v/>
      </c>
      <c r="E698" s="14">
        <f>'Raw Orders'!F698</f>
        <v/>
      </c>
      <c r="F698" s="14">
        <f>'Raw Orders'!F698*0.5</f>
        <v/>
      </c>
      <c r="G698" s="12">
        <f>'Raw Orders'!H698</f>
        <v/>
      </c>
      <c r="H698" s="12">
        <f>'Raw Orders'!I698</f>
        <v/>
      </c>
      <c r="I698" s="13">
        <f>'Raw Orders'!K698</f>
        <v/>
      </c>
      <c r="J698" s="13">
        <f>IF('Raw Orders'!J698,"",(YEAR('Raw Orders'!I698)-YEAR('Raw Orders'!H698))*12+MONTH('Raw Orders'!I698)-MONTH('Raw Orders'!H698))</f>
        <v/>
      </c>
      <c r="K698">
        <f>IF('Raw Orders'!J698,"Cancelled",IF('Raw Orders'!K698&gt;=2,"Slipped","On plan"))</f>
        <v/>
      </c>
      <c r="L698" s="14">
        <f>IF(K698="On plan",0,F698)</f>
        <v/>
      </c>
    </row>
    <row r="699">
      <c r="A699">
        <f>'Raw Orders'!A699</f>
        <v/>
      </c>
      <c r="B699">
        <f>'Raw Orders'!B699</f>
        <v/>
      </c>
      <c r="C699">
        <f>'Raw Orders'!C699</f>
        <v/>
      </c>
      <c r="D699" s="13">
        <f>'Raw Orders'!E699</f>
        <v/>
      </c>
      <c r="E699" s="14">
        <f>'Raw Orders'!F699</f>
        <v/>
      </c>
      <c r="F699" s="14">
        <f>'Raw Orders'!F699*0.5</f>
        <v/>
      </c>
      <c r="G699" s="12">
        <f>'Raw Orders'!H699</f>
        <v/>
      </c>
      <c r="H699" s="12">
        <f>'Raw Orders'!I699</f>
        <v/>
      </c>
      <c r="I699" s="13">
        <f>'Raw Orders'!K699</f>
        <v/>
      </c>
      <c r="J699" s="13">
        <f>IF('Raw Orders'!J699,"",(YEAR('Raw Orders'!I699)-YEAR('Raw Orders'!H699))*12+MONTH('Raw Orders'!I699)-MONTH('Raw Orders'!H699))</f>
        <v/>
      </c>
      <c r="K699">
        <f>IF('Raw Orders'!J699,"Cancelled",IF('Raw Orders'!K699&gt;=2,"Slipped","On plan"))</f>
        <v/>
      </c>
      <c r="L699" s="14">
        <f>IF(K699="On plan",0,F699)</f>
        <v/>
      </c>
    </row>
    <row r="700">
      <c r="A700">
        <f>'Raw Orders'!A700</f>
        <v/>
      </c>
      <c r="B700">
        <f>'Raw Orders'!B700</f>
        <v/>
      </c>
      <c r="C700">
        <f>'Raw Orders'!C700</f>
        <v/>
      </c>
      <c r="D700" s="13">
        <f>'Raw Orders'!E700</f>
        <v/>
      </c>
      <c r="E700" s="14">
        <f>'Raw Orders'!F700</f>
        <v/>
      </c>
      <c r="F700" s="14">
        <f>'Raw Orders'!F700*0.5</f>
        <v/>
      </c>
      <c r="G700" s="12">
        <f>'Raw Orders'!H700</f>
        <v/>
      </c>
      <c r="H700" s="12">
        <f>'Raw Orders'!I700</f>
        <v/>
      </c>
      <c r="I700" s="13">
        <f>'Raw Orders'!K700</f>
        <v/>
      </c>
      <c r="J700" s="13">
        <f>IF('Raw Orders'!J700,"",(YEAR('Raw Orders'!I700)-YEAR('Raw Orders'!H700))*12+MONTH('Raw Orders'!I700)-MONTH('Raw Orders'!H700))</f>
        <v/>
      </c>
      <c r="K700">
        <f>IF('Raw Orders'!J700,"Cancelled",IF('Raw Orders'!K700&gt;=2,"Slipped","On plan"))</f>
        <v/>
      </c>
      <c r="L700" s="14">
        <f>IF(K700="On plan",0,F700)</f>
        <v/>
      </c>
    </row>
    <row r="701">
      <c r="A701">
        <f>'Raw Orders'!A701</f>
        <v/>
      </c>
      <c r="B701">
        <f>'Raw Orders'!B701</f>
        <v/>
      </c>
      <c r="C701">
        <f>'Raw Orders'!C701</f>
        <v/>
      </c>
      <c r="D701" s="13">
        <f>'Raw Orders'!E701</f>
        <v/>
      </c>
      <c r="E701" s="14">
        <f>'Raw Orders'!F701</f>
        <v/>
      </c>
      <c r="F701" s="14">
        <f>'Raw Orders'!F701*0.5</f>
        <v/>
      </c>
      <c r="G701" s="12">
        <f>'Raw Orders'!H701</f>
        <v/>
      </c>
      <c r="H701" s="12">
        <f>'Raw Orders'!I701</f>
        <v/>
      </c>
      <c r="I701" s="13">
        <f>'Raw Orders'!K701</f>
        <v/>
      </c>
      <c r="J701" s="13">
        <f>IF('Raw Orders'!J701,"",(YEAR('Raw Orders'!I701)-YEAR('Raw Orders'!H701))*12+MONTH('Raw Orders'!I701)-MONTH('Raw Orders'!H701))</f>
        <v/>
      </c>
      <c r="K701">
        <f>IF('Raw Orders'!J701,"Cancelled",IF('Raw Orders'!K701&gt;=2,"Slipped","On plan"))</f>
        <v/>
      </c>
      <c r="L701" s="14">
        <f>IF(K701="On plan",0,F701)</f>
        <v/>
      </c>
    </row>
    <row r="702">
      <c r="A702">
        <f>'Raw Orders'!A702</f>
        <v/>
      </c>
      <c r="B702">
        <f>'Raw Orders'!B702</f>
        <v/>
      </c>
      <c r="C702">
        <f>'Raw Orders'!C702</f>
        <v/>
      </c>
      <c r="D702" s="13">
        <f>'Raw Orders'!E702</f>
        <v/>
      </c>
      <c r="E702" s="14">
        <f>'Raw Orders'!F702</f>
        <v/>
      </c>
      <c r="F702" s="14">
        <f>'Raw Orders'!F702*0.5</f>
        <v/>
      </c>
      <c r="G702" s="12">
        <f>'Raw Orders'!H702</f>
        <v/>
      </c>
      <c r="H702" s="12">
        <f>'Raw Orders'!I702</f>
        <v/>
      </c>
      <c r="I702" s="13">
        <f>'Raw Orders'!K702</f>
        <v/>
      </c>
      <c r="J702" s="13">
        <f>IF('Raw Orders'!J702,"",(YEAR('Raw Orders'!I702)-YEAR('Raw Orders'!H702))*12+MONTH('Raw Orders'!I702)-MONTH('Raw Orders'!H702))</f>
        <v/>
      </c>
      <c r="K702">
        <f>IF('Raw Orders'!J702,"Cancelled",IF('Raw Orders'!K702&gt;=2,"Slipped","On plan"))</f>
        <v/>
      </c>
      <c r="L702" s="14">
        <f>IF(K702="On plan",0,F702)</f>
        <v/>
      </c>
    </row>
    <row r="703">
      <c r="A703">
        <f>'Raw Orders'!A703</f>
        <v/>
      </c>
      <c r="B703">
        <f>'Raw Orders'!B703</f>
        <v/>
      </c>
      <c r="C703">
        <f>'Raw Orders'!C703</f>
        <v/>
      </c>
      <c r="D703" s="13">
        <f>'Raw Orders'!E703</f>
        <v/>
      </c>
      <c r="E703" s="14">
        <f>'Raw Orders'!F703</f>
        <v/>
      </c>
      <c r="F703" s="14">
        <f>'Raw Orders'!F703*0.5</f>
        <v/>
      </c>
      <c r="G703" s="12">
        <f>'Raw Orders'!H703</f>
        <v/>
      </c>
      <c r="H703" s="12">
        <f>'Raw Orders'!I703</f>
        <v/>
      </c>
      <c r="I703" s="13">
        <f>'Raw Orders'!K703</f>
        <v/>
      </c>
      <c r="J703" s="13">
        <f>IF('Raw Orders'!J703,"",(YEAR('Raw Orders'!I703)-YEAR('Raw Orders'!H703))*12+MONTH('Raw Orders'!I703)-MONTH('Raw Orders'!H703))</f>
        <v/>
      </c>
      <c r="K703">
        <f>IF('Raw Orders'!J703,"Cancelled",IF('Raw Orders'!K703&gt;=2,"Slipped","On plan"))</f>
        <v/>
      </c>
      <c r="L703" s="14">
        <f>IF(K703="On plan",0,F703)</f>
        <v/>
      </c>
    </row>
    <row r="704">
      <c r="A704">
        <f>'Raw Orders'!A704</f>
        <v/>
      </c>
      <c r="B704">
        <f>'Raw Orders'!B704</f>
        <v/>
      </c>
      <c r="C704">
        <f>'Raw Orders'!C704</f>
        <v/>
      </c>
      <c r="D704" s="13">
        <f>'Raw Orders'!E704</f>
        <v/>
      </c>
      <c r="E704" s="14">
        <f>'Raw Orders'!F704</f>
        <v/>
      </c>
      <c r="F704" s="14">
        <f>'Raw Orders'!F704*0.5</f>
        <v/>
      </c>
      <c r="G704" s="12">
        <f>'Raw Orders'!H704</f>
        <v/>
      </c>
      <c r="H704" s="12">
        <f>'Raw Orders'!I704</f>
        <v/>
      </c>
      <c r="I704" s="13">
        <f>'Raw Orders'!K704</f>
        <v/>
      </c>
      <c r="J704" s="13">
        <f>IF('Raw Orders'!J704,"",(YEAR('Raw Orders'!I704)-YEAR('Raw Orders'!H704))*12+MONTH('Raw Orders'!I704)-MONTH('Raw Orders'!H704))</f>
        <v/>
      </c>
      <c r="K704">
        <f>IF('Raw Orders'!J704,"Cancelled",IF('Raw Orders'!K704&gt;=2,"Slipped","On plan"))</f>
        <v/>
      </c>
      <c r="L704" s="14">
        <f>IF(K704="On plan",0,F704)</f>
        <v/>
      </c>
    </row>
    <row r="705">
      <c r="A705">
        <f>'Raw Orders'!A705</f>
        <v/>
      </c>
      <c r="B705">
        <f>'Raw Orders'!B705</f>
        <v/>
      </c>
      <c r="C705">
        <f>'Raw Orders'!C705</f>
        <v/>
      </c>
      <c r="D705" s="13">
        <f>'Raw Orders'!E705</f>
        <v/>
      </c>
      <c r="E705" s="14">
        <f>'Raw Orders'!F705</f>
        <v/>
      </c>
      <c r="F705" s="14">
        <f>'Raw Orders'!F705*0.5</f>
        <v/>
      </c>
      <c r="G705" s="12">
        <f>'Raw Orders'!H705</f>
        <v/>
      </c>
      <c r="H705" s="12">
        <f>'Raw Orders'!I705</f>
        <v/>
      </c>
      <c r="I705" s="13">
        <f>'Raw Orders'!K705</f>
        <v/>
      </c>
      <c r="J705" s="13">
        <f>IF('Raw Orders'!J705,"",(YEAR('Raw Orders'!I705)-YEAR('Raw Orders'!H705))*12+MONTH('Raw Orders'!I705)-MONTH('Raw Orders'!H705))</f>
        <v/>
      </c>
      <c r="K705">
        <f>IF('Raw Orders'!J705,"Cancelled",IF('Raw Orders'!K705&gt;=2,"Slipped","On plan"))</f>
        <v/>
      </c>
      <c r="L705" s="14">
        <f>IF(K705="On plan",0,F705)</f>
        <v/>
      </c>
    </row>
    <row r="706">
      <c r="A706">
        <f>'Raw Orders'!A706</f>
        <v/>
      </c>
      <c r="B706">
        <f>'Raw Orders'!B706</f>
        <v/>
      </c>
      <c r="C706">
        <f>'Raw Orders'!C706</f>
        <v/>
      </c>
      <c r="D706" s="13">
        <f>'Raw Orders'!E706</f>
        <v/>
      </c>
      <c r="E706" s="14">
        <f>'Raw Orders'!F706</f>
        <v/>
      </c>
      <c r="F706" s="14">
        <f>'Raw Orders'!F706*0.5</f>
        <v/>
      </c>
      <c r="G706" s="12">
        <f>'Raw Orders'!H706</f>
        <v/>
      </c>
      <c r="H706" s="12">
        <f>'Raw Orders'!I706</f>
        <v/>
      </c>
      <c r="I706" s="13">
        <f>'Raw Orders'!K706</f>
        <v/>
      </c>
      <c r="J706" s="13">
        <f>IF('Raw Orders'!J706,"",(YEAR('Raw Orders'!I706)-YEAR('Raw Orders'!H706))*12+MONTH('Raw Orders'!I706)-MONTH('Raw Orders'!H706))</f>
        <v/>
      </c>
      <c r="K706">
        <f>IF('Raw Orders'!J706,"Cancelled",IF('Raw Orders'!K706&gt;=2,"Slipped","On plan"))</f>
        <v/>
      </c>
      <c r="L706" s="14">
        <f>IF(K706="On plan",0,F706)</f>
        <v/>
      </c>
    </row>
    <row r="707">
      <c r="A707">
        <f>'Raw Orders'!A707</f>
        <v/>
      </c>
      <c r="B707">
        <f>'Raw Orders'!B707</f>
        <v/>
      </c>
      <c r="C707">
        <f>'Raw Orders'!C707</f>
        <v/>
      </c>
      <c r="D707" s="13">
        <f>'Raw Orders'!E707</f>
        <v/>
      </c>
      <c r="E707" s="14">
        <f>'Raw Orders'!F707</f>
        <v/>
      </c>
      <c r="F707" s="14">
        <f>'Raw Orders'!F707*0.5</f>
        <v/>
      </c>
      <c r="G707" s="12">
        <f>'Raw Orders'!H707</f>
        <v/>
      </c>
      <c r="H707" s="12">
        <f>'Raw Orders'!I707</f>
        <v/>
      </c>
      <c r="I707" s="13">
        <f>'Raw Orders'!K707</f>
        <v/>
      </c>
      <c r="J707" s="13">
        <f>IF('Raw Orders'!J707,"",(YEAR('Raw Orders'!I707)-YEAR('Raw Orders'!H707))*12+MONTH('Raw Orders'!I707)-MONTH('Raw Orders'!H707))</f>
        <v/>
      </c>
      <c r="K707">
        <f>IF('Raw Orders'!J707,"Cancelled",IF('Raw Orders'!K707&gt;=2,"Slipped","On plan"))</f>
        <v/>
      </c>
      <c r="L707" s="14">
        <f>IF(K707="On plan",0,F707)</f>
        <v/>
      </c>
    </row>
    <row r="708">
      <c r="A708">
        <f>'Raw Orders'!A708</f>
        <v/>
      </c>
      <c r="B708">
        <f>'Raw Orders'!B708</f>
        <v/>
      </c>
      <c r="C708">
        <f>'Raw Orders'!C708</f>
        <v/>
      </c>
      <c r="D708" s="13">
        <f>'Raw Orders'!E708</f>
        <v/>
      </c>
      <c r="E708" s="14">
        <f>'Raw Orders'!F708</f>
        <v/>
      </c>
      <c r="F708" s="14">
        <f>'Raw Orders'!F708*0.5</f>
        <v/>
      </c>
      <c r="G708" s="12">
        <f>'Raw Orders'!H708</f>
        <v/>
      </c>
      <c r="H708" s="12">
        <f>'Raw Orders'!I708</f>
        <v/>
      </c>
      <c r="I708" s="13">
        <f>'Raw Orders'!K708</f>
        <v/>
      </c>
      <c r="J708" s="13">
        <f>IF('Raw Orders'!J708,"",(YEAR('Raw Orders'!I708)-YEAR('Raw Orders'!H708))*12+MONTH('Raw Orders'!I708)-MONTH('Raw Orders'!H708))</f>
        <v/>
      </c>
      <c r="K708">
        <f>IF('Raw Orders'!J708,"Cancelled",IF('Raw Orders'!K708&gt;=2,"Slipped","On plan"))</f>
        <v/>
      </c>
      <c r="L708" s="14">
        <f>IF(K708="On plan",0,F708)</f>
        <v/>
      </c>
    </row>
    <row r="709">
      <c r="A709">
        <f>'Raw Orders'!A709</f>
        <v/>
      </c>
      <c r="B709">
        <f>'Raw Orders'!B709</f>
        <v/>
      </c>
      <c r="C709">
        <f>'Raw Orders'!C709</f>
        <v/>
      </c>
      <c r="D709" s="13">
        <f>'Raw Orders'!E709</f>
        <v/>
      </c>
      <c r="E709" s="14">
        <f>'Raw Orders'!F709</f>
        <v/>
      </c>
      <c r="F709" s="14">
        <f>'Raw Orders'!F709*0.5</f>
        <v/>
      </c>
      <c r="G709" s="12">
        <f>'Raw Orders'!H709</f>
        <v/>
      </c>
      <c r="H709" s="12">
        <f>'Raw Orders'!I709</f>
        <v/>
      </c>
      <c r="I709" s="13">
        <f>'Raw Orders'!K709</f>
        <v/>
      </c>
      <c r="J709" s="13">
        <f>IF('Raw Orders'!J709,"",(YEAR('Raw Orders'!I709)-YEAR('Raw Orders'!H709))*12+MONTH('Raw Orders'!I709)-MONTH('Raw Orders'!H709))</f>
        <v/>
      </c>
      <c r="K709">
        <f>IF('Raw Orders'!J709,"Cancelled",IF('Raw Orders'!K709&gt;=2,"Slipped","On plan"))</f>
        <v/>
      </c>
      <c r="L709" s="14">
        <f>IF(K709="On plan",0,F709)</f>
        <v/>
      </c>
    </row>
    <row r="710">
      <c r="A710">
        <f>'Raw Orders'!A710</f>
        <v/>
      </c>
      <c r="B710">
        <f>'Raw Orders'!B710</f>
        <v/>
      </c>
      <c r="C710">
        <f>'Raw Orders'!C710</f>
        <v/>
      </c>
      <c r="D710" s="13">
        <f>'Raw Orders'!E710</f>
        <v/>
      </c>
      <c r="E710" s="14">
        <f>'Raw Orders'!F710</f>
        <v/>
      </c>
      <c r="F710" s="14">
        <f>'Raw Orders'!F710*0.5</f>
        <v/>
      </c>
      <c r="G710" s="12">
        <f>'Raw Orders'!H710</f>
        <v/>
      </c>
      <c r="H710" s="12">
        <f>'Raw Orders'!I710</f>
        <v/>
      </c>
      <c r="I710" s="13">
        <f>'Raw Orders'!K710</f>
        <v/>
      </c>
      <c r="J710" s="13">
        <f>IF('Raw Orders'!J710,"",(YEAR('Raw Orders'!I710)-YEAR('Raw Orders'!H710))*12+MONTH('Raw Orders'!I710)-MONTH('Raw Orders'!H710))</f>
        <v/>
      </c>
      <c r="K710">
        <f>IF('Raw Orders'!J710,"Cancelled",IF('Raw Orders'!K710&gt;=2,"Slipped","On plan"))</f>
        <v/>
      </c>
      <c r="L710" s="14">
        <f>IF(K710="On plan",0,F710)</f>
        <v/>
      </c>
    </row>
    <row r="711">
      <c r="A711">
        <f>'Raw Orders'!A711</f>
        <v/>
      </c>
      <c r="B711">
        <f>'Raw Orders'!B711</f>
        <v/>
      </c>
      <c r="C711">
        <f>'Raw Orders'!C711</f>
        <v/>
      </c>
      <c r="D711" s="13">
        <f>'Raw Orders'!E711</f>
        <v/>
      </c>
      <c r="E711" s="14">
        <f>'Raw Orders'!F711</f>
        <v/>
      </c>
      <c r="F711" s="14">
        <f>'Raw Orders'!F711*0.5</f>
        <v/>
      </c>
      <c r="G711" s="12">
        <f>'Raw Orders'!H711</f>
        <v/>
      </c>
      <c r="H711" s="12">
        <f>'Raw Orders'!I711</f>
        <v/>
      </c>
      <c r="I711" s="13">
        <f>'Raw Orders'!K711</f>
        <v/>
      </c>
      <c r="J711" s="13">
        <f>IF('Raw Orders'!J711,"",(YEAR('Raw Orders'!I711)-YEAR('Raw Orders'!H711))*12+MONTH('Raw Orders'!I711)-MONTH('Raw Orders'!H711))</f>
        <v/>
      </c>
      <c r="K711">
        <f>IF('Raw Orders'!J711,"Cancelled",IF('Raw Orders'!K711&gt;=2,"Slipped","On plan"))</f>
        <v/>
      </c>
      <c r="L711" s="14">
        <f>IF(K711="On plan",0,F711)</f>
        <v/>
      </c>
    </row>
    <row r="712">
      <c r="A712">
        <f>'Raw Orders'!A712</f>
        <v/>
      </c>
      <c r="B712">
        <f>'Raw Orders'!B712</f>
        <v/>
      </c>
      <c r="C712">
        <f>'Raw Orders'!C712</f>
        <v/>
      </c>
      <c r="D712" s="13">
        <f>'Raw Orders'!E712</f>
        <v/>
      </c>
      <c r="E712" s="14">
        <f>'Raw Orders'!F712</f>
        <v/>
      </c>
      <c r="F712" s="14">
        <f>'Raw Orders'!F712*0.5</f>
        <v/>
      </c>
      <c r="G712" s="12">
        <f>'Raw Orders'!H712</f>
        <v/>
      </c>
      <c r="H712" s="12">
        <f>'Raw Orders'!I712</f>
        <v/>
      </c>
      <c r="I712" s="13">
        <f>'Raw Orders'!K712</f>
        <v/>
      </c>
      <c r="J712" s="13">
        <f>IF('Raw Orders'!J712,"",(YEAR('Raw Orders'!I712)-YEAR('Raw Orders'!H712))*12+MONTH('Raw Orders'!I712)-MONTH('Raw Orders'!H712))</f>
        <v/>
      </c>
      <c r="K712">
        <f>IF('Raw Orders'!J712,"Cancelled",IF('Raw Orders'!K712&gt;=2,"Slipped","On plan"))</f>
        <v/>
      </c>
      <c r="L712" s="14">
        <f>IF(K712="On plan",0,F712)</f>
        <v/>
      </c>
    </row>
    <row r="713">
      <c r="A713">
        <f>'Raw Orders'!A713</f>
        <v/>
      </c>
      <c r="B713">
        <f>'Raw Orders'!B713</f>
        <v/>
      </c>
      <c r="C713">
        <f>'Raw Orders'!C713</f>
        <v/>
      </c>
      <c r="D713" s="13">
        <f>'Raw Orders'!E713</f>
        <v/>
      </c>
      <c r="E713" s="14">
        <f>'Raw Orders'!F713</f>
        <v/>
      </c>
      <c r="F713" s="14">
        <f>'Raw Orders'!F713*0.5</f>
        <v/>
      </c>
      <c r="G713" s="12">
        <f>'Raw Orders'!H713</f>
        <v/>
      </c>
      <c r="H713" s="12">
        <f>'Raw Orders'!I713</f>
        <v/>
      </c>
      <c r="I713" s="13">
        <f>'Raw Orders'!K713</f>
        <v/>
      </c>
      <c r="J713" s="13">
        <f>IF('Raw Orders'!J713,"",(YEAR('Raw Orders'!I713)-YEAR('Raw Orders'!H713))*12+MONTH('Raw Orders'!I713)-MONTH('Raw Orders'!H713))</f>
        <v/>
      </c>
      <c r="K713">
        <f>IF('Raw Orders'!J713,"Cancelled",IF('Raw Orders'!K713&gt;=2,"Slipped","On plan"))</f>
        <v/>
      </c>
      <c r="L713" s="14">
        <f>IF(K713="On plan",0,F713)</f>
        <v/>
      </c>
    </row>
    <row r="714">
      <c r="A714">
        <f>'Raw Orders'!A714</f>
        <v/>
      </c>
      <c r="B714">
        <f>'Raw Orders'!B714</f>
        <v/>
      </c>
      <c r="C714">
        <f>'Raw Orders'!C714</f>
        <v/>
      </c>
      <c r="D714" s="13">
        <f>'Raw Orders'!E714</f>
        <v/>
      </c>
      <c r="E714" s="14">
        <f>'Raw Orders'!F714</f>
        <v/>
      </c>
      <c r="F714" s="14">
        <f>'Raw Orders'!F714*0.5</f>
        <v/>
      </c>
      <c r="G714" s="12">
        <f>'Raw Orders'!H714</f>
        <v/>
      </c>
      <c r="H714" s="12">
        <f>'Raw Orders'!I714</f>
        <v/>
      </c>
      <c r="I714" s="13">
        <f>'Raw Orders'!K714</f>
        <v/>
      </c>
      <c r="J714" s="13">
        <f>IF('Raw Orders'!J714,"",(YEAR('Raw Orders'!I714)-YEAR('Raw Orders'!H714))*12+MONTH('Raw Orders'!I714)-MONTH('Raw Orders'!H714))</f>
        <v/>
      </c>
      <c r="K714">
        <f>IF('Raw Orders'!J714,"Cancelled",IF('Raw Orders'!K714&gt;=2,"Slipped","On plan"))</f>
        <v/>
      </c>
      <c r="L714" s="14">
        <f>IF(K714="On plan",0,F714)</f>
        <v/>
      </c>
    </row>
    <row r="715">
      <c r="A715">
        <f>'Raw Orders'!A715</f>
        <v/>
      </c>
      <c r="B715">
        <f>'Raw Orders'!B715</f>
        <v/>
      </c>
      <c r="C715">
        <f>'Raw Orders'!C715</f>
        <v/>
      </c>
      <c r="D715" s="13">
        <f>'Raw Orders'!E715</f>
        <v/>
      </c>
      <c r="E715" s="14">
        <f>'Raw Orders'!F715</f>
        <v/>
      </c>
      <c r="F715" s="14">
        <f>'Raw Orders'!F715*0.5</f>
        <v/>
      </c>
      <c r="G715" s="12">
        <f>'Raw Orders'!H715</f>
        <v/>
      </c>
      <c r="H715" s="12">
        <f>'Raw Orders'!I715</f>
        <v/>
      </c>
      <c r="I715" s="13">
        <f>'Raw Orders'!K715</f>
        <v/>
      </c>
      <c r="J715" s="13">
        <f>IF('Raw Orders'!J715,"",(YEAR('Raw Orders'!I715)-YEAR('Raw Orders'!H715))*12+MONTH('Raw Orders'!I715)-MONTH('Raw Orders'!H715))</f>
        <v/>
      </c>
      <c r="K715">
        <f>IF('Raw Orders'!J715,"Cancelled",IF('Raw Orders'!K715&gt;=2,"Slipped","On plan"))</f>
        <v/>
      </c>
      <c r="L715" s="14">
        <f>IF(K715="On plan",0,F715)</f>
        <v/>
      </c>
    </row>
    <row r="716">
      <c r="A716">
        <f>'Raw Orders'!A716</f>
        <v/>
      </c>
      <c r="B716">
        <f>'Raw Orders'!B716</f>
        <v/>
      </c>
      <c r="C716">
        <f>'Raw Orders'!C716</f>
        <v/>
      </c>
      <c r="D716" s="13">
        <f>'Raw Orders'!E716</f>
        <v/>
      </c>
      <c r="E716" s="14">
        <f>'Raw Orders'!F716</f>
        <v/>
      </c>
      <c r="F716" s="14">
        <f>'Raw Orders'!F716*0.5</f>
        <v/>
      </c>
      <c r="G716" s="12">
        <f>'Raw Orders'!H716</f>
        <v/>
      </c>
      <c r="H716" s="12">
        <f>'Raw Orders'!I716</f>
        <v/>
      </c>
      <c r="I716" s="13">
        <f>'Raw Orders'!K716</f>
        <v/>
      </c>
      <c r="J716" s="13">
        <f>IF('Raw Orders'!J716,"",(YEAR('Raw Orders'!I716)-YEAR('Raw Orders'!H716))*12+MONTH('Raw Orders'!I716)-MONTH('Raw Orders'!H716))</f>
        <v/>
      </c>
      <c r="K716">
        <f>IF('Raw Orders'!J716,"Cancelled",IF('Raw Orders'!K716&gt;=2,"Slipped","On plan"))</f>
        <v/>
      </c>
      <c r="L716" s="14">
        <f>IF(K716="On plan",0,F716)</f>
        <v/>
      </c>
    </row>
    <row r="717">
      <c r="A717">
        <f>'Raw Orders'!A717</f>
        <v/>
      </c>
      <c r="B717">
        <f>'Raw Orders'!B717</f>
        <v/>
      </c>
      <c r="C717">
        <f>'Raw Orders'!C717</f>
        <v/>
      </c>
      <c r="D717" s="13">
        <f>'Raw Orders'!E717</f>
        <v/>
      </c>
      <c r="E717" s="14">
        <f>'Raw Orders'!F717</f>
        <v/>
      </c>
      <c r="F717" s="14">
        <f>'Raw Orders'!F717*0.5</f>
        <v/>
      </c>
      <c r="G717" s="12">
        <f>'Raw Orders'!H717</f>
        <v/>
      </c>
      <c r="H717" s="12">
        <f>'Raw Orders'!I717</f>
        <v/>
      </c>
      <c r="I717" s="13">
        <f>'Raw Orders'!K717</f>
        <v/>
      </c>
      <c r="J717" s="13">
        <f>IF('Raw Orders'!J717,"",(YEAR('Raw Orders'!I717)-YEAR('Raw Orders'!H717))*12+MONTH('Raw Orders'!I717)-MONTH('Raw Orders'!H717))</f>
        <v/>
      </c>
      <c r="K717">
        <f>IF('Raw Orders'!J717,"Cancelled",IF('Raw Orders'!K717&gt;=2,"Slipped","On plan"))</f>
        <v/>
      </c>
      <c r="L717" s="14">
        <f>IF(K717="On plan",0,F717)</f>
        <v/>
      </c>
    </row>
    <row r="718">
      <c r="A718">
        <f>'Raw Orders'!A718</f>
        <v/>
      </c>
      <c r="B718">
        <f>'Raw Orders'!B718</f>
        <v/>
      </c>
      <c r="C718">
        <f>'Raw Orders'!C718</f>
        <v/>
      </c>
      <c r="D718" s="13">
        <f>'Raw Orders'!E718</f>
        <v/>
      </c>
      <c r="E718" s="14">
        <f>'Raw Orders'!F718</f>
        <v/>
      </c>
      <c r="F718" s="14">
        <f>'Raw Orders'!F718*0.5</f>
        <v/>
      </c>
      <c r="G718" s="12">
        <f>'Raw Orders'!H718</f>
        <v/>
      </c>
      <c r="H718" s="12">
        <f>'Raw Orders'!I718</f>
        <v/>
      </c>
      <c r="I718" s="13">
        <f>'Raw Orders'!K718</f>
        <v/>
      </c>
      <c r="J718" s="13">
        <f>IF('Raw Orders'!J718,"",(YEAR('Raw Orders'!I718)-YEAR('Raw Orders'!H718))*12+MONTH('Raw Orders'!I718)-MONTH('Raw Orders'!H718))</f>
        <v/>
      </c>
      <c r="K718">
        <f>IF('Raw Orders'!J718,"Cancelled",IF('Raw Orders'!K718&gt;=2,"Slipped","On plan"))</f>
        <v/>
      </c>
      <c r="L718" s="14">
        <f>IF(K718="On plan",0,F718)</f>
        <v/>
      </c>
    </row>
    <row r="719">
      <c r="A719">
        <f>'Raw Orders'!A719</f>
        <v/>
      </c>
      <c r="B719">
        <f>'Raw Orders'!B719</f>
        <v/>
      </c>
      <c r="C719">
        <f>'Raw Orders'!C719</f>
        <v/>
      </c>
      <c r="D719" s="13">
        <f>'Raw Orders'!E719</f>
        <v/>
      </c>
      <c r="E719" s="14">
        <f>'Raw Orders'!F719</f>
        <v/>
      </c>
      <c r="F719" s="14">
        <f>'Raw Orders'!F719*0.5</f>
        <v/>
      </c>
      <c r="G719" s="12">
        <f>'Raw Orders'!H719</f>
        <v/>
      </c>
      <c r="H719" s="12">
        <f>'Raw Orders'!I719</f>
        <v/>
      </c>
      <c r="I719" s="13">
        <f>'Raw Orders'!K719</f>
        <v/>
      </c>
      <c r="J719" s="13">
        <f>IF('Raw Orders'!J719,"",(YEAR('Raw Orders'!I719)-YEAR('Raw Orders'!H719))*12+MONTH('Raw Orders'!I719)-MONTH('Raw Orders'!H719))</f>
        <v/>
      </c>
      <c r="K719">
        <f>IF('Raw Orders'!J719,"Cancelled",IF('Raw Orders'!K719&gt;=2,"Slipped","On plan"))</f>
        <v/>
      </c>
      <c r="L719" s="14">
        <f>IF(K719="On plan",0,F719)</f>
        <v/>
      </c>
    </row>
    <row r="720">
      <c r="A720">
        <f>'Raw Orders'!A720</f>
        <v/>
      </c>
      <c r="B720">
        <f>'Raw Orders'!B720</f>
        <v/>
      </c>
      <c r="C720">
        <f>'Raw Orders'!C720</f>
        <v/>
      </c>
      <c r="D720" s="13">
        <f>'Raw Orders'!E720</f>
        <v/>
      </c>
      <c r="E720" s="14">
        <f>'Raw Orders'!F720</f>
        <v/>
      </c>
      <c r="F720" s="14">
        <f>'Raw Orders'!F720*0.5</f>
        <v/>
      </c>
      <c r="G720" s="12">
        <f>'Raw Orders'!H720</f>
        <v/>
      </c>
      <c r="H720" s="12">
        <f>'Raw Orders'!I720</f>
        <v/>
      </c>
      <c r="I720" s="13">
        <f>'Raw Orders'!K720</f>
        <v/>
      </c>
      <c r="J720" s="13">
        <f>IF('Raw Orders'!J720,"",(YEAR('Raw Orders'!I720)-YEAR('Raw Orders'!H720))*12+MONTH('Raw Orders'!I720)-MONTH('Raw Orders'!H720))</f>
        <v/>
      </c>
      <c r="K720">
        <f>IF('Raw Orders'!J720,"Cancelled",IF('Raw Orders'!K720&gt;=2,"Slipped","On plan"))</f>
        <v/>
      </c>
      <c r="L720" s="14">
        <f>IF(K720="On plan",0,F720)</f>
        <v/>
      </c>
    </row>
    <row r="721">
      <c r="A721">
        <f>'Raw Orders'!A721</f>
        <v/>
      </c>
      <c r="B721">
        <f>'Raw Orders'!B721</f>
        <v/>
      </c>
      <c r="C721">
        <f>'Raw Orders'!C721</f>
        <v/>
      </c>
      <c r="D721" s="13">
        <f>'Raw Orders'!E721</f>
        <v/>
      </c>
      <c r="E721" s="14">
        <f>'Raw Orders'!F721</f>
        <v/>
      </c>
      <c r="F721" s="14">
        <f>'Raw Orders'!F721*0.5</f>
        <v/>
      </c>
      <c r="G721" s="12">
        <f>'Raw Orders'!H721</f>
        <v/>
      </c>
      <c r="H721" s="12">
        <f>'Raw Orders'!I721</f>
        <v/>
      </c>
      <c r="I721" s="13">
        <f>'Raw Orders'!K721</f>
        <v/>
      </c>
      <c r="J721" s="13">
        <f>IF('Raw Orders'!J721,"",(YEAR('Raw Orders'!I721)-YEAR('Raw Orders'!H721))*12+MONTH('Raw Orders'!I721)-MONTH('Raw Orders'!H721))</f>
        <v/>
      </c>
      <c r="K721">
        <f>IF('Raw Orders'!J721,"Cancelled",IF('Raw Orders'!K721&gt;=2,"Slipped","On plan"))</f>
        <v/>
      </c>
      <c r="L721" s="14">
        <f>IF(K721="On plan",0,F721)</f>
        <v/>
      </c>
    </row>
    <row r="722">
      <c r="A722">
        <f>'Raw Orders'!A722</f>
        <v/>
      </c>
      <c r="B722">
        <f>'Raw Orders'!B722</f>
        <v/>
      </c>
      <c r="C722">
        <f>'Raw Orders'!C722</f>
        <v/>
      </c>
      <c r="D722" s="13">
        <f>'Raw Orders'!E722</f>
        <v/>
      </c>
      <c r="E722" s="14">
        <f>'Raw Orders'!F722</f>
        <v/>
      </c>
      <c r="F722" s="14">
        <f>'Raw Orders'!F722*0.5</f>
        <v/>
      </c>
      <c r="G722" s="12">
        <f>'Raw Orders'!H722</f>
        <v/>
      </c>
      <c r="H722" s="12">
        <f>'Raw Orders'!I722</f>
        <v/>
      </c>
      <c r="I722" s="13">
        <f>'Raw Orders'!K722</f>
        <v/>
      </c>
      <c r="J722" s="13">
        <f>IF('Raw Orders'!J722,"",(YEAR('Raw Orders'!I722)-YEAR('Raw Orders'!H722))*12+MONTH('Raw Orders'!I722)-MONTH('Raw Orders'!H722))</f>
        <v/>
      </c>
      <c r="K722">
        <f>IF('Raw Orders'!J722,"Cancelled",IF('Raw Orders'!K722&gt;=2,"Slipped","On plan"))</f>
        <v/>
      </c>
      <c r="L722" s="14">
        <f>IF(K722="On plan",0,F722)</f>
        <v/>
      </c>
    </row>
    <row r="723">
      <c r="A723">
        <f>'Raw Orders'!A723</f>
        <v/>
      </c>
      <c r="B723">
        <f>'Raw Orders'!B723</f>
        <v/>
      </c>
      <c r="C723">
        <f>'Raw Orders'!C723</f>
        <v/>
      </c>
      <c r="D723" s="13">
        <f>'Raw Orders'!E723</f>
        <v/>
      </c>
      <c r="E723" s="14">
        <f>'Raw Orders'!F723</f>
        <v/>
      </c>
      <c r="F723" s="14">
        <f>'Raw Orders'!F723*0.5</f>
        <v/>
      </c>
      <c r="G723" s="12">
        <f>'Raw Orders'!H723</f>
        <v/>
      </c>
      <c r="H723" s="12">
        <f>'Raw Orders'!I723</f>
        <v/>
      </c>
      <c r="I723" s="13">
        <f>'Raw Orders'!K723</f>
        <v/>
      </c>
      <c r="J723" s="13">
        <f>IF('Raw Orders'!J723,"",(YEAR('Raw Orders'!I723)-YEAR('Raw Orders'!H723))*12+MONTH('Raw Orders'!I723)-MONTH('Raw Orders'!H723))</f>
        <v/>
      </c>
      <c r="K723">
        <f>IF('Raw Orders'!J723,"Cancelled",IF('Raw Orders'!K723&gt;=2,"Slipped","On plan"))</f>
        <v/>
      </c>
      <c r="L723" s="14">
        <f>IF(K723="On plan",0,F723)</f>
        <v/>
      </c>
    </row>
    <row r="724">
      <c r="A724">
        <f>'Raw Orders'!A724</f>
        <v/>
      </c>
      <c r="B724">
        <f>'Raw Orders'!B724</f>
        <v/>
      </c>
      <c r="C724">
        <f>'Raw Orders'!C724</f>
        <v/>
      </c>
      <c r="D724" s="13">
        <f>'Raw Orders'!E724</f>
        <v/>
      </c>
      <c r="E724" s="14">
        <f>'Raw Orders'!F724</f>
        <v/>
      </c>
      <c r="F724" s="14">
        <f>'Raw Orders'!F724*0.5</f>
        <v/>
      </c>
      <c r="G724" s="12">
        <f>'Raw Orders'!H724</f>
        <v/>
      </c>
      <c r="H724" s="12">
        <f>'Raw Orders'!I724</f>
        <v/>
      </c>
      <c r="I724" s="13">
        <f>'Raw Orders'!K724</f>
        <v/>
      </c>
      <c r="J724" s="13">
        <f>IF('Raw Orders'!J724,"",(YEAR('Raw Orders'!I724)-YEAR('Raw Orders'!H724))*12+MONTH('Raw Orders'!I724)-MONTH('Raw Orders'!H724))</f>
        <v/>
      </c>
      <c r="K724">
        <f>IF('Raw Orders'!J724,"Cancelled",IF('Raw Orders'!K724&gt;=2,"Slipped","On plan"))</f>
        <v/>
      </c>
      <c r="L724" s="14">
        <f>IF(K724="On plan",0,F724)</f>
        <v/>
      </c>
    </row>
    <row r="725">
      <c r="A725">
        <f>'Raw Orders'!A725</f>
        <v/>
      </c>
      <c r="B725">
        <f>'Raw Orders'!B725</f>
        <v/>
      </c>
      <c r="C725">
        <f>'Raw Orders'!C725</f>
        <v/>
      </c>
      <c r="D725" s="13">
        <f>'Raw Orders'!E725</f>
        <v/>
      </c>
      <c r="E725" s="14">
        <f>'Raw Orders'!F725</f>
        <v/>
      </c>
      <c r="F725" s="14">
        <f>'Raw Orders'!F725*0.5</f>
        <v/>
      </c>
      <c r="G725" s="12">
        <f>'Raw Orders'!H725</f>
        <v/>
      </c>
      <c r="H725" s="12">
        <f>'Raw Orders'!I725</f>
        <v/>
      </c>
      <c r="I725" s="13">
        <f>'Raw Orders'!K725</f>
        <v/>
      </c>
      <c r="J725" s="13">
        <f>IF('Raw Orders'!J725,"",(YEAR('Raw Orders'!I725)-YEAR('Raw Orders'!H725))*12+MONTH('Raw Orders'!I725)-MONTH('Raw Orders'!H725))</f>
        <v/>
      </c>
      <c r="K725">
        <f>IF('Raw Orders'!J725,"Cancelled",IF('Raw Orders'!K725&gt;=2,"Slipped","On plan"))</f>
        <v/>
      </c>
      <c r="L725" s="14">
        <f>IF(K725="On plan",0,F725)</f>
        <v/>
      </c>
    </row>
    <row r="726">
      <c r="A726">
        <f>'Raw Orders'!A726</f>
        <v/>
      </c>
      <c r="B726">
        <f>'Raw Orders'!B726</f>
        <v/>
      </c>
      <c r="C726">
        <f>'Raw Orders'!C726</f>
        <v/>
      </c>
      <c r="D726" s="13">
        <f>'Raw Orders'!E726</f>
        <v/>
      </c>
      <c r="E726" s="14">
        <f>'Raw Orders'!F726</f>
        <v/>
      </c>
      <c r="F726" s="14">
        <f>'Raw Orders'!F726*0.5</f>
        <v/>
      </c>
      <c r="G726" s="12">
        <f>'Raw Orders'!H726</f>
        <v/>
      </c>
      <c r="H726" s="12">
        <f>'Raw Orders'!I726</f>
        <v/>
      </c>
      <c r="I726" s="13">
        <f>'Raw Orders'!K726</f>
        <v/>
      </c>
      <c r="J726" s="13">
        <f>IF('Raw Orders'!J726,"",(YEAR('Raw Orders'!I726)-YEAR('Raw Orders'!H726))*12+MONTH('Raw Orders'!I726)-MONTH('Raw Orders'!H726))</f>
        <v/>
      </c>
      <c r="K726">
        <f>IF('Raw Orders'!J726,"Cancelled",IF('Raw Orders'!K726&gt;=2,"Slipped","On plan"))</f>
        <v/>
      </c>
      <c r="L726" s="14">
        <f>IF(K726="On plan",0,F726)</f>
        <v/>
      </c>
    </row>
    <row r="727">
      <c r="A727">
        <f>'Raw Orders'!A727</f>
        <v/>
      </c>
      <c r="B727">
        <f>'Raw Orders'!B727</f>
        <v/>
      </c>
      <c r="C727">
        <f>'Raw Orders'!C727</f>
        <v/>
      </c>
      <c r="D727" s="13">
        <f>'Raw Orders'!E727</f>
        <v/>
      </c>
      <c r="E727" s="14">
        <f>'Raw Orders'!F727</f>
        <v/>
      </c>
      <c r="F727" s="14">
        <f>'Raw Orders'!F727*0.5</f>
        <v/>
      </c>
      <c r="G727" s="12">
        <f>'Raw Orders'!H727</f>
        <v/>
      </c>
      <c r="H727" s="12">
        <f>'Raw Orders'!I727</f>
        <v/>
      </c>
      <c r="I727" s="13">
        <f>'Raw Orders'!K727</f>
        <v/>
      </c>
      <c r="J727" s="13">
        <f>IF('Raw Orders'!J727,"",(YEAR('Raw Orders'!I727)-YEAR('Raw Orders'!H727))*12+MONTH('Raw Orders'!I727)-MONTH('Raw Orders'!H727))</f>
        <v/>
      </c>
      <c r="K727">
        <f>IF('Raw Orders'!J727,"Cancelled",IF('Raw Orders'!K727&gt;=2,"Slipped","On plan"))</f>
        <v/>
      </c>
      <c r="L727" s="14">
        <f>IF(K727="On plan",0,F727)</f>
        <v/>
      </c>
    </row>
    <row r="728">
      <c r="A728">
        <f>'Raw Orders'!A728</f>
        <v/>
      </c>
      <c r="B728">
        <f>'Raw Orders'!B728</f>
        <v/>
      </c>
      <c r="C728">
        <f>'Raw Orders'!C728</f>
        <v/>
      </c>
      <c r="D728" s="13">
        <f>'Raw Orders'!E728</f>
        <v/>
      </c>
      <c r="E728" s="14">
        <f>'Raw Orders'!F728</f>
        <v/>
      </c>
      <c r="F728" s="14">
        <f>'Raw Orders'!F728*0.5</f>
        <v/>
      </c>
      <c r="G728" s="12">
        <f>'Raw Orders'!H728</f>
        <v/>
      </c>
      <c r="H728" s="12">
        <f>'Raw Orders'!I728</f>
        <v/>
      </c>
      <c r="I728" s="13">
        <f>'Raw Orders'!K728</f>
        <v/>
      </c>
      <c r="J728" s="13">
        <f>IF('Raw Orders'!J728,"",(YEAR('Raw Orders'!I728)-YEAR('Raw Orders'!H728))*12+MONTH('Raw Orders'!I728)-MONTH('Raw Orders'!H728))</f>
        <v/>
      </c>
      <c r="K728">
        <f>IF('Raw Orders'!J728,"Cancelled",IF('Raw Orders'!K728&gt;=2,"Slipped","On plan"))</f>
        <v/>
      </c>
      <c r="L728" s="14">
        <f>IF(K728="On plan",0,F728)</f>
        <v/>
      </c>
    </row>
    <row r="729">
      <c r="A729">
        <f>'Raw Orders'!A729</f>
        <v/>
      </c>
      <c r="B729">
        <f>'Raw Orders'!B729</f>
        <v/>
      </c>
      <c r="C729">
        <f>'Raw Orders'!C729</f>
        <v/>
      </c>
      <c r="D729" s="13">
        <f>'Raw Orders'!E729</f>
        <v/>
      </c>
      <c r="E729" s="14">
        <f>'Raw Orders'!F729</f>
        <v/>
      </c>
      <c r="F729" s="14">
        <f>'Raw Orders'!F729*0.5</f>
        <v/>
      </c>
      <c r="G729" s="12">
        <f>'Raw Orders'!H729</f>
        <v/>
      </c>
      <c r="H729" s="12">
        <f>'Raw Orders'!I729</f>
        <v/>
      </c>
      <c r="I729" s="13">
        <f>'Raw Orders'!K729</f>
        <v/>
      </c>
      <c r="J729" s="13">
        <f>IF('Raw Orders'!J729,"",(YEAR('Raw Orders'!I729)-YEAR('Raw Orders'!H729))*12+MONTH('Raw Orders'!I729)-MONTH('Raw Orders'!H729))</f>
        <v/>
      </c>
      <c r="K729">
        <f>IF('Raw Orders'!J729,"Cancelled",IF('Raw Orders'!K729&gt;=2,"Slipped","On plan"))</f>
        <v/>
      </c>
      <c r="L729" s="14">
        <f>IF(K729="On plan",0,F729)</f>
        <v/>
      </c>
    </row>
    <row r="730">
      <c r="A730">
        <f>'Raw Orders'!A730</f>
        <v/>
      </c>
      <c r="B730">
        <f>'Raw Orders'!B730</f>
        <v/>
      </c>
      <c r="C730">
        <f>'Raw Orders'!C730</f>
        <v/>
      </c>
      <c r="D730" s="13">
        <f>'Raw Orders'!E730</f>
        <v/>
      </c>
      <c r="E730" s="14">
        <f>'Raw Orders'!F730</f>
        <v/>
      </c>
      <c r="F730" s="14">
        <f>'Raw Orders'!F730*0.5</f>
        <v/>
      </c>
      <c r="G730" s="12">
        <f>'Raw Orders'!H730</f>
        <v/>
      </c>
      <c r="H730" s="12">
        <f>'Raw Orders'!I730</f>
        <v/>
      </c>
      <c r="I730" s="13">
        <f>'Raw Orders'!K730</f>
        <v/>
      </c>
      <c r="J730" s="13">
        <f>IF('Raw Orders'!J730,"",(YEAR('Raw Orders'!I730)-YEAR('Raw Orders'!H730))*12+MONTH('Raw Orders'!I730)-MONTH('Raw Orders'!H730))</f>
        <v/>
      </c>
      <c r="K730">
        <f>IF('Raw Orders'!J730,"Cancelled",IF('Raw Orders'!K730&gt;=2,"Slipped","On plan"))</f>
        <v/>
      </c>
      <c r="L730" s="14">
        <f>IF(K730="On plan",0,F730)</f>
        <v/>
      </c>
    </row>
    <row r="731">
      <c r="A731">
        <f>'Raw Orders'!A731</f>
        <v/>
      </c>
      <c r="B731">
        <f>'Raw Orders'!B731</f>
        <v/>
      </c>
      <c r="C731">
        <f>'Raw Orders'!C731</f>
        <v/>
      </c>
      <c r="D731" s="13">
        <f>'Raw Orders'!E731</f>
        <v/>
      </c>
      <c r="E731" s="14">
        <f>'Raw Orders'!F731</f>
        <v/>
      </c>
      <c r="F731" s="14">
        <f>'Raw Orders'!F731*0.5</f>
        <v/>
      </c>
      <c r="G731" s="12">
        <f>'Raw Orders'!H731</f>
        <v/>
      </c>
      <c r="H731" s="12">
        <f>'Raw Orders'!I731</f>
        <v/>
      </c>
      <c r="I731" s="13">
        <f>'Raw Orders'!K731</f>
        <v/>
      </c>
      <c r="J731" s="13">
        <f>IF('Raw Orders'!J731,"",(YEAR('Raw Orders'!I731)-YEAR('Raw Orders'!H731))*12+MONTH('Raw Orders'!I731)-MONTH('Raw Orders'!H731))</f>
        <v/>
      </c>
      <c r="K731">
        <f>IF('Raw Orders'!J731,"Cancelled",IF('Raw Orders'!K731&gt;=2,"Slipped","On plan"))</f>
        <v/>
      </c>
      <c r="L731" s="14">
        <f>IF(K731="On plan",0,F731)</f>
        <v/>
      </c>
    </row>
    <row r="732">
      <c r="A732">
        <f>'Raw Orders'!A732</f>
        <v/>
      </c>
      <c r="B732">
        <f>'Raw Orders'!B732</f>
        <v/>
      </c>
      <c r="C732">
        <f>'Raw Orders'!C732</f>
        <v/>
      </c>
      <c r="D732" s="13">
        <f>'Raw Orders'!E732</f>
        <v/>
      </c>
      <c r="E732" s="14">
        <f>'Raw Orders'!F732</f>
        <v/>
      </c>
      <c r="F732" s="14">
        <f>'Raw Orders'!F732*0.5</f>
        <v/>
      </c>
      <c r="G732" s="12">
        <f>'Raw Orders'!H732</f>
        <v/>
      </c>
      <c r="H732" s="12">
        <f>'Raw Orders'!I732</f>
        <v/>
      </c>
      <c r="I732" s="13">
        <f>'Raw Orders'!K732</f>
        <v/>
      </c>
      <c r="J732" s="13">
        <f>IF('Raw Orders'!J732,"",(YEAR('Raw Orders'!I732)-YEAR('Raw Orders'!H732))*12+MONTH('Raw Orders'!I732)-MONTH('Raw Orders'!H732))</f>
        <v/>
      </c>
      <c r="K732">
        <f>IF('Raw Orders'!J732,"Cancelled",IF('Raw Orders'!K732&gt;=2,"Slipped","On plan"))</f>
        <v/>
      </c>
      <c r="L732" s="14">
        <f>IF(K732="On plan",0,F732)</f>
        <v/>
      </c>
    </row>
    <row r="733">
      <c r="A733">
        <f>'Raw Orders'!A733</f>
        <v/>
      </c>
      <c r="B733">
        <f>'Raw Orders'!B733</f>
        <v/>
      </c>
      <c r="C733">
        <f>'Raw Orders'!C733</f>
        <v/>
      </c>
      <c r="D733" s="13">
        <f>'Raw Orders'!E733</f>
        <v/>
      </c>
      <c r="E733" s="14">
        <f>'Raw Orders'!F733</f>
        <v/>
      </c>
      <c r="F733" s="14">
        <f>'Raw Orders'!F733*0.5</f>
        <v/>
      </c>
      <c r="G733" s="12">
        <f>'Raw Orders'!H733</f>
        <v/>
      </c>
      <c r="H733" s="12">
        <f>'Raw Orders'!I733</f>
        <v/>
      </c>
      <c r="I733" s="13">
        <f>'Raw Orders'!K733</f>
        <v/>
      </c>
      <c r="J733" s="13">
        <f>IF('Raw Orders'!J733,"",(YEAR('Raw Orders'!I733)-YEAR('Raw Orders'!H733))*12+MONTH('Raw Orders'!I733)-MONTH('Raw Orders'!H733))</f>
        <v/>
      </c>
      <c r="K733">
        <f>IF('Raw Orders'!J733,"Cancelled",IF('Raw Orders'!K733&gt;=2,"Slipped","On plan"))</f>
        <v/>
      </c>
      <c r="L733" s="14">
        <f>IF(K733="On plan",0,F733)</f>
        <v/>
      </c>
    </row>
    <row r="734">
      <c r="A734">
        <f>'Raw Orders'!A734</f>
        <v/>
      </c>
      <c r="B734">
        <f>'Raw Orders'!B734</f>
        <v/>
      </c>
      <c r="C734">
        <f>'Raw Orders'!C734</f>
        <v/>
      </c>
      <c r="D734" s="13">
        <f>'Raw Orders'!E734</f>
        <v/>
      </c>
      <c r="E734" s="14">
        <f>'Raw Orders'!F734</f>
        <v/>
      </c>
      <c r="F734" s="14">
        <f>'Raw Orders'!F734*0.5</f>
        <v/>
      </c>
      <c r="G734" s="12">
        <f>'Raw Orders'!H734</f>
        <v/>
      </c>
      <c r="H734" s="12">
        <f>'Raw Orders'!I734</f>
        <v/>
      </c>
      <c r="I734" s="13">
        <f>'Raw Orders'!K734</f>
        <v/>
      </c>
      <c r="J734" s="13">
        <f>IF('Raw Orders'!J734,"",(YEAR('Raw Orders'!I734)-YEAR('Raw Orders'!H734))*12+MONTH('Raw Orders'!I734)-MONTH('Raw Orders'!H734))</f>
        <v/>
      </c>
      <c r="K734">
        <f>IF('Raw Orders'!J734,"Cancelled",IF('Raw Orders'!K734&gt;=2,"Slipped","On plan"))</f>
        <v/>
      </c>
      <c r="L734" s="14">
        <f>IF(K734="On plan",0,F734)</f>
        <v/>
      </c>
    </row>
    <row r="735">
      <c r="A735">
        <f>'Raw Orders'!A735</f>
        <v/>
      </c>
      <c r="B735">
        <f>'Raw Orders'!B735</f>
        <v/>
      </c>
      <c r="C735">
        <f>'Raw Orders'!C735</f>
        <v/>
      </c>
      <c r="D735" s="13">
        <f>'Raw Orders'!E735</f>
        <v/>
      </c>
      <c r="E735" s="14">
        <f>'Raw Orders'!F735</f>
        <v/>
      </c>
      <c r="F735" s="14">
        <f>'Raw Orders'!F735*0.5</f>
        <v/>
      </c>
      <c r="G735" s="12">
        <f>'Raw Orders'!H735</f>
        <v/>
      </c>
      <c r="H735" s="12">
        <f>'Raw Orders'!I735</f>
        <v/>
      </c>
      <c r="I735" s="13">
        <f>'Raw Orders'!K735</f>
        <v/>
      </c>
      <c r="J735" s="13">
        <f>IF('Raw Orders'!J735,"",(YEAR('Raw Orders'!I735)-YEAR('Raw Orders'!H735))*12+MONTH('Raw Orders'!I735)-MONTH('Raw Orders'!H735))</f>
        <v/>
      </c>
      <c r="K735">
        <f>IF('Raw Orders'!J735,"Cancelled",IF('Raw Orders'!K735&gt;=2,"Slipped","On plan"))</f>
        <v/>
      </c>
      <c r="L735" s="14">
        <f>IF(K735="On plan",0,F735)</f>
        <v/>
      </c>
    </row>
    <row r="736">
      <c r="A736">
        <f>'Raw Orders'!A736</f>
        <v/>
      </c>
      <c r="B736">
        <f>'Raw Orders'!B736</f>
        <v/>
      </c>
      <c r="C736">
        <f>'Raw Orders'!C736</f>
        <v/>
      </c>
      <c r="D736" s="13">
        <f>'Raw Orders'!E736</f>
        <v/>
      </c>
      <c r="E736" s="14">
        <f>'Raw Orders'!F736</f>
        <v/>
      </c>
      <c r="F736" s="14">
        <f>'Raw Orders'!F736*0.5</f>
        <v/>
      </c>
      <c r="G736" s="12">
        <f>'Raw Orders'!H736</f>
        <v/>
      </c>
      <c r="H736" s="12">
        <f>'Raw Orders'!I736</f>
        <v/>
      </c>
      <c r="I736" s="13">
        <f>'Raw Orders'!K736</f>
        <v/>
      </c>
      <c r="J736" s="13">
        <f>IF('Raw Orders'!J736,"",(YEAR('Raw Orders'!I736)-YEAR('Raw Orders'!H736))*12+MONTH('Raw Orders'!I736)-MONTH('Raw Orders'!H736))</f>
        <v/>
      </c>
      <c r="K736">
        <f>IF('Raw Orders'!J736,"Cancelled",IF('Raw Orders'!K736&gt;=2,"Slipped","On plan"))</f>
        <v/>
      </c>
      <c r="L736" s="14">
        <f>IF(K736="On plan",0,F736)</f>
        <v/>
      </c>
    </row>
    <row r="737">
      <c r="A737">
        <f>'Raw Orders'!A737</f>
        <v/>
      </c>
      <c r="B737">
        <f>'Raw Orders'!B737</f>
        <v/>
      </c>
      <c r="C737">
        <f>'Raw Orders'!C737</f>
        <v/>
      </c>
      <c r="D737" s="13">
        <f>'Raw Orders'!E737</f>
        <v/>
      </c>
      <c r="E737" s="14">
        <f>'Raw Orders'!F737</f>
        <v/>
      </c>
      <c r="F737" s="14">
        <f>'Raw Orders'!F737*0.5</f>
        <v/>
      </c>
      <c r="G737" s="12">
        <f>'Raw Orders'!H737</f>
        <v/>
      </c>
      <c r="H737" s="12">
        <f>'Raw Orders'!I737</f>
        <v/>
      </c>
      <c r="I737" s="13">
        <f>'Raw Orders'!K737</f>
        <v/>
      </c>
      <c r="J737" s="13">
        <f>IF('Raw Orders'!J737,"",(YEAR('Raw Orders'!I737)-YEAR('Raw Orders'!H737))*12+MONTH('Raw Orders'!I737)-MONTH('Raw Orders'!H737))</f>
        <v/>
      </c>
      <c r="K737">
        <f>IF('Raw Orders'!J737,"Cancelled",IF('Raw Orders'!K737&gt;=2,"Slipped","On plan"))</f>
        <v/>
      </c>
      <c r="L737" s="14">
        <f>IF(K737="On plan",0,F737)</f>
        <v/>
      </c>
    </row>
    <row r="738">
      <c r="A738">
        <f>'Raw Orders'!A738</f>
        <v/>
      </c>
      <c r="B738">
        <f>'Raw Orders'!B738</f>
        <v/>
      </c>
      <c r="C738">
        <f>'Raw Orders'!C738</f>
        <v/>
      </c>
      <c r="D738" s="13">
        <f>'Raw Orders'!E738</f>
        <v/>
      </c>
      <c r="E738" s="14">
        <f>'Raw Orders'!F738</f>
        <v/>
      </c>
      <c r="F738" s="14">
        <f>'Raw Orders'!F738*0.5</f>
        <v/>
      </c>
      <c r="G738" s="12">
        <f>'Raw Orders'!H738</f>
        <v/>
      </c>
      <c r="H738" s="12">
        <f>'Raw Orders'!I738</f>
        <v/>
      </c>
      <c r="I738" s="13">
        <f>'Raw Orders'!K738</f>
        <v/>
      </c>
      <c r="J738" s="13">
        <f>IF('Raw Orders'!J738,"",(YEAR('Raw Orders'!I738)-YEAR('Raw Orders'!H738))*12+MONTH('Raw Orders'!I738)-MONTH('Raw Orders'!H738))</f>
        <v/>
      </c>
      <c r="K738">
        <f>IF('Raw Orders'!J738,"Cancelled",IF('Raw Orders'!K738&gt;=2,"Slipped","On plan"))</f>
        <v/>
      </c>
      <c r="L738" s="14">
        <f>IF(K738="On plan",0,F738)</f>
        <v/>
      </c>
    </row>
    <row r="739">
      <c r="A739">
        <f>'Raw Orders'!A739</f>
        <v/>
      </c>
      <c r="B739">
        <f>'Raw Orders'!B739</f>
        <v/>
      </c>
      <c r="C739">
        <f>'Raw Orders'!C739</f>
        <v/>
      </c>
      <c r="D739" s="13">
        <f>'Raw Orders'!E739</f>
        <v/>
      </c>
      <c r="E739" s="14">
        <f>'Raw Orders'!F739</f>
        <v/>
      </c>
      <c r="F739" s="14">
        <f>'Raw Orders'!F739*0.5</f>
        <v/>
      </c>
      <c r="G739" s="12">
        <f>'Raw Orders'!H739</f>
        <v/>
      </c>
      <c r="H739" s="12">
        <f>'Raw Orders'!I739</f>
        <v/>
      </c>
      <c r="I739" s="13">
        <f>'Raw Orders'!K739</f>
        <v/>
      </c>
      <c r="J739" s="13">
        <f>IF('Raw Orders'!J739,"",(YEAR('Raw Orders'!I739)-YEAR('Raw Orders'!H739))*12+MONTH('Raw Orders'!I739)-MONTH('Raw Orders'!H739))</f>
        <v/>
      </c>
      <c r="K739">
        <f>IF('Raw Orders'!J739,"Cancelled",IF('Raw Orders'!K739&gt;=2,"Slipped","On plan"))</f>
        <v/>
      </c>
      <c r="L739" s="14">
        <f>IF(K739="On plan",0,F739)</f>
        <v/>
      </c>
    </row>
    <row r="740">
      <c r="A740">
        <f>'Raw Orders'!A740</f>
        <v/>
      </c>
      <c r="B740">
        <f>'Raw Orders'!B740</f>
        <v/>
      </c>
      <c r="C740">
        <f>'Raw Orders'!C740</f>
        <v/>
      </c>
      <c r="D740" s="13">
        <f>'Raw Orders'!E740</f>
        <v/>
      </c>
      <c r="E740" s="14">
        <f>'Raw Orders'!F740</f>
        <v/>
      </c>
      <c r="F740" s="14">
        <f>'Raw Orders'!F740*0.5</f>
        <v/>
      </c>
      <c r="G740" s="12">
        <f>'Raw Orders'!H740</f>
        <v/>
      </c>
      <c r="H740" s="12">
        <f>'Raw Orders'!I740</f>
        <v/>
      </c>
      <c r="I740" s="13">
        <f>'Raw Orders'!K740</f>
        <v/>
      </c>
      <c r="J740" s="13">
        <f>IF('Raw Orders'!J740,"",(YEAR('Raw Orders'!I740)-YEAR('Raw Orders'!H740))*12+MONTH('Raw Orders'!I740)-MONTH('Raw Orders'!H740))</f>
        <v/>
      </c>
      <c r="K740">
        <f>IF('Raw Orders'!J740,"Cancelled",IF('Raw Orders'!K740&gt;=2,"Slipped","On plan"))</f>
        <v/>
      </c>
      <c r="L740" s="14">
        <f>IF(K740="On plan",0,F740)</f>
        <v/>
      </c>
    </row>
    <row r="741">
      <c r="A741">
        <f>'Raw Orders'!A741</f>
        <v/>
      </c>
      <c r="B741">
        <f>'Raw Orders'!B741</f>
        <v/>
      </c>
      <c r="C741">
        <f>'Raw Orders'!C741</f>
        <v/>
      </c>
      <c r="D741" s="13">
        <f>'Raw Orders'!E741</f>
        <v/>
      </c>
      <c r="E741" s="14">
        <f>'Raw Orders'!F741</f>
        <v/>
      </c>
      <c r="F741" s="14">
        <f>'Raw Orders'!F741*0.5</f>
        <v/>
      </c>
      <c r="G741" s="12">
        <f>'Raw Orders'!H741</f>
        <v/>
      </c>
      <c r="H741" s="12">
        <f>'Raw Orders'!I741</f>
        <v/>
      </c>
      <c r="I741" s="13">
        <f>'Raw Orders'!K741</f>
        <v/>
      </c>
      <c r="J741" s="13">
        <f>IF('Raw Orders'!J741,"",(YEAR('Raw Orders'!I741)-YEAR('Raw Orders'!H741))*12+MONTH('Raw Orders'!I741)-MONTH('Raw Orders'!H741))</f>
        <v/>
      </c>
      <c r="K741">
        <f>IF('Raw Orders'!J741,"Cancelled",IF('Raw Orders'!K741&gt;=2,"Slipped","On plan"))</f>
        <v/>
      </c>
      <c r="L741" s="14">
        <f>IF(K741="On plan",0,F741)</f>
        <v/>
      </c>
    </row>
    <row r="742">
      <c r="A742">
        <f>'Raw Orders'!A742</f>
        <v/>
      </c>
      <c r="B742">
        <f>'Raw Orders'!B742</f>
        <v/>
      </c>
      <c r="C742">
        <f>'Raw Orders'!C742</f>
        <v/>
      </c>
      <c r="D742" s="13">
        <f>'Raw Orders'!E742</f>
        <v/>
      </c>
      <c r="E742" s="14">
        <f>'Raw Orders'!F742</f>
        <v/>
      </c>
      <c r="F742" s="14">
        <f>'Raw Orders'!F742*0.5</f>
        <v/>
      </c>
      <c r="G742" s="12">
        <f>'Raw Orders'!H742</f>
        <v/>
      </c>
      <c r="H742" s="12">
        <f>'Raw Orders'!I742</f>
        <v/>
      </c>
      <c r="I742" s="13">
        <f>'Raw Orders'!K742</f>
        <v/>
      </c>
      <c r="J742" s="13">
        <f>IF('Raw Orders'!J742,"",(YEAR('Raw Orders'!I742)-YEAR('Raw Orders'!H742))*12+MONTH('Raw Orders'!I742)-MONTH('Raw Orders'!H742))</f>
        <v/>
      </c>
      <c r="K742">
        <f>IF('Raw Orders'!J742,"Cancelled",IF('Raw Orders'!K742&gt;=2,"Slipped","On plan"))</f>
        <v/>
      </c>
      <c r="L742" s="14">
        <f>IF(K742="On plan",0,F742)</f>
        <v/>
      </c>
    </row>
    <row r="743">
      <c r="A743">
        <f>'Raw Orders'!A743</f>
        <v/>
      </c>
      <c r="B743">
        <f>'Raw Orders'!B743</f>
        <v/>
      </c>
      <c r="C743">
        <f>'Raw Orders'!C743</f>
        <v/>
      </c>
      <c r="D743" s="13">
        <f>'Raw Orders'!E743</f>
        <v/>
      </c>
      <c r="E743" s="14">
        <f>'Raw Orders'!F743</f>
        <v/>
      </c>
      <c r="F743" s="14">
        <f>'Raw Orders'!F743*0.5</f>
        <v/>
      </c>
      <c r="G743" s="12">
        <f>'Raw Orders'!H743</f>
        <v/>
      </c>
      <c r="H743" s="12">
        <f>'Raw Orders'!I743</f>
        <v/>
      </c>
      <c r="I743" s="13">
        <f>'Raw Orders'!K743</f>
        <v/>
      </c>
      <c r="J743" s="13">
        <f>IF('Raw Orders'!J743,"",(YEAR('Raw Orders'!I743)-YEAR('Raw Orders'!H743))*12+MONTH('Raw Orders'!I743)-MONTH('Raw Orders'!H743))</f>
        <v/>
      </c>
      <c r="K743">
        <f>IF('Raw Orders'!J743,"Cancelled",IF('Raw Orders'!K743&gt;=2,"Slipped","On plan"))</f>
        <v/>
      </c>
      <c r="L743" s="14">
        <f>IF(K743="On plan",0,F743)</f>
        <v/>
      </c>
    </row>
    <row r="744">
      <c r="A744">
        <f>'Raw Orders'!A744</f>
        <v/>
      </c>
      <c r="B744">
        <f>'Raw Orders'!B744</f>
        <v/>
      </c>
      <c r="C744">
        <f>'Raw Orders'!C744</f>
        <v/>
      </c>
      <c r="D744" s="13">
        <f>'Raw Orders'!E744</f>
        <v/>
      </c>
      <c r="E744" s="14">
        <f>'Raw Orders'!F744</f>
        <v/>
      </c>
      <c r="F744" s="14">
        <f>'Raw Orders'!F744*0.5</f>
        <v/>
      </c>
      <c r="G744" s="12">
        <f>'Raw Orders'!H744</f>
        <v/>
      </c>
      <c r="H744" s="12">
        <f>'Raw Orders'!I744</f>
        <v/>
      </c>
      <c r="I744" s="13">
        <f>'Raw Orders'!K744</f>
        <v/>
      </c>
      <c r="J744" s="13">
        <f>IF('Raw Orders'!J744,"",(YEAR('Raw Orders'!I744)-YEAR('Raw Orders'!H744))*12+MONTH('Raw Orders'!I744)-MONTH('Raw Orders'!H744))</f>
        <v/>
      </c>
      <c r="K744">
        <f>IF('Raw Orders'!J744,"Cancelled",IF('Raw Orders'!K744&gt;=2,"Slipped","On plan"))</f>
        <v/>
      </c>
      <c r="L744" s="14">
        <f>IF(K744="On plan",0,F744)</f>
        <v/>
      </c>
    </row>
    <row r="745">
      <c r="A745">
        <f>'Raw Orders'!A745</f>
        <v/>
      </c>
      <c r="B745">
        <f>'Raw Orders'!B745</f>
        <v/>
      </c>
      <c r="C745">
        <f>'Raw Orders'!C745</f>
        <v/>
      </c>
      <c r="D745" s="13">
        <f>'Raw Orders'!E745</f>
        <v/>
      </c>
      <c r="E745" s="14">
        <f>'Raw Orders'!F745</f>
        <v/>
      </c>
      <c r="F745" s="14">
        <f>'Raw Orders'!F745*0.5</f>
        <v/>
      </c>
      <c r="G745" s="12">
        <f>'Raw Orders'!H745</f>
        <v/>
      </c>
      <c r="H745" s="12">
        <f>'Raw Orders'!I745</f>
        <v/>
      </c>
      <c r="I745" s="13">
        <f>'Raw Orders'!K745</f>
        <v/>
      </c>
      <c r="J745" s="13">
        <f>IF('Raw Orders'!J745,"",(YEAR('Raw Orders'!I745)-YEAR('Raw Orders'!H745))*12+MONTH('Raw Orders'!I745)-MONTH('Raw Orders'!H745))</f>
        <v/>
      </c>
      <c r="K745">
        <f>IF('Raw Orders'!J745,"Cancelled",IF('Raw Orders'!K745&gt;=2,"Slipped","On plan"))</f>
        <v/>
      </c>
      <c r="L745" s="14">
        <f>IF(K745="On plan",0,F745)</f>
        <v/>
      </c>
    </row>
    <row r="746">
      <c r="A746">
        <f>'Raw Orders'!A746</f>
        <v/>
      </c>
      <c r="B746">
        <f>'Raw Orders'!B746</f>
        <v/>
      </c>
      <c r="C746">
        <f>'Raw Orders'!C746</f>
        <v/>
      </c>
      <c r="D746" s="13">
        <f>'Raw Orders'!E746</f>
        <v/>
      </c>
      <c r="E746" s="14">
        <f>'Raw Orders'!F746</f>
        <v/>
      </c>
      <c r="F746" s="14">
        <f>'Raw Orders'!F746*0.5</f>
        <v/>
      </c>
      <c r="G746" s="12">
        <f>'Raw Orders'!H746</f>
        <v/>
      </c>
      <c r="H746" s="12">
        <f>'Raw Orders'!I746</f>
        <v/>
      </c>
      <c r="I746" s="13">
        <f>'Raw Orders'!K746</f>
        <v/>
      </c>
      <c r="J746" s="13">
        <f>IF('Raw Orders'!J746,"",(YEAR('Raw Orders'!I746)-YEAR('Raw Orders'!H746))*12+MONTH('Raw Orders'!I746)-MONTH('Raw Orders'!H746))</f>
        <v/>
      </c>
      <c r="K746">
        <f>IF('Raw Orders'!J746,"Cancelled",IF('Raw Orders'!K746&gt;=2,"Slipped","On plan"))</f>
        <v/>
      </c>
      <c r="L746" s="14">
        <f>IF(K746="On plan",0,F746)</f>
        <v/>
      </c>
    </row>
    <row r="747">
      <c r="A747">
        <f>'Raw Orders'!A747</f>
        <v/>
      </c>
      <c r="B747">
        <f>'Raw Orders'!B747</f>
        <v/>
      </c>
      <c r="C747">
        <f>'Raw Orders'!C747</f>
        <v/>
      </c>
      <c r="D747" s="13">
        <f>'Raw Orders'!E747</f>
        <v/>
      </c>
      <c r="E747" s="14">
        <f>'Raw Orders'!F747</f>
        <v/>
      </c>
      <c r="F747" s="14">
        <f>'Raw Orders'!F747*0.5</f>
        <v/>
      </c>
      <c r="G747" s="12">
        <f>'Raw Orders'!H747</f>
        <v/>
      </c>
      <c r="H747" s="12">
        <f>'Raw Orders'!I747</f>
        <v/>
      </c>
      <c r="I747" s="13">
        <f>'Raw Orders'!K747</f>
        <v/>
      </c>
      <c r="J747" s="13">
        <f>IF('Raw Orders'!J747,"",(YEAR('Raw Orders'!I747)-YEAR('Raw Orders'!H747))*12+MONTH('Raw Orders'!I747)-MONTH('Raw Orders'!H747))</f>
        <v/>
      </c>
      <c r="K747">
        <f>IF('Raw Orders'!J747,"Cancelled",IF('Raw Orders'!K747&gt;=2,"Slipped","On plan"))</f>
        <v/>
      </c>
      <c r="L747" s="14">
        <f>IF(K747="On plan",0,F747)</f>
        <v/>
      </c>
    </row>
    <row r="748">
      <c r="A748">
        <f>'Raw Orders'!A748</f>
        <v/>
      </c>
      <c r="B748">
        <f>'Raw Orders'!B748</f>
        <v/>
      </c>
      <c r="C748">
        <f>'Raw Orders'!C748</f>
        <v/>
      </c>
      <c r="D748" s="13">
        <f>'Raw Orders'!E748</f>
        <v/>
      </c>
      <c r="E748" s="14">
        <f>'Raw Orders'!F748</f>
        <v/>
      </c>
      <c r="F748" s="14">
        <f>'Raw Orders'!F748*0.5</f>
        <v/>
      </c>
      <c r="G748" s="12">
        <f>'Raw Orders'!H748</f>
        <v/>
      </c>
      <c r="H748" s="12">
        <f>'Raw Orders'!I748</f>
        <v/>
      </c>
      <c r="I748" s="13">
        <f>'Raw Orders'!K748</f>
        <v/>
      </c>
      <c r="J748" s="13">
        <f>IF('Raw Orders'!J748,"",(YEAR('Raw Orders'!I748)-YEAR('Raw Orders'!H748))*12+MONTH('Raw Orders'!I748)-MONTH('Raw Orders'!H748))</f>
        <v/>
      </c>
      <c r="K748">
        <f>IF('Raw Orders'!J748,"Cancelled",IF('Raw Orders'!K748&gt;=2,"Slipped","On plan"))</f>
        <v/>
      </c>
      <c r="L748" s="14">
        <f>IF(K748="On plan",0,F748)</f>
        <v/>
      </c>
    </row>
    <row r="749">
      <c r="A749">
        <f>'Raw Orders'!A749</f>
        <v/>
      </c>
      <c r="B749">
        <f>'Raw Orders'!B749</f>
        <v/>
      </c>
      <c r="C749">
        <f>'Raw Orders'!C749</f>
        <v/>
      </c>
      <c r="D749" s="13">
        <f>'Raw Orders'!E749</f>
        <v/>
      </c>
      <c r="E749" s="14">
        <f>'Raw Orders'!F749</f>
        <v/>
      </c>
      <c r="F749" s="14">
        <f>'Raw Orders'!F749*0.5</f>
        <v/>
      </c>
      <c r="G749" s="12">
        <f>'Raw Orders'!H749</f>
        <v/>
      </c>
      <c r="H749" s="12">
        <f>'Raw Orders'!I749</f>
        <v/>
      </c>
      <c r="I749" s="13">
        <f>'Raw Orders'!K749</f>
        <v/>
      </c>
      <c r="J749" s="13">
        <f>IF('Raw Orders'!J749,"",(YEAR('Raw Orders'!I749)-YEAR('Raw Orders'!H749))*12+MONTH('Raw Orders'!I749)-MONTH('Raw Orders'!H749))</f>
        <v/>
      </c>
      <c r="K749">
        <f>IF('Raw Orders'!J749,"Cancelled",IF('Raw Orders'!K749&gt;=2,"Slipped","On plan"))</f>
        <v/>
      </c>
      <c r="L749" s="14">
        <f>IF(K749="On plan",0,F749)</f>
        <v/>
      </c>
    </row>
    <row r="750">
      <c r="A750">
        <f>'Raw Orders'!A750</f>
        <v/>
      </c>
      <c r="B750">
        <f>'Raw Orders'!B750</f>
        <v/>
      </c>
      <c r="C750">
        <f>'Raw Orders'!C750</f>
        <v/>
      </c>
      <c r="D750" s="13">
        <f>'Raw Orders'!E750</f>
        <v/>
      </c>
      <c r="E750" s="14">
        <f>'Raw Orders'!F750</f>
        <v/>
      </c>
      <c r="F750" s="14">
        <f>'Raw Orders'!F750*0.5</f>
        <v/>
      </c>
      <c r="G750" s="12">
        <f>'Raw Orders'!H750</f>
        <v/>
      </c>
      <c r="H750" s="12">
        <f>'Raw Orders'!I750</f>
        <v/>
      </c>
      <c r="I750" s="13">
        <f>'Raw Orders'!K750</f>
        <v/>
      </c>
      <c r="J750" s="13">
        <f>IF('Raw Orders'!J750,"",(YEAR('Raw Orders'!I750)-YEAR('Raw Orders'!H750))*12+MONTH('Raw Orders'!I750)-MONTH('Raw Orders'!H750))</f>
        <v/>
      </c>
      <c r="K750">
        <f>IF('Raw Orders'!J750,"Cancelled",IF('Raw Orders'!K750&gt;=2,"Slipped","On plan"))</f>
        <v/>
      </c>
      <c r="L750" s="14">
        <f>IF(K750="On plan",0,F750)</f>
        <v/>
      </c>
    </row>
    <row r="751">
      <c r="A751">
        <f>'Raw Orders'!A751</f>
        <v/>
      </c>
      <c r="B751">
        <f>'Raw Orders'!B751</f>
        <v/>
      </c>
      <c r="C751">
        <f>'Raw Orders'!C751</f>
        <v/>
      </c>
      <c r="D751" s="13">
        <f>'Raw Orders'!E751</f>
        <v/>
      </c>
      <c r="E751" s="14">
        <f>'Raw Orders'!F751</f>
        <v/>
      </c>
      <c r="F751" s="14">
        <f>'Raw Orders'!F751*0.5</f>
        <v/>
      </c>
      <c r="G751" s="12">
        <f>'Raw Orders'!H751</f>
        <v/>
      </c>
      <c r="H751" s="12">
        <f>'Raw Orders'!I751</f>
        <v/>
      </c>
      <c r="I751" s="13">
        <f>'Raw Orders'!K751</f>
        <v/>
      </c>
      <c r="J751" s="13">
        <f>IF('Raw Orders'!J751,"",(YEAR('Raw Orders'!I751)-YEAR('Raw Orders'!H751))*12+MONTH('Raw Orders'!I751)-MONTH('Raw Orders'!H751))</f>
        <v/>
      </c>
      <c r="K751">
        <f>IF('Raw Orders'!J751,"Cancelled",IF('Raw Orders'!K751&gt;=2,"Slipped","On plan"))</f>
        <v/>
      </c>
      <c r="L751" s="14">
        <f>IF(K751="On plan",0,F751)</f>
        <v/>
      </c>
    </row>
    <row r="752">
      <c r="A752">
        <f>'Raw Orders'!A752</f>
        <v/>
      </c>
      <c r="B752">
        <f>'Raw Orders'!B752</f>
        <v/>
      </c>
      <c r="C752">
        <f>'Raw Orders'!C752</f>
        <v/>
      </c>
      <c r="D752" s="13">
        <f>'Raw Orders'!E752</f>
        <v/>
      </c>
      <c r="E752" s="14">
        <f>'Raw Orders'!F752</f>
        <v/>
      </c>
      <c r="F752" s="14">
        <f>'Raw Orders'!F752*0.5</f>
        <v/>
      </c>
      <c r="G752" s="12">
        <f>'Raw Orders'!H752</f>
        <v/>
      </c>
      <c r="H752" s="12">
        <f>'Raw Orders'!I752</f>
        <v/>
      </c>
      <c r="I752" s="13">
        <f>'Raw Orders'!K752</f>
        <v/>
      </c>
      <c r="J752" s="13">
        <f>IF('Raw Orders'!J752,"",(YEAR('Raw Orders'!I752)-YEAR('Raw Orders'!H752))*12+MONTH('Raw Orders'!I752)-MONTH('Raw Orders'!H752))</f>
        <v/>
      </c>
      <c r="K752">
        <f>IF('Raw Orders'!J752,"Cancelled",IF('Raw Orders'!K752&gt;=2,"Slipped","On plan"))</f>
        <v/>
      </c>
      <c r="L752" s="14">
        <f>IF(K752="On plan",0,F752)</f>
        <v/>
      </c>
    </row>
    <row r="753">
      <c r="A753">
        <f>'Raw Orders'!A753</f>
        <v/>
      </c>
      <c r="B753">
        <f>'Raw Orders'!B753</f>
        <v/>
      </c>
      <c r="C753">
        <f>'Raw Orders'!C753</f>
        <v/>
      </c>
      <c r="D753" s="13">
        <f>'Raw Orders'!E753</f>
        <v/>
      </c>
      <c r="E753" s="14">
        <f>'Raw Orders'!F753</f>
        <v/>
      </c>
      <c r="F753" s="14">
        <f>'Raw Orders'!F753*0.5</f>
        <v/>
      </c>
      <c r="G753" s="12">
        <f>'Raw Orders'!H753</f>
        <v/>
      </c>
      <c r="H753" s="12">
        <f>'Raw Orders'!I753</f>
        <v/>
      </c>
      <c r="I753" s="13">
        <f>'Raw Orders'!K753</f>
        <v/>
      </c>
      <c r="J753" s="13">
        <f>IF('Raw Orders'!J753,"",(YEAR('Raw Orders'!I753)-YEAR('Raw Orders'!H753))*12+MONTH('Raw Orders'!I753)-MONTH('Raw Orders'!H753))</f>
        <v/>
      </c>
      <c r="K753">
        <f>IF('Raw Orders'!J753,"Cancelled",IF('Raw Orders'!K753&gt;=2,"Slipped","On plan"))</f>
        <v/>
      </c>
      <c r="L753" s="14">
        <f>IF(K753="On plan",0,F753)</f>
        <v/>
      </c>
    </row>
    <row r="754">
      <c r="A754">
        <f>'Raw Orders'!A754</f>
        <v/>
      </c>
      <c r="B754">
        <f>'Raw Orders'!B754</f>
        <v/>
      </c>
      <c r="C754">
        <f>'Raw Orders'!C754</f>
        <v/>
      </c>
      <c r="D754" s="13">
        <f>'Raw Orders'!E754</f>
        <v/>
      </c>
      <c r="E754" s="14">
        <f>'Raw Orders'!F754</f>
        <v/>
      </c>
      <c r="F754" s="14">
        <f>'Raw Orders'!F754*0.5</f>
        <v/>
      </c>
      <c r="G754" s="12">
        <f>'Raw Orders'!H754</f>
        <v/>
      </c>
      <c r="H754" s="12">
        <f>'Raw Orders'!I754</f>
        <v/>
      </c>
      <c r="I754" s="13">
        <f>'Raw Orders'!K754</f>
        <v/>
      </c>
      <c r="J754" s="13">
        <f>IF('Raw Orders'!J754,"",(YEAR('Raw Orders'!I754)-YEAR('Raw Orders'!H754))*12+MONTH('Raw Orders'!I754)-MONTH('Raw Orders'!H754))</f>
        <v/>
      </c>
      <c r="K754">
        <f>IF('Raw Orders'!J754,"Cancelled",IF('Raw Orders'!K754&gt;=2,"Slipped","On plan"))</f>
        <v/>
      </c>
      <c r="L754" s="14">
        <f>IF(K754="On plan",0,F754)</f>
        <v/>
      </c>
    </row>
    <row r="755">
      <c r="A755">
        <f>'Raw Orders'!A755</f>
        <v/>
      </c>
      <c r="B755">
        <f>'Raw Orders'!B755</f>
        <v/>
      </c>
      <c r="C755">
        <f>'Raw Orders'!C755</f>
        <v/>
      </c>
      <c r="D755" s="13">
        <f>'Raw Orders'!E755</f>
        <v/>
      </c>
      <c r="E755" s="14">
        <f>'Raw Orders'!F755</f>
        <v/>
      </c>
      <c r="F755" s="14">
        <f>'Raw Orders'!F755*0.5</f>
        <v/>
      </c>
      <c r="G755" s="12">
        <f>'Raw Orders'!H755</f>
        <v/>
      </c>
      <c r="H755" s="12">
        <f>'Raw Orders'!I755</f>
        <v/>
      </c>
      <c r="I755" s="13">
        <f>'Raw Orders'!K755</f>
        <v/>
      </c>
      <c r="J755" s="13">
        <f>IF('Raw Orders'!J755,"",(YEAR('Raw Orders'!I755)-YEAR('Raw Orders'!H755))*12+MONTH('Raw Orders'!I755)-MONTH('Raw Orders'!H755))</f>
        <v/>
      </c>
      <c r="K755">
        <f>IF('Raw Orders'!J755,"Cancelled",IF('Raw Orders'!K755&gt;=2,"Slipped","On plan"))</f>
        <v/>
      </c>
      <c r="L755" s="14">
        <f>IF(K755="On plan",0,F755)</f>
        <v/>
      </c>
    </row>
    <row r="756">
      <c r="A756">
        <f>'Raw Orders'!A756</f>
        <v/>
      </c>
      <c r="B756">
        <f>'Raw Orders'!B756</f>
        <v/>
      </c>
      <c r="C756">
        <f>'Raw Orders'!C756</f>
        <v/>
      </c>
      <c r="D756" s="13">
        <f>'Raw Orders'!E756</f>
        <v/>
      </c>
      <c r="E756" s="14">
        <f>'Raw Orders'!F756</f>
        <v/>
      </c>
      <c r="F756" s="14">
        <f>'Raw Orders'!F756*0.5</f>
        <v/>
      </c>
      <c r="G756" s="12">
        <f>'Raw Orders'!H756</f>
        <v/>
      </c>
      <c r="H756" s="12">
        <f>'Raw Orders'!I756</f>
        <v/>
      </c>
      <c r="I756" s="13">
        <f>'Raw Orders'!K756</f>
        <v/>
      </c>
      <c r="J756" s="13">
        <f>IF('Raw Orders'!J756,"",(YEAR('Raw Orders'!I756)-YEAR('Raw Orders'!H756))*12+MONTH('Raw Orders'!I756)-MONTH('Raw Orders'!H756))</f>
        <v/>
      </c>
      <c r="K756">
        <f>IF('Raw Orders'!J756,"Cancelled",IF('Raw Orders'!K756&gt;=2,"Slipped","On plan"))</f>
        <v/>
      </c>
      <c r="L756" s="14">
        <f>IF(K756="On plan",0,F756)</f>
        <v/>
      </c>
    </row>
    <row r="757">
      <c r="A757">
        <f>'Raw Orders'!A757</f>
        <v/>
      </c>
      <c r="B757">
        <f>'Raw Orders'!B757</f>
        <v/>
      </c>
      <c r="C757">
        <f>'Raw Orders'!C757</f>
        <v/>
      </c>
      <c r="D757" s="13">
        <f>'Raw Orders'!E757</f>
        <v/>
      </c>
      <c r="E757" s="14">
        <f>'Raw Orders'!F757</f>
        <v/>
      </c>
      <c r="F757" s="14">
        <f>'Raw Orders'!F757*0.5</f>
        <v/>
      </c>
      <c r="G757" s="12">
        <f>'Raw Orders'!H757</f>
        <v/>
      </c>
      <c r="H757" s="12">
        <f>'Raw Orders'!I757</f>
        <v/>
      </c>
      <c r="I757" s="13">
        <f>'Raw Orders'!K757</f>
        <v/>
      </c>
      <c r="J757" s="13">
        <f>IF('Raw Orders'!J757,"",(YEAR('Raw Orders'!I757)-YEAR('Raw Orders'!H757))*12+MONTH('Raw Orders'!I757)-MONTH('Raw Orders'!H757))</f>
        <v/>
      </c>
      <c r="K757">
        <f>IF('Raw Orders'!J757,"Cancelled",IF('Raw Orders'!K757&gt;=2,"Slipped","On plan"))</f>
        <v/>
      </c>
      <c r="L757" s="14">
        <f>IF(K757="On plan",0,F757)</f>
        <v/>
      </c>
    </row>
    <row r="758">
      <c r="A758">
        <f>'Raw Orders'!A758</f>
        <v/>
      </c>
      <c r="B758">
        <f>'Raw Orders'!B758</f>
        <v/>
      </c>
      <c r="C758">
        <f>'Raw Orders'!C758</f>
        <v/>
      </c>
      <c r="D758" s="13">
        <f>'Raw Orders'!E758</f>
        <v/>
      </c>
      <c r="E758" s="14">
        <f>'Raw Orders'!F758</f>
        <v/>
      </c>
      <c r="F758" s="14">
        <f>'Raw Orders'!F758*0.5</f>
        <v/>
      </c>
      <c r="G758" s="12">
        <f>'Raw Orders'!H758</f>
        <v/>
      </c>
      <c r="H758" s="12">
        <f>'Raw Orders'!I758</f>
        <v/>
      </c>
      <c r="I758" s="13">
        <f>'Raw Orders'!K758</f>
        <v/>
      </c>
      <c r="J758" s="13">
        <f>IF('Raw Orders'!J758,"",(YEAR('Raw Orders'!I758)-YEAR('Raw Orders'!H758))*12+MONTH('Raw Orders'!I758)-MONTH('Raw Orders'!H758))</f>
        <v/>
      </c>
      <c r="K758">
        <f>IF('Raw Orders'!J758,"Cancelled",IF('Raw Orders'!K758&gt;=2,"Slipped","On plan"))</f>
        <v/>
      </c>
      <c r="L758" s="14">
        <f>IF(K758="On plan",0,F758)</f>
        <v/>
      </c>
    </row>
    <row r="759">
      <c r="A759">
        <f>'Raw Orders'!A759</f>
        <v/>
      </c>
      <c r="B759">
        <f>'Raw Orders'!B759</f>
        <v/>
      </c>
      <c r="C759">
        <f>'Raw Orders'!C759</f>
        <v/>
      </c>
      <c r="D759" s="13">
        <f>'Raw Orders'!E759</f>
        <v/>
      </c>
      <c r="E759" s="14">
        <f>'Raw Orders'!F759</f>
        <v/>
      </c>
      <c r="F759" s="14">
        <f>'Raw Orders'!F759*0.5</f>
        <v/>
      </c>
      <c r="G759" s="12">
        <f>'Raw Orders'!H759</f>
        <v/>
      </c>
      <c r="H759" s="12">
        <f>'Raw Orders'!I759</f>
        <v/>
      </c>
      <c r="I759" s="13">
        <f>'Raw Orders'!K759</f>
        <v/>
      </c>
      <c r="J759" s="13">
        <f>IF('Raw Orders'!J759,"",(YEAR('Raw Orders'!I759)-YEAR('Raw Orders'!H759))*12+MONTH('Raw Orders'!I759)-MONTH('Raw Orders'!H759))</f>
        <v/>
      </c>
      <c r="K759">
        <f>IF('Raw Orders'!J759,"Cancelled",IF('Raw Orders'!K759&gt;=2,"Slipped","On plan"))</f>
        <v/>
      </c>
      <c r="L759" s="14">
        <f>IF(K759="On plan",0,F759)</f>
        <v/>
      </c>
    </row>
    <row r="760">
      <c r="A760">
        <f>'Raw Orders'!A760</f>
        <v/>
      </c>
      <c r="B760">
        <f>'Raw Orders'!B760</f>
        <v/>
      </c>
      <c r="C760">
        <f>'Raw Orders'!C760</f>
        <v/>
      </c>
      <c r="D760" s="13">
        <f>'Raw Orders'!E760</f>
        <v/>
      </c>
      <c r="E760" s="14">
        <f>'Raw Orders'!F760</f>
        <v/>
      </c>
      <c r="F760" s="14">
        <f>'Raw Orders'!F760*0.5</f>
        <v/>
      </c>
      <c r="G760" s="12">
        <f>'Raw Orders'!H760</f>
        <v/>
      </c>
      <c r="H760" s="12">
        <f>'Raw Orders'!I760</f>
        <v/>
      </c>
      <c r="I760" s="13">
        <f>'Raw Orders'!K760</f>
        <v/>
      </c>
      <c r="J760" s="13">
        <f>IF('Raw Orders'!J760,"",(YEAR('Raw Orders'!I760)-YEAR('Raw Orders'!H760))*12+MONTH('Raw Orders'!I760)-MONTH('Raw Orders'!H760))</f>
        <v/>
      </c>
      <c r="K760">
        <f>IF('Raw Orders'!J760,"Cancelled",IF('Raw Orders'!K760&gt;=2,"Slipped","On plan"))</f>
        <v/>
      </c>
      <c r="L760" s="14">
        <f>IF(K760="On plan",0,F760)</f>
        <v/>
      </c>
    </row>
    <row r="761">
      <c r="A761">
        <f>'Raw Orders'!A761</f>
        <v/>
      </c>
      <c r="B761">
        <f>'Raw Orders'!B761</f>
        <v/>
      </c>
      <c r="C761">
        <f>'Raw Orders'!C761</f>
        <v/>
      </c>
      <c r="D761" s="13">
        <f>'Raw Orders'!E761</f>
        <v/>
      </c>
      <c r="E761" s="14">
        <f>'Raw Orders'!F761</f>
        <v/>
      </c>
      <c r="F761" s="14">
        <f>'Raw Orders'!F761*0.5</f>
        <v/>
      </c>
      <c r="G761" s="12">
        <f>'Raw Orders'!H761</f>
        <v/>
      </c>
      <c r="H761" s="12">
        <f>'Raw Orders'!I761</f>
        <v/>
      </c>
      <c r="I761" s="13">
        <f>'Raw Orders'!K761</f>
        <v/>
      </c>
      <c r="J761" s="13">
        <f>IF('Raw Orders'!J761,"",(YEAR('Raw Orders'!I761)-YEAR('Raw Orders'!H761))*12+MONTH('Raw Orders'!I761)-MONTH('Raw Orders'!H761))</f>
        <v/>
      </c>
      <c r="K761">
        <f>IF('Raw Orders'!J761,"Cancelled",IF('Raw Orders'!K761&gt;=2,"Slipped","On plan"))</f>
        <v/>
      </c>
      <c r="L761" s="14">
        <f>IF(K761="On plan",0,F761)</f>
        <v/>
      </c>
    </row>
    <row r="762">
      <c r="A762">
        <f>'Raw Orders'!A762</f>
        <v/>
      </c>
      <c r="B762">
        <f>'Raw Orders'!B762</f>
        <v/>
      </c>
      <c r="C762">
        <f>'Raw Orders'!C762</f>
        <v/>
      </c>
      <c r="D762" s="13">
        <f>'Raw Orders'!E762</f>
        <v/>
      </c>
      <c r="E762" s="14">
        <f>'Raw Orders'!F762</f>
        <v/>
      </c>
      <c r="F762" s="14">
        <f>'Raw Orders'!F762*0.5</f>
        <v/>
      </c>
      <c r="G762" s="12">
        <f>'Raw Orders'!H762</f>
        <v/>
      </c>
      <c r="H762" s="12">
        <f>'Raw Orders'!I762</f>
        <v/>
      </c>
      <c r="I762" s="13">
        <f>'Raw Orders'!K762</f>
        <v/>
      </c>
      <c r="J762" s="13">
        <f>IF('Raw Orders'!J762,"",(YEAR('Raw Orders'!I762)-YEAR('Raw Orders'!H762))*12+MONTH('Raw Orders'!I762)-MONTH('Raw Orders'!H762))</f>
        <v/>
      </c>
      <c r="K762">
        <f>IF('Raw Orders'!J762,"Cancelled",IF('Raw Orders'!K762&gt;=2,"Slipped","On plan"))</f>
        <v/>
      </c>
      <c r="L762" s="14">
        <f>IF(K762="On plan",0,F762)</f>
        <v/>
      </c>
    </row>
    <row r="763">
      <c r="A763">
        <f>'Raw Orders'!A763</f>
        <v/>
      </c>
      <c r="B763">
        <f>'Raw Orders'!B763</f>
        <v/>
      </c>
      <c r="C763">
        <f>'Raw Orders'!C763</f>
        <v/>
      </c>
      <c r="D763" s="13">
        <f>'Raw Orders'!E763</f>
        <v/>
      </c>
      <c r="E763" s="14">
        <f>'Raw Orders'!F763</f>
        <v/>
      </c>
      <c r="F763" s="14">
        <f>'Raw Orders'!F763*0.5</f>
        <v/>
      </c>
      <c r="G763" s="12">
        <f>'Raw Orders'!H763</f>
        <v/>
      </c>
      <c r="H763" s="12">
        <f>'Raw Orders'!I763</f>
        <v/>
      </c>
      <c r="I763" s="13">
        <f>'Raw Orders'!K763</f>
        <v/>
      </c>
      <c r="J763" s="13">
        <f>IF('Raw Orders'!J763,"",(YEAR('Raw Orders'!I763)-YEAR('Raw Orders'!H763))*12+MONTH('Raw Orders'!I763)-MONTH('Raw Orders'!H763))</f>
        <v/>
      </c>
      <c r="K763">
        <f>IF('Raw Orders'!J763,"Cancelled",IF('Raw Orders'!K763&gt;=2,"Slipped","On plan"))</f>
        <v/>
      </c>
      <c r="L763" s="14">
        <f>IF(K763="On plan",0,F763)</f>
        <v/>
      </c>
    </row>
    <row r="764">
      <c r="A764">
        <f>'Raw Orders'!A764</f>
        <v/>
      </c>
      <c r="B764">
        <f>'Raw Orders'!B764</f>
        <v/>
      </c>
      <c r="C764">
        <f>'Raw Orders'!C764</f>
        <v/>
      </c>
      <c r="D764" s="13">
        <f>'Raw Orders'!E764</f>
        <v/>
      </c>
      <c r="E764" s="14">
        <f>'Raw Orders'!F764</f>
        <v/>
      </c>
      <c r="F764" s="14">
        <f>'Raw Orders'!F764*0.5</f>
        <v/>
      </c>
      <c r="G764" s="12">
        <f>'Raw Orders'!H764</f>
        <v/>
      </c>
      <c r="H764" s="12">
        <f>'Raw Orders'!I764</f>
        <v/>
      </c>
      <c r="I764" s="13">
        <f>'Raw Orders'!K764</f>
        <v/>
      </c>
      <c r="J764" s="13">
        <f>IF('Raw Orders'!J764,"",(YEAR('Raw Orders'!I764)-YEAR('Raw Orders'!H764))*12+MONTH('Raw Orders'!I764)-MONTH('Raw Orders'!H764))</f>
        <v/>
      </c>
      <c r="K764">
        <f>IF('Raw Orders'!J764,"Cancelled",IF('Raw Orders'!K764&gt;=2,"Slipped","On plan"))</f>
        <v/>
      </c>
      <c r="L764" s="14">
        <f>IF(K764="On plan",0,F764)</f>
        <v/>
      </c>
    </row>
    <row r="765">
      <c r="A765">
        <f>'Raw Orders'!A765</f>
        <v/>
      </c>
      <c r="B765">
        <f>'Raw Orders'!B765</f>
        <v/>
      </c>
      <c r="C765">
        <f>'Raw Orders'!C765</f>
        <v/>
      </c>
      <c r="D765" s="13">
        <f>'Raw Orders'!E765</f>
        <v/>
      </c>
      <c r="E765" s="14">
        <f>'Raw Orders'!F765</f>
        <v/>
      </c>
      <c r="F765" s="14">
        <f>'Raw Orders'!F765*0.5</f>
        <v/>
      </c>
      <c r="G765" s="12">
        <f>'Raw Orders'!H765</f>
        <v/>
      </c>
      <c r="H765" s="12">
        <f>'Raw Orders'!I765</f>
        <v/>
      </c>
      <c r="I765" s="13">
        <f>'Raw Orders'!K765</f>
        <v/>
      </c>
      <c r="J765" s="13">
        <f>IF('Raw Orders'!J765,"",(YEAR('Raw Orders'!I765)-YEAR('Raw Orders'!H765))*12+MONTH('Raw Orders'!I765)-MONTH('Raw Orders'!H765))</f>
        <v/>
      </c>
      <c r="K765">
        <f>IF('Raw Orders'!J765,"Cancelled",IF('Raw Orders'!K765&gt;=2,"Slipped","On plan"))</f>
        <v/>
      </c>
      <c r="L765" s="14">
        <f>IF(K765="On plan",0,F765)</f>
        <v/>
      </c>
    </row>
    <row r="766">
      <c r="A766">
        <f>'Raw Orders'!A766</f>
        <v/>
      </c>
      <c r="B766">
        <f>'Raw Orders'!B766</f>
        <v/>
      </c>
      <c r="C766">
        <f>'Raw Orders'!C766</f>
        <v/>
      </c>
      <c r="D766" s="13">
        <f>'Raw Orders'!E766</f>
        <v/>
      </c>
      <c r="E766" s="14">
        <f>'Raw Orders'!F766</f>
        <v/>
      </c>
      <c r="F766" s="14">
        <f>'Raw Orders'!F766*0.5</f>
        <v/>
      </c>
      <c r="G766" s="12">
        <f>'Raw Orders'!H766</f>
        <v/>
      </c>
      <c r="H766" s="12">
        <f>'Raw Orders'!I766</f>
        <v/>
      </c>
      <c r="I766" s="13">
        <f>'Raw Orders'!K766</f>
        <v/>
      </c>
      <c r="J766" s="13">
        <f>IF('Raw Orders'!J766,"",(YEAR('Raw Orders'!I766)-YEAR('Raw Orders'!H766))*12+MONTH('Raw Orders'!I766)-MONTH('Raw Orders'!H766))</f>
        <v/>
      </c>
      <c r="K766">
        <f>IF('Raw Orders'!J766,"Cancelled",IF('Raw Orders'!K766&gt;=2,"Slipped","On plan"))</f>
        <v/>
      </c>
      <c r="L766" s="14">
        <f>IF(K766="On plan",0,F766)</f>
        <v/>
      </c>
    </row>
    <row r="767">
      <c r="A767">
        <f>'Raw Orders'!A767</f>
        <v/>
      </c>
      <c r="B767">
        <f>'Raw Orders'!B767</f>
        <v/>
      </c>
      <c r="C767">
        <f>'Raw Orders'!C767</f>
        <v/>
      </c>
      <c r="D767" s="13">
        <f>'Raw Orders'!E767</f>
        <v/>
      </c>
      <c r="E767" s="14">
        <f>'Raw Orders'!F767</f>
        <v/>
      </c>
      <c r="F767" s="14">
        <f>'Raw Orders'!F767*0.5</f>
        <v/>
      </c>
      <c r="G767" s="12">
        <f>'Raw Orders'!H767</f>
        <v/>
      </c>
      <c r="H767" s="12">
        <f>'Raw Orders'!I767</f>
        <v/>
      </c>
      <c r="I767" s="13">
        <f>'Raw Orders'!K767</f>
        <v/>
      </c>
      <c r="J767" s="13">
        <f>IF('Raw Orders'!J767,"",(YEAR('Raw Orders'!I767)-YEAR('Raw Orders'!H767))*12+MONTH('Raw Orders'!I767)-MONTH('Raw Orders'!H767))</f>
        <v/>
      </c>
      <c r="K767">
        <f>IF('Raw Orders'!J767,"Cancelled",IF('Raw Orders'!K767&gt;=2,"Slipped","On plan"))</f>
        <v/>
      </c>
      <c r="L767" s="14">
        <f>IF(K767="On plan",0,F767)</f>
        <v/>
      </c>
    </row>
    <row r="768">
      <c r="A768">
        <f>'Raw Orders'!A768</f>
        <v/>
      </c>
      <c r="B768">
        <f>'Raw Orders'!B768</f>
        <v/>
      </c>
      <c r="C768">
        <f>'Raw Orders'!C768</f>
        <v/>
      </c>
      <c r="D768" s="13">
        <f>'Raw Orders'!E768</f>
        <v/>
      </c>
      <c r="E768" s="14">
        <f>'Raw Orders'!F768</f>
        <v/>
      </c>
      <c r="F768" s="14">
        <f>'Raw Orders'!F768*0.5</f>
        <v/>
      </c>
      <c r="G768" s="12">
        <f>'Raw Orders'!H768</f>
        <v/>
      </c>
      <c r="H768" s="12">
        <f>'Raw Orders'!I768</f>
        <v/>
      </c>
      <c r="I768" s="13">
        <f>'Raw Orders'!K768</f>
        <v/>
      </c>
      <c r="J768" s="13">
        <f>IF('Raw Orders'!J768,"",(YEAR('Raw Orders'!I768)-YEAR('Raw Orders'!H768))*12+MONTH('Raw Orders'!I768)-MONTH('Raw Orders'!H768))</f>
        <v/>
      </c>
      <c r="K768">
        <f>IF('Raw Orders'!J768,"Cancelled",IF('Raw Orders'!K768&gt;=2,"Slipped","On plan"))</f>
        <v/>
      </c>
      <c r="L768" s="14">
        <f>IF(K768="On plan",0,F768)</f>
        <v/>
      </c>
    </row>
    <row r="769">
      <c r="A769">
        <f>'Raw Orders'!A769</f>
        <v/>
      </c>
      <c r="B769">
        <f>'Raw Orders'!B769</f>
        <v/>
      </c>
      <c r="C769">
        <f>'Raw Orders'!C769</f>
        <v/>
      </c>
      <c r="D769" s="13">
        <f>'Raw Orders'!E769</f>
        <v/>
      </c>
      <c r="E769" s="14">
        <f>'Raw Orders'!F769</f>
        <v/>
      </c>
      <c r="F769" s="14">
        <f>'Raw Orders'!F769*0.5</f>
        <v/>
      </c>
      <c r="G769" s="12">
        <f>'Raw Orders'!H769</f>
        <v/>
      </c>
      <c r="H769" s="12">
        <f>'Raw Orders'!I769</f>
        <v/>
      </c>
      <c r="I769" s="13">
        <f>'Raw Orders'!K769</f>
        <v/>
      </c>
      <c r="J769" s="13">
        <f>IF('Raw Orders'!J769,"",(YEAR('Raw Orders'!I769)-YEAR('Raw Orders'!H769))*12+MONTH('Raw Orders'!I769)-MONTH('Raw Orders'!H769))</f>
        <v/>
      </c>
      <c r="K769">
        <f>IF('Raw Orders'!J769,"Cancelled",IF('Raw Orders'!K769&gt;=2,"Slipped","On plan"))</f>
        <v/>
      </c>
      <c r="L769" s="14">
        <f>IF(K769="On plan",0,F769)</f>
        <v/>
      </c>
    </row>
    <row r="770">
      <c r="A770">
        <f>'Raw Orders'!A770</f>
        <v/>
      </c>
      <c r="B770">
        <f>'Raw Orders'!B770</f>
        <v/>
      </c>
      <c r="C770">
        <f>'Raw Orders'!C770</f>
        <v/>
      </c>
      <c r="D770" s="13">
        <f>'Raw Orders'!E770</f>
        <v/>
      </c>
      <c r="E770" s="14">
        <f>'Raw Orders'!F770</f>
        <v/>
      </c>
      <c r="F770" s="14">
        <f>'Raw Orders'!F770*0.5</f>
        <v/>
      </c>
      <c r="G770" s="12">
        <f>'Raw Orders'!H770</f>
        <v/>
      </c>
      <c r="H770" s="12">
        <f>'Raw Orders'!I770</f>
        <v/>
      </c>
      <c r="I770" s="13">
        <f>'Raw Orders'!K770</f>
        <v/>
      </c>
      <c r="J770" s="13">
        <f>IF('Raw Orders'!J770,"",(YEAR('Raw Orders'!I770)-YEAR('Raw Orders'!H770))*12+MONTH('Raw Orders'!I770)-MONTH('Raw Orders'!H770))</f>
        <v/>
      </c>
      <c r="K770">
        <f>IF('Raw Orders'!J770,"Cancelled",IF('Raw Orders'!K770&gt;=2,"Slipped","On plan"))</f>
        <v/>
      </c>
      <c r="L770" s="14">
        <f>IF(K770="On plan",0,F770)</f>
        <v/>
      </c>
    </row>
    <row r="771">
      <c r="A771">
        <f>'Raw Orders'!A771</f>
        <v/>
      </c>
      <c r="B771">
        <f>'Raw Orders'!B771</f>
        <v/>
      </c>
      <c r="C771">
        <f>'Raw Orders'!C771</f>
        <v/>
      </c>
      <c r="D771" s="13">
        <f>'Raw Orders'!E771</f>
        <v/>
      </c>
      <c r="E771" s="14">
        <f>'Raw Orders'!F771</f>
        <v/>
      </c>
      <c r="F771" s="14">
        <f>'Raw Orders'!F771*0.5</f>
        <v/>
      </c>
      <c r="G771" s="12">
        <f>'Raw Orders'!H771</f>
        <v/>
      </c>
      <c r="H771" s="12">
        <f>'Raw Orders'!I771</f>
        <v/>
      </c>
      <c r="I771" s="13">
        <f>'Raw Orders'!K771</f>
        <v/>
      </c>
      <c r="J771" s="13">
        <f>IF('Raw Orders'!J771,"",(YEAR('Raw Orders'!I771)-YEAR('Raw Orders'!H771))*12+MONTH('Raw Orders'!I771)-MONTH('Raw Orders'!H771))</f>
        <v/>
      </c>
      <c r="K771">
        <f>IF('Raw Orders'!J771,"Cancelled",IF('Raw Orders'!K771&gt;=2,"Slipped","On plan"))</f>
        <v/>
      </c>
      <c r="L771" s="14">
        <f>IF(K771="On plan",0,F771)</f>
        <v/>
      </c>
    </row>
    <row r="772">
      <c r="A772">
        <f>'Raw Orders'!A772</f>
        <v/>
      </c>
      <c r="B772">
        <f>'Raw Orders'!B772</f>
        <v/>
      </c>
      <c r="C772">
        <f>'Raw Orders'!C772</f>
        <v/>
      </c>
      <c r="D772" s="13">
        <f>'Raw Orders'!E772</f>
        <v/>
      </c>
      <c r="E772" s="14">
        <f>'Raw Orders'!F772</f>
        <v/>
      </c>
      <c r="F772" s="14">
        <f>'Raw Orders'!F772*0.5</f>
        <v/>
      </c>
      <c r="G772" s="12">
        <f>'Raw Orders'!H772</f>
        <v/>
      </c>
      <c r="H772" s="12">
        <f>'Raw Orders'!I772</f>
        <v/>
      </c>
      <c r="I772" s="13">
        <f>'Raw Orders'!K772</f>
        <v/>
      </c>
      <c r="J772" s="13">
        <f>IF('Raw Orders'!J772,"",(YEAR('Raw Orders'!I772)-YEAR('Raw Orders'!H772))*12+MONTH('Raw Orders'!I772)-MONTH('Raw Orders'!H772))</f>
        <v/>
      </c>
      <c r="K772">
        <f>IF('Raw Orders'!J772,"Cancelled",IF('Raw Orders'!K772&gt;=2,"Slipped","On plan"))</f>
        <v/>
      </c>
      <c r="L772" s="14">
        <f>IF(K772="On plan",0,F772)</f>
        <v/>
      </c>
    </row>
    <row r="773">
      <c r="A773">
        <f>'Raw Orders'!A773</f>
        <v/>
      </c>
      <c r="B773">
        <f>'Raw Orders'!B773</f>
        <v/>
      </c>
      <c r="C773">
        <f>'Raw Orders'!C773</f>
        <v/>
      </c>
      <c r="D773" s="13">
        <f>'Raw Orders'!E773</f>
        <v/>
      </c>
      <c r="E773" s="14">
        <f>'Raw Orders'!F773</f>
        <v/>
      </c>
      <c r="F773" s="14">
        <f>'Raw Orders'!F773*0.5</f>
        <v/>
      </c>
      <c r="G773" s="12">
        <f>'Raw Orders'!H773</f>
        <v/>
      </c>
      <c r="H773" s="12">
        <f>'Raw Orders'!I773</f>
        <v/>
      </c>
      <c r="I773" s="13">
        <f>'Raw Orders'!K773</f>
        <v/>
      </c>
      <c r="J773" s="13">
        <f>IF('Raw Orders'!J773,"",(YEAR('Raw Orders'!I773)-YEAR('Raw Orders'!H773))*12+MONTH('Raw Orders'!I773)-MONTH('Raw Orders'!H773))</f>
        <v/>
      </c>
      <c r="K773">
        <f>IF('Raw Orders'!J773,"Cancelled",IF('Raw Orders'!K773&gt;=2,"Slipped","On plan"))</f>
        <v/>
      </c>
      <c r="L773" s="14">
        <f>IF(K773="On plan",0,F773)</f>
        <v/>
      </c>
    </row>
    <row r="774">
      <c r="A774">
        <f>'Raw Orders'!A774</f>
        <v/>
      </c>
      <c r="B774">
        <f>'Raw Orders'!B774</f>
        <v/>
      </c>
      <c r="C774">
        <f>'Raw Orders'!C774</f>
        <v/>
      </c>
      <c r="D774" s="13">
        <f>'Raw Orders'!E774</f>
        <v/>
      </c>
      <c r="E774" s="14">
        <f>'Raw Orders'!F774</f>
        <v/>
      </c>
      <c r="F774" s="14">
        <f>'Raw Orders'!F774*0.5</f>
        <v/>
      </c>
      <c r="G774" s="12">
        <f>'Raw Orders'!H774</f>
        <v/>
      </c>
      <c r="H774" s="12">
        <f>'Raw Orders'!I774</f>
        <v/>
      </c>
      <c r="I774" s="13">
        <f>'Raw Orders'!K774</f>
        <v/>
      </c>
      <c r="J774" s="13">
        <f>IF('Raw Orders'!J774,"",(YEAR('Raw Orders'!I774)-YEAR('Raw Orders'!H774))*12+MONTH('Raw Orders'!I774)-MONTH('Raw Orders'!H774))</f>
        <v/>
      </c>
      <c r="K774">
        <f>IF('Raw Orders'!J774,"Cancelled",IF('Raw Orders'!K774&gt;=2,"Slipped","On plan"))</f>
        <v/>
      </c>
      <c r="L774" s="14">
        <f>IF(K774="On plan",0,F774)</f>
        <v/>
      </c>
    </row>
    <row r="775">
      <c r="A775">
        <f>'Raw Orders'!A775</f>
        <v/>
      </c>
      <c r="B775">
        <f>'Raw Orders'!B775</f>
        <v/>
      </c>
      <c r="C775">
        <f>'Raw Orders'!C775</f>
        <v/>
      </c>
      <c r="D775" s="13">
        <f>'Raw Orders'!E775</f>
        <v/>
      </c>
      <c r="E775" s="14">
        <f>'Raw Orders'!F775</f>
        <v/>
      </c>
      <c r="F775" s="14">
        <f>'Raw Orders'!F775*0.5</f>
        <v/>
      </c>
      <c r="G775" s="12">
        <f>'Raw Orders'!H775</f>
        <v/>
      </c>
      <c r="H775" s="12">
        <f>'Raw Orders'!I775</f>
        <v/>
      </c>
      <c r="I775" s="13">
        <f>'Raw Orders'!K775</f>
        <v/>
      </c>
      <c r="J775" s="13">
        <f>IF('Raw Orders'!J775,"",(YEAR('Raw Orders'!I775)-YEAR('Raw Orders'!H775))*12+MONTH('Raw Orders'!I775)-MONTH('Raw Orders'!H775))</f>
        <v/>
      </c>
      <c r="K775">
        <f>IF('Raw Orders'!J775,"Cancelled",IF('Raw Orders'!K775&gt;=2,"Slipped","On plan"))</f>
        <v/>
      </c>
      <c r="L775" s="14">
        <f>IF(K775="On plan",0,F775)</f>
        <v/>
      </c>
    </row>
    <row r="776">
      <c r="A776">
        <f>'Raw Orders'!A776</f>
        <v/>
      </c>
      <c r="B776">
        <f>'Raw Orders'!B776</f>
        <v/>
      </c>
      <c r="C776">
        <f>'Raw Orders'!C776</f>
        <v/>
      </c>
      <c r="D776" s="13">
        <f>'Raw Orders'!E776</f>
        <v/>
      </c>
      <c r="E776" s="14">
        <f>'Raw Orders'!F776</f>
        <v/>
      </c>
      <c r="F776" s="14">
        <f>'Raw Orders'!F776*0.5</f>
        <v/>
      </c>
      <c r="G776" s="12">
        <f>'Raw Orders'!H776</f>
        <v/>
      </c>
      <c r="H776" s="12">
        <f>'Raw Orders'!I776</f>
        <v/>
      </c>
      <c r="I776" s="13">
        <f>'Raw Orders'!K776</f>
        <v/>
      </c>
      <c r="J776" s="13">
        <f>IF('Raw Orders'!J776,"",(YEAR('Raw Orders'!I776)-YEAR('Raw Orders'!H776))*12+MONTH('Raw Orders'!I776)-MONTH('Raw Orders'!H776))</f>
        <v/>
      </c>
      <c r="K776">
        <f>IF('Raw Orders'!J776,"Cancelled",IF('Raw Orders'!K776&gt;=2,"Slipped","On plan"))</f>
        <v/>
      </c>
      <c r="L776" s="14">
        <f>IF(K776="On plan",0,F776)</f>
        <v/>
      </c>
    </row>
    <row r="777">
      <c r="A777">
        <f>'Raw Orders'!A777</f>
        <v/>
      </c>
      <c r="B777">
        <f>'Raw Orders'!B777</f>
        <v/>
      </c>
      <c r="C777">
        <f>'Raw Orders'!C777</f>
        <v/>
      </c>
      <c r="D777" s="13">
        <f>'Raw Orders'!E777</f>
        <v/>
      </c>
      <c r="E777" s="14">
        <f>'Raw Orders'!F777</f>
        <v/>
      </c>
      <c r="F777" s="14">
        <f>'Raw Orders'!F777*0.5</f>
        <v/>
      </c>
      <c r="G777" s="12">
        <f>'Raw Orders'!H777</f>
        <v/>
      </c>
      <c r="H777" s="12">
        <f>'Raw Orders'!I777</f>
        <v/>
      </c>
      <c r="I777" s="13">
        <f>'Raw Orders'!K777</f>
        <v/>
      </c>
      <c r="J777" s="13">
        <f>IF('Raw Orders'!J777,"",(YEAR('Raw Orders'!I777)-YEAR('Raw Orders'!H777))*12+MONTH('Raw Orders'!I777)-MONTH('Raw Orders'!H777))</f>
        <v/>
      </c>
      <c r="K777">
        <f>IF('Raw Orders'!J777,"Cancelled",IF('Raw Orders'!K777&gt;=2,"Slipped","On plan"))</f>
        <v/>
      </c>
      <c r="L777" s="14">
        <f>IF(K777="On plan",0,F777)</f>
        <v/>
      </c>
    </row>
    <row r="778">
      <c r="A778">
        <f>'Raw Orders'!A778</f>
        <v/>
      </c>
      <c r="B778">
        <f>'Raw Orders'!B778</f>
        <v/>
      </c>
      <c r="C778">
        <f>'Raw Orders'!C778</f>
        <v/>
      </c>
      <c r="D778" s="13">
        <f>'Raw Orders'!E778</f>
        <v/>
      </c>
      <c r="E778" s="14">
        <f>'Raw Orders'!F778</f>
        <v/>
      </c>
      <c r="F778" s="14">
        <f>'Raw Orders'!F778*0.5</f>
        <v/>
      </c>
      <c r="G778" s="12">
        <f>'Raw Orders'!H778</f>
        <v/>
      </c>
      <c r="H778" s="12">
        <f>'Raw Orders'!I778</f>
        <v/>
      </c>
      <c r="I778" s="13">
        <f>'Raw Orders'!K778</f>
        <v/>
      </c>
      <c r="J778" s="13">
        <f>IF('Raw Orders'!J778,"",(YEAR('Raw Orders'!I778)-YEAR('Raw Orders'!H778))*12+MONTH('Raw Orders'!I778)-MONTH('Raw Orders'!H778))</f>
        <v/>
      </c>
      <c r="K778">
        <f>IF('Raw Orders'!J778,"Cancelled",IF('Raw Orders'!K778&gt;=2,"Slipped","On plan"))</f>
        <v/>
      </c>
      <c r="L778" s="14">
        <f>IF(K778="On plan",0,F778)</f>
        <v/>
      </c>
    </row>
    <row r="779">
      <c r="A779">
        <f>'Raw Orders'!A779</f>
        <v/>
      </c>
      <c r="B779">
        <f>'Raw Orders'!B779</f>
        <v/>
      </c>
      <c r="C779">
        <f>'Raw Orders'!C779</f>
        <v/>
      </c>
      <c r="D779" s="13">
        <f>'Raw Orders'!E779</f>
        <v/>
      </c>
      <c r="E779" s="14">
        <f>'Raw Orders'!F779</f>
        <v/>
      </c>
      <c r="F779" s="14">
        <f>'Raw Orders'!F779*0.5</f>
        <v/>
      </c>
      <c r="G779" s="12">
        <f>'Raw Orders'!H779</f>
        <v/>
      </c>
      <c r="H779" s="12">
        <f>'Raw Orders'!I779</f>
        <v/>
      </c>
      <c r="I779" s="13">
        <f>'Raw Orders'!K779</f>
        <v/>
      </c>
      <c r="J779" s="13">
        <f>IF('Raw Orders'!J779,"",(YEAR('Raw Orders'!I779)-YEAR('Raw Orders'!H779))*12+MONTH('Raw Orders'!I779)-MONTH('Raw Orders'!H779))</f>
        <v/>
      </c>
      <c r="K779">
        <f>IF('Raw Orders'!J779,"Cancelled",IF('Raw Orders'!K779&gt;=2,"Slipped","On plan"))</f>
        <v/>
      </c>
      <c r="L779" s="14">
        <f>IF(K779="On plan",0,F779)</f>
        <v/>
      </c>
    </row>
    <row r="780">
      <c r="A780">
        <f>'Raw Orders'!A780</f>
        <v/>
      </c>
      <c r="B780">
        <f>'Raw Orders'!B780</f>
        <v/>
      </c>
      <c r="C780">
        <f>'Raw Orders'!C780</f>
        <v/>
      </c>
      <c r="D780" s="13">
        <f>'Raw Orders'!E780</f>
        <v/>
      </c>
      <c r="E780" s="14">
        <f>'Raw Orders'!F780</f>
        <v/>
      </c>
      <c r="F780" s="14">
        <f>'Raw Orders'!F780*0.5</f>
        <v/>
      </c>
      <c r="G780" s="12">
        <f>'Raw Orders'!H780</f>
        <v/>
      </c>
      <c r="H780" s="12">
        <f>'Raw Orders'!I780</f>
        <v/>
      </c>
      <c r="I780" s="13">
        <f>'Raw Orders'!K780</f>
        <v/>
      </c>
      <c r="J780" s="13">
        <f>IF('Raw Orders'!J780,"",(YEAR('Raw Orders'!I780)-YEAR('Raw Orders'!H780))*12+MONTH('Raw Orders'!I780)-MONTH('Raw Orders'!H780))</f>
        <v/>
      </c>
      <c r="K780">
        <f>IF('Raw Orders'!J780,"Cancelled",IF('Raw Orders'!K780&gt;=2,"Slipped","On plan"))</f>
        <v/>
      </c>
      <c r="L780" s="14">
        <f>IF(K780="On plan",0,F780)</f>
        <v/>
      </c>
    </row>
    <row r="781">
      <c r="A781">
        <f>'Raw Orders'!A781</f>
        <v/>
      </c>
      <c r="B781">
        <f>'Raw Orders'!B781</f>
        <v/>
      </c>
      <c r="C781">
        <f>'Raw Orders'!C781</f>
        <v/>
      </c>
      <c r="D781" s="13">
        <f>'Raw Orders'!E781</f>
        <v/>
      </c>
      <c r="E781" s="14">
        <f>'Raw Orders'!F781</f>
        <v/>
      </c>
      <c r="F781" s="14">
        <f>'Raw Orders'!F781*0.5</f>
        <v/>
      </c>
      <c r="G781" s="12">
        <f>'Raw Orders'!H781</f>
        <v/>
      </c>
      <c r="H781" s="12">
        <f>'Raw Orders'!I781</f>
        <v/>
      </c>
      <c r="I781" s="13">
        <f>'Raw Orders'!K781</f>
        <v/>
      </c>
      <c r="J781" s="13">
        <f>IF('Raw Orders'!J781,"",(YEAR('Raw Orders'!I781)-YEAR('Raw Orders'!H781))*12+MONTH('Raw Orders'!I781)-MONTH('Raw Orders'!H781))</f>
        <v/>
      </c>
      <c r="K781">
        <f>IF('Raw Orders'!J781,"Cancelled",IF('Raw Orders'!K781&gt;=2,"Slipped","On plan"))</f>
        <v/>
      </c>
      <c r="L781" s="14">
        <f>IF(K781="On plan",0,F781)</f>
        <v/>
      </c>
    </row>
    <row r="782">
      <c r="A782">
        <f>'Raw Orders'!A782</f>
        <v/>
      </c>
      <c r="B782">
        <f>'Raw Orders'!B782</f>
        <v/>
      </c>
      <c r="C782">
        <f>'Raw Orders'!C782</f>
        <v/>
      </c>
      <c r="D782" s="13">
        <f>'Raw Orders'!E782</f>
        <v/>
      </c>
      <c r="E782" s="14">
        <f>'Raw Orders'!F782</f>
        <v/>
      </c>
      <c r="F782" s="14">
        <f>'Raw Orders'!F782*0.5</f>
        <v/>
      </c>
      <c r="G782" s="12">
        <f>'Raw Orders'!H782</f>
        <v/>
      </c>
      <c r="H782" s="12">
        <f>'Raw Orders'!I782</f>
        <v/>
      </c>
      <c r="I782" s="13">
        <f>'Raw Orders'!K782</f>
        <v/>
      </c>
      <c r="J782" s="13">
        <f>IF('Raw Orders'!J782,"",(YEAR('Raw Orders'!I782)-YEAR('Raw Orders'!H782))*12+MONTH('Raw Orders'!I782)-MONTH('Raw Orders'!H782))</f>
        <v/>
      </c>
      <c r="K782">
        <f>IF('Raw Orders'!J782,"Cancelled",IF('Raw Orders'!K782&gt;=2,"Slipped","On plan"))</f>
        <v/>
      </c>
      <c r="L782" s="14">
        <f>IF(K782="On plan",0,F782)</f>
        <v/>
      </c>
    </row>
    <row r="783">
      <c r="A783">
        <f>'Raw Orders'!A783</f>
        <v/>
      </c>
      <c r="B783">
        <f>'Raw Orders'!B783</f>
        <v/>
      </c>
      <c r="C783">
        <f>'Raw Orders'!C783</f>
        <v/>
      </c>
      <c r="D783" s="13">
        <f>'Raw Orders'!E783</f>
        <v/>
      </c>
      <c r="E783" s="14">
        <f>'Raw Orders'!F783</f>
        <v/>
      </c>
      <c r="F783" s="14">
        <f>'Raw Orders'!F783*0.5</f>
        <v/>
      </c>
      <c r="G783" s="12">
        <f>'Raw Orders'!H783</f>
        <v/>
      </c>
      <c r="H783" s="12">
        <f>'Raw Orders'!I783</f>
        <v/>
      </c>
      <c r="I783" s="13">
        <f>'Raw Orders'!K783</f>
        <v/>
      </c>
      <c r="J783" s="13">
        <f>IF('Raw Orders'!J783,"",(YEAR('Raw Orders'!I783)-YEAR('Raw Orders'!H783))*12+MONTH('Raw Orders'!I783)-MONTH('Raw Orders'!H783))</f>
        <v/>
      </c>
      <c r="K783">
        <f>IF('Raw Orders'!J783,"Cancelled",IF('Raw Orders'!K783&gt;=2,"Slipped","On plan"))</f>
        <v/>
      </c>
      <c r="L783" s="14">
        <f>IF(K783="On plan",0,F783)</f>
        <v/>
      </c>
    </row>
    <row r="784">
      <c r="A784">
        <f>'Raw Orders'!A784</f>
        <v/>
      </c>
      <c r="B784">
        <f>'Raw Orders'!B784</f>
        <v/>
      </c>
      <c r="C784">
        <f>'Raw Orders'!C784</f>
        <v/>
      </c>
      <c r="D784" s="13">
        <f>'Raw Orders'!E784</f>
        <v/>
      </c>
      <c r="E784" s="14">
        <f>'Raw Orders'!F784</f>
        <v/>
      </c>
      <c r="F784" s="14">
        <f>'Raw Orders'!F784*0.5</f>
        <v/>
      </c>
      <c r="G784" s="12">
        <f>'Raw Orders'!H784</f>
        <v/>
      </c>
      <c r="H784" s="12">
        <f>'Raw Orders'!I784</f>
        <v/>
      </c>
      <c r="I784" s="13">
        <f>'Raw Orders'!K784</f>
        <v/>
      </c>
      <c r="J784" s="13">
        <f>IF('Raw Orders'!J784,"",(YEAR('Raw Orders'!I784)-YEAR('Raw Orders'!H784))*12+MONTH('Raw Orders'!I784)-MONTH('Raw Orders'!H784))</f>
        <v/>
      </c>
      <c r="K784">
        <f>IF('Raw Orders'!J784,"Cancelled",IF('Raw Orders'!K784&gt;=2,"Slipped","On plan"))</f>
        <v/>
      </c>
      <c r="L784" s="14">
        <f>IF(K784="On plan",0,F784)</f>
        <v/>
      </c>
    </row>
    <row r="785">
      <c r="A785">
        <f>'Raw Orders'!A785</f>
        <v/>
      </c>
      <c r="B785">
        <f>'Raw Orders'!B785</f>
        <v/>
      </c>
      <c r="C785">
        <f>'Raw Orders'!C785</f>
        <v/>
      </c>
      <c r="D785" s="13">
        <f>'Raw Orders'!E785</f>
        <v/>
      </c>
      <c r="E785" s="14">
        <f>'Raw Orders'!F785</f>
        <v/>
      </c>
      <c r="F785" s="14">
        <f>'Raw Orders'!F785*0.5</f>
        <v/>
      </c>
      <c r="G785" s="12">
        <f>'Raw Orders'!H785</f>
        <v/>
      </c>
      <c r="H785" s="12">
        <f>'Raw Orders'!I785</f>
        <v/>
      </c>
      <c r="I785" s="13">
        <f>'Raw Orders'!K785</f>
        <v/>
      </c>
      <c r="J785" s="13">
        <f>IF('Raw Orders'!J785,"",(YEAR('Raw Orders'!I785)-YEAR('Raw Orders'!H785))*12+MONTH('Raw Orders'!I785)-MONTH('Raw Orders'!H785))</f>
        <v/>
      </c>
      <c r="K785">
        <f>IF('Raw Orders'!J785,"Cancelled",IF('Raw Orders'!K785&gt;=2,"Slipped","On plan"))</f>
        <v/>
      </c>
      <c r="L785" s="14">
        <f>IF(K785="On plan",0,F785)</f>
        <v/>
      </c>
    </row>
    <row r="786">
      <c r="A786">
        <f>'Raw Orders'!A786</f>
        <v/>
      </c>
      <c r="B786">
        <f>'Raw Orders'!B786</f>
        <v/>
      </c>
      <c r="C786">
        <f>'Raw Orders'!C786</f>
        <v/>
      </c>
      <c r="D786" s="13">
        <f>'Raw Orders'!E786</f>
        <v/>
      </c>
      <c r="E786" s="14">
        <f>'Raw Orders'!F786</f>
        <v/>
      </c>
      <c r="F786" s="14">
        <f>'Raw Orders'!F786*0.5</f>
        <v/>
      </c>
      <c r="G786" s="12">
        <f>'Raw Orders'!H786</f>
        <v/>
      </c>
      <c r="H786" s="12">
        <f>'Raw Orders'!I786</f>
        <v/>
      </c>
      <c r="I786" s="13">
        <f>'Raw Orders'!K786</f>
        <v/>
      </c>
      <c r="J786" s="13">
        <f>IF('Raw Orders'!J786,"",(YEAR('Raw Orders'!I786)-YEAR('Raw Orders'!H786))*12+MONTH('Raw Orders'!I786)-MONTH('Raw Orders'!H786))</f>
        <v/>
      </c>
      <c r="K786">
        <f>IF('Raw Orders'!J786,"Cancelled",IF('Raw Orders'!K786&gt;=2,"Slipped","On plan"))</f>
        <v/>
      </c>
      <c r="L786" s="14">
        <f>IF(K786="On plan",0,F786)</f>
        <v/>
      </c>
    </row>
    <row r="787">
      <c r="A787">
        <f>'Raw Orders'!A787</f>
        <v/>
      </c>
      <c r="B787">
        <f>'Raw Orders'!B787</f>
        <v/>
      </c>
      <c r="C787">
        <f>'Raw Orders'!C787</f>
        <v/>
      </c>
      <c r="D787" s="13">
        <f>'Raw Orders'!E787</f>
        <v/>
      </c>
      <c r="E787" s="14">
        <f>'Raw Orders'!F787</f>
        <v/>
      </c>
      <c r="F787" s="14">
        <f>'Raw Orders'!F787*0.5</f>
        <v/>
      </c>
      <c r="G787" s="12">
        <f>'Raw Orders'!H787</f>
        <v/>
      </c>
      <c r="H787" s="12">
        <f>'Raw Orders'!I787</f>
        <v/>
      </c>
      <c r="I787" s="13">
        <f>'Raw Orders'!K787</f>
        <v/>
      </c>
      <c r="J787" s="13">
        <f>IF('Raw Orders'!J787,"",(YEAR('Raw Orders'!I787)-YEAR('Raw Orders'!H787))*12+MONTH('Raw Orders'!I787)-MONTH('Raw Orders'!H787))</f>
        <v/>
      </c>
      <c r="K787">
        <f>IF('Raw Orders'!J787,"Cancelled",IF('Raw Orders'!K787&gt;=2,"Slipped","On plan"))</f>
        <v/>
      </c>
      <c r="L787" s="14">
        <f>IF(K787="On plan",0,F787)</f>
        <v/>
      </c>
    </row>
    <row r="788">
      <c r="A788">
        <f>'Raw Orders'!A788</f>
        <v/>
      </c>
      <c r="B788">
        <f>'Raw Orders'!B788</f>
        <v/>
      </c>
      <c r="C788">
        <f>'Raw Orders'!C788</f>
        <v/>
      </c>
      <c r="D788" s="13">
        <f>'Raw Orders'!E788</f>
        <v/>
      </c>
      <c r="E788" s="14">
        <f>'Raw Orders'!F788</f>
        <v/>
      </c>
      <c r="F788" s="14">
        <f>'Raw Orders'!F788*0.5</f>
        <v/>
      </c>
      <c r="G788" s="12">
        <f>'Raw Orders'!H788</f>
        <v/>
      </c>
      <c r="H788" s="12">
        <f>'Raw Orders'!I788</f>
        <v/>
      </c>
      <c r="I788" s="13">
        <f>'Raw Orders'!K788</f>
        <v/>
      </c>
      <c r="J788" s="13">
        <f>IF('Raw Orders'!J788,"",(YEAR('Raw Orders'!I788)-YEAR('Raw Orders'!H788))*12+MONTH('Raw Orders'!I788)-MONTH('Raw Orders'!H788))</f>
        <v/>
      </c>
      <c r="K788">
        <f>IF('Raw Orders'!J788,"Cancelled",IF('Raw Orders'!K788&gt;=2,"Slipped","On plan"))</f>
        <v/>
      </c>
      <c r="L788" s="14">
        <f>IF(K788="On plan",0,F788)</f>
        <v/>
      </c>
    </row>
    <row r="789">
      <c r="A789">
        <f>'Raw Orders'!A789</f>
        <v/>
      </c>
      <c r="B789">
        <f>'Raw Orders'!B789</f>
        <v/>
      </c>
      <c r="C789">
        <f>'Raw Orders'!C789</f>
        <v/>
      </c>
      <c r="D789" s="13">
        <f>'Raw Orders'!E789</f>
        <v/>
      </c>
      <c r="E789" s="14">
        <f>'Raw Orders'!F789</f>
        <v/>
      </c>
      <c r="F789" s="14">
        <f>'Raw Orders'!F789*0.5</f>
        <v/>
      </c>
      <c r="G789" s="12">
        <f>'Raw Orders'!H789</f>
        <v/>
      </c>
      <c r="H789" s="12">
        <f>'Raw Orders'!I789</f>
        <v/>
      </c>
      <c r="I789" s="13">
        <f>'Raw Orders'!K789</f>
        <v/>
      </c>
      <c r="J789" s="13">
        <f>IF('Raw Orders'!J789,"",(YEAR('Raw Orders'!I789)-YEAR('Raw Orders'!H789))*12+MONTH('Raw Orders'!I789)-MONTH('Raw Orders'!H789))</f>
        <v/>
      </c>
      <c r="K789">
        <f>IF('Raw Orders'!J789,"Cancelled",IF('Raw Orders'!K789&gt;=2,"Slipped","On plan"))</f>
        <v/>
      </c>
      <c r="L789" s="14">
        <f>IF(K789="On plan",0,F789)</f>
        <v/>
      </c>
    </row>
    <row r="790">
      <c r="A790">
        <f>'Raw Orders'!A790</f>
        <v/>
      </c>
      <c r="B790">
        <f>'Raw Orders'!B790</f>
        <v/>
      </c>
      <c r="C790">
        <f>'Raw Orders'!C790</f>
        <v/>
      </c>
      <c r="D790" s="13">
        <f>'Raw Orders'!E790</f>
        <v/>
      </c>
      <c r="E790" s="14">
        <f>'Raw Orders'!F790</f>
        <v/>
      </c>
      <c r="F790" s="14">
        <f>'Raw Orders'!F790*0.5</f>
        <v/>
      </c>
      <c r="G790" s="12">
        <f>'Raw Orders'!H790</f>
        <v/>
      </c>
      <c r="H790" s="12">
        <f>'Raw Orders'!I790</f>
        <v/>
      </c>
      <c r="I790" s="13">
        <f>'Raw Orders'!K790</f>
        <v/>
      </c>
      <c r="J790" s="13">
        <f>IF('Raw Orders'!J790,"",(YEAR('Raw Orders'!I790)-YEAR('Raw Orders'!H790))*12+MONTH('Raw Orders'!I790)-MONTH('Raw Orders'!H790))</f>
        <v/>
      </c>
      <c r="K790">
        <f>IF('Raw Orders'!J790,"Cancelled",IF('Raw Orders'!K790&gt;=2,"Slipped","On plan"))</f>
        <v/>
      </c>
      <c r="L790" s="14">
        <f>IF(K790="On plan",0,F790)</f>
        <v/>
      </c>
    </row>
    <row r="791">
      <c r="A791">
        <f>'Raw Orders'!A791</f>
        <v/>
      </c>
      <c r="B791">
        <f>'Raw Orders'!B791</f>
        <v/>
      </c>
      <c r="C791">
        <f>'Raw Orders'!C791</f>
        <v/>
      </c>
      <c r="D791" s="13">
        <f>'Raw Orders'!E791</f>
        <v/>
      </c>
      <c r="E791" s="14">
        <f>'Raw Orders'!F791</f>
        <v/>
      </c>
      <c r="F791" s="14">
        <f>'Raw Orders'!F791*0.5</f>
        <v/>
      </c>
      <c r="G791" s="12">
        <f>'Raw Orders'!H791</f>
        <v/>
      </c>
      <c r="H791" s="12">
        <f>'Raw Orders'!I791</f>
        <v/>
      </c>
      <c r="I791" s="13">
        <f>'Raw Orders'!K791</f>
        <v/>
      </c>
      <c r="J791" s="13">
        <f>IF('Raw Orders'!J791,"",(YEAR('Raw Orders'!I791)-YEAR('Raw Orders'!H791))*12+MONTH('Raw Orders'!I791)-MONTH('Raw Orders'!H791))</f>
        <v/>
      </c>
      <c r="K791">
        <f>IF('Raw Orders'!J791,"Cancelled",IF('Raw Orders'!K791&gt;=2,"Slipped","On plan"))</f>
        <v/>
      </c>
      <c r="L791" s="14">
        <f>IF(K791="On plan",0,F791)</f>
        <v/>
      </c>
    </row>
    <row r="792">
      <c r="A792">
        <f>'Raw Orders'!A792</f>
        <v/>
      </c>
      <c r="B792">
        <f>'Raw Orders'!B792</f>
        <v/>
      </c>
      <c r="C792">
        <f>'Raw Orders'!C792</f>
        <v/>
      </c>
      <c r="D792" s="13">
        <f>'Raw Orders'!E792</f>
        <v/>
      </c>
      <c r="E792" s="14">
        <f>'Raw Orders'!F792</f>
        <v/>
      </c>
      <c r="F792" s="14">
        <f>'Raw Orders'!F792*0.5</f>
        <v/>
      </c>
      <c r="G792" s="12">
        <f>'Raw Orders'!H792</f>
        <v/>
      </c>
      <c r="H792" s="12">
        <f>'Raw Orders'!I792</f>
        <v/>
      </c>
      <c r="I792" s="13">
        <f>'Raw Orders'!K792</f>
        <v/>
      </c>
      <c r="J792" s="13">
        <f>IF('Raw Orders'!J792,"",(YEAR('Raw Orders'!I792)-YEAR('Raw Orders'!H792))*12+MONTH('Raw Orders'!I792)-MONTH('Raw Orders'!H792))</f>
        <v/>
      </c>
      <c r="K792">
        <f>IF('Raw Orders'!J792,"Cancelled",IF('Raw Orders'!K792&gt;=2,"Slipped","On plan"))</f>
        <v/>
      </c>
      <c r="L792" s="14">
        <f>IF(K792="On plan",0,F792)</f>
        <v/>
      </c>
    </row>
    <row r="793">
      <c r="A793">
        <f>'Raw Orders'!A793</f>
        <v/>
      </c>
      <c r="B793">
        <f>'Raw Orders'!B793</f>
        <v/>
      </c>
      <c r="C793">
        <f>'Raw Orders'!C793</f>
        <v/>
      </c>
      <c r="D793" s="13">
        <f>'Raw Orders'!E793</f>
        <v/>
      </c>
      <c r="E793" s="14">
        <f>'Raw Orders'!F793</f>
        <v/>
      </c>
      <c r="F793" s="14">
        <f>'Raw Orders'!F793*0.5</f>
        <v/>
      </c>
      <c r="G793" s="12">
        <f>'Raw Orders'!H793</f>
        <v/>
      </c>
      <c r="H793" s="12">
        <f>'Raw Orders'!I793</f>
        <v/>
      </c>
      <c r="I793" s="13">
        <f>'Raw Orders'!K793</f>
        <v/>
      </c>
      <c r="J793" s="13">
        <f>IF('Raw Orders'!J793,"",(YEAR('Raw Orders'!I793)-YEAR('Raw Orders'!H793))*12+MONTH('Raw Orders'!I793)-MONTH('Raw Orders'!H793))</f>
        <v/>
      </c>
      <c r="K793">
        <f>IF('Raw Orders'!J793,"Cancelled",IF('Raw Orders'!K793&gt;=2,"Slipped","On plan"))</f>
        <v/>
      </c>
      <c r="L793" s="14">
        <f>IF(K793="On plan",0,F793)</f>
        <v/>
      </c>
    </row>
    <row r="794">
      <c r="A794">
        <f>'Raw Orders'!A794</f>
        <v/>
      </c>
      <c r="B794">
        <f>'Raw Orders'!B794</f>
        <v/>
      </c>
      <c r="C794">
        <f>'Raw Orders'!C794</f>
        <v/>
      </c>
      <c r="D794" s="13">
        <f>'Raw Orders'!E794</f>
        <v/>
      </c>
      <c r="E794" s="14">
        <f>'Raw Orders'!F794</f>
        <v/>
      </c>
      <c r="F794" s="14">
        <f>'Raw Orders'!F794*0.5</f>
        <v/>
      </c>
      <c r="G794" s="12">
        <f>'Raw Orders'!H794</f>
        <v/>
      </c>
      <c r="H794" s="12">
        <f>'Raw Orders'!I794</f>
        <v/>
      </c>
      <c r="I794" s="13">
        <f>'Raw Orders'!K794</f>
        <v/>
      </c>
      <c r="J794" s="13">
        <f>IF('Raw Orders'!J794,"",(YEAR('Raw Orders'!I794)-YEAR('Raw Orders'!H794))*12+MONTH('Raw Orders'!I794)-MONTH('Raw Orders'!H794))</f>
        <v/>
      </c>
      <c r="K794">
        <f>IF('Raw Orders'!J794,"Cancelled",IF('Raw Orders'!K794&gt;=2,"Slipped","On plan"))</f>
        <v/>
      </c>
      <c r="L794" s="14">
        <f>IF(K794="On plan",0,F794)</f>
        <v/>
      </c>
    </row>
    <row r="795">
      <c r="A795">
        <f>'Raw Orders'!A795</f>
        <v/>
      </c>
      <c r="B795">
        <f>'Raw Orders'!B795</f>
        <v/>
      </c>
      <c r="C795">
        <f>'Raw Orders'!C795</f>
        <v/>
      </c>
      <c r="D795" s="13">
        <f>'Raw Orders'!E795</f>
        <v/>
      </c>
      <c r="E795" s="14">
        <f>'Raw Orders'!F795</f>
        <v/>
      </c>
      <c r="F795" s="14">
        <f>'Raw Orders'!F795*0.5</f>
        <v/>
      </c>
      <c r="G795" s="12">
        <f>'Raw Orders'!H795</f>
        <v/>
      </c>
      <c r="H795" s="12">
        <f>'Raw Orders'!I795</f>
        <v/>
      </c>
      <c r="I795" s="13">
        <f>'Raw Orders'!K795</f>
        <v/>
      </c>
      <c r="J795" s="13">
        <f>IF('Raw Orders'!J795,"",(YEAR('Raw Orders'!I795)-YEAR('Raw Orders'!H795))*12+MONTH('Raw Orders'!I795)-MONTH('Raw Orders'!H795))</f>
        <v/>
      </c>
      <c r="K795">
        <f>IF('Raw Orders'!J795,"Cancelled",IF('Raw Orders'!K795&gt;=2,"Slipped","On plan"))</f>
        <v/>
      </c>
      <c r="L795" s="14">
        <f>IF(K795="On plan",0,F795)</f>
        <v/>
      </c>
    </row>
    <row r="796">
      <c r="A796">
        <f>'Raw Orders'!A796</f>
        <v/>
      </c>
      <c r="B796">
        <f>'Raw Orders'!B796</f>
        <v/>
      </c>
      <c r="C796">
        <f>'Raw Orders'!C796</f>
        <v/>
      </c>
      <c r="D796" s="13">
        <f>'Raw Orders'!E796</f>
        <v/>
      </c>
      <c r="E796" s="14">
        <f>'Raw Orders'!F796</f>
        <v/>
      </c>
      <c r="F796" s="14">
        <f>'Raw Orders'!F796*0.5</f>
        <v/>
      </c>
      <c r="G796" s="12">
        <f>'Raw Orders'!H796</f>
        <v/>
      </c>
      <c r="H796" s="12">
        <f>'Raw Orders'!I796</f>
        <v/>
      </c>
      <c r="I796" s="13">
        <f>'Raw Orders'!K796</f>
        <v/>
      </c>
      <c r="J796" s="13">
        <f>IF('Raw Orders'!J796,"",(YEAR('Raw Orders'!I796)-YEAR('Raw Orders'!H796))*12+MONTH('Raw Orders'!I796)-MONTH('Raw Orders'!H796))</f>
        <v/>
      </c>
      <c r="K796">
        <f>IF('Raw Orders'!J796,"Cancelled",IF('Raw Orders'!K796&gt;=2,"Slipped","On plan"))</f>
        <v/>
      </c>
      <c r="L796" s="14">
        <f>IF(K796="On plan",0,F796)</f>
        <v/>
      </c>
    </row>
    <row r="797">
      <c r="A797">
        <f>'Raw Orders'!A797</f>
        <v/>
      </c>
      <c r="B797">
        <f>'Raw Orders'!B797</f>
        <v/>
      </c>
      <c r="C797">
        <f>'Raw Orders'!C797</f>
        <v/>
      </c>
      <c r="D797" s="13">
        <f>'Raw Orders'!E797</f>
        <v/>
      </c>
      <c r="E797" s="14">
        <f>'Raw Orders'!F797</f>
        <v/>
      </c>
      <c r="F797" s="14">
        <f>'Raw Orders'!F797*0.5</f>
        <v/>
      </c>
      <c r="G797" s="12">
        <f>'Raw Orders'!H797</f>
        <v/>
      </c>
      <c r="H797" s="12">
        <f>'Raw Orders'!I797</f>
        <v/>
      </c>
      <c r="I797" s="13">
        <f>'Raw Orders'!K797</f>
        <v/>
      </c>
      <c r="J797" s="13">
        <f>IF('Raw Orders'!J797,"",(YEAR('Raw Orders'!I797)-YEAR('Raw Orders'!H797))*12+MONTH('Raw Orders'!I797)-MONTH('Raw Orders'!H797))</f>
        <v/>
      </c>
      <c r="K797">
        <f>IF('Raw Orders'!J797,"Cancelled",IF('Raw Orders'!K797&gt;=2,"Slipped","On plan"))</f>
        <v/>
      </c>
      <c r="L797" s="14">
        <f>IF(K797="On plan",0,F797)</f>
        <v/>
      </c>
    </row>
    <row r="798">
      <c r="A798">
        <f>'Raw Orders'!A798</f>
        <v/>
      </c>
      <c r="B798">
        <f>'Raw Orders'!B798</f>
        <v/>
      </c>
      <c r="C798">
        <f>'Raw Orders'!C798</f>
        <v/>
      </c>
      <c r="D798" s="13">
        <f>'Raw Orders'!E798</f>
        <v/>
      </c>
      <c r="E798" s="14">
        <f>'Raw Orders'!F798</f>
        <v/>
      </c>
      <c r="F798" s="14">
        <f>'Raw Orders'!F798*0.5</f>
        <v/>
      </c>
      <c r="G798" s="12">
        <f>'Raw Orders'!H798</f>
        <v/>
      </c>
      <c r="H798" s="12">
        <f>'Raw Orders'!I798</f>
        <v/>
      </c>
      <c r="I798" s="13">
        <f>'Raw Orders'!K798</f>
        <v/>
      </c>
      <c r="J798" s="13">
        <f>IF('Raw Orders'!J798,"",(YEAR('Raw Orders'!I798)-YEAR('Raw Orders'!H798))*12+MONTH('Raw Orders'!I798)-MONTH('Raw Orders'!H798))</f>
        <v/>
      </c>
      <c r="K798">
        <f>IF('Raw Orders'!J798,"Cancelled",IF('Raw Orders'!K798&gt;=2,"Slipped","On plan"))</f>
        <v/>
      </c>
      <c r="L798" s="14">
        <f>IF(K798="On plan",0,F798)</f>
        <v/>
      </c>
    </row>
    <row r="799">
      <c r="A799">
        <f>'Raw Orders'!A799</f>
        <v/>
      </c>
      <c r="B799">
        <f>'Raw Orders'!B799</f>
        <v/>
      </c>
      <c r="C799">
        <f>'Raw Orders'!C799</f>
        <v/>
      </c>
      <c r="D799" s="13">
        <f>'Raw Orders'!E799</f>
        <v/>
      </c>
      <c r="E799" s="14">
        <f>'Raw Orders'!F799</f>
        <v/>
      </c>
      <c r="F799" s="14">
        <f>'Raw Orders'!F799*0.5</f>
        <v/>
      </c>
      <c r="G799" s="12">
        <f>'Raw Orders'!H799</f>
        <v/>
      </c>
      <c r="H799" s="12">
        <f>'Raw Orders'!I799</f>
        <v/>
      </c>
      <c r="I799" s="13">
        <f>'Raw Orders'!K799</f>
        <v/>
      </c>
      <c r="J799" s="13">
        <f>IF('Raw Orders'!J799,"",(YEAR('Raw Orders'!I799)-YEAR('Raw Orders'!H799))*12+MONTH('Raw Orders'!I799)-MONTH('Raw Orders'!H799))</f>
        <v/>
      </c>
      <c r="K799">
        <f>IF('Raw Orders'!J799,"Cancelled",IF('Raw Orders'!K799&gt;=2,"Slipped","On plan"))</f>
        <v/>
      </c>
      <c r="L799" s="14">
        <f>IF(K799="On plan",0,F799)</f>
        <v/>
      </c>
    </row>
    <row r="800">
      <c r="A800">
        <f>'Raw Orders'!A800</f>
        <v/>
      </c>
      <c r="B800">
        <f>'Raw Orders'!B800</f>
        <v/>
      </c>
      <c r="C800">
        <f>'Raw Orders'!C800</f>
        <v/>
      </c>
      <c r="D800" s="13">
        <f>'Raw Orders'!E800</f>
        <v/>
      </c>
      <c r="E800" s="14">
        <f>'Raw Orders'!F800</f>
        <v/>
      </c>
      <c r="F800" s="14">
        <f>'Raw Orders'!F800*0.5</f>
        <v/>
      </c>
      <c r="G800" s="12">
        <f>'Raw Orders'!H800</f>
        <v/>
      </c>
      <c r="H800" s="12">
        <f>'Raw Orders'!I800</f>
        <v/>
      </c>
      <c r="I800" s="13">
        <f>'Raw Orders'!K800</f>
        <v/>
      </c>
      <c r="J800" s="13">
        <f>IF('Raw Orders'!J800,"",(YEAR('Raw Orders'!I800)-YEAR('Raw Orders'!H800))*12+MONTH('Raw Orders'!I800)-MONTH('Raw Orders'!H800))</f>
        <v/>
      </c>
      <c r="K800">
        <f>IF('Raw Orders'!J800,"Cancelled",IF('Raw Orders'!K800&gt;=2,"Slipped","On plan"))</f>
        <v/>
      </c>
      <c r="L800" s="14">
        <f>IF(K800="On plan",0,F800)</f>
        <v/>
      </c>
    </row>
    <row r="801">
      <c r="A801">
        <f>'Raw Orders'!A801</f>
        <v/>
      </c>
      <c r="B801">
        <f>'Raw Orders'!B801</f>
        <v/>
      </c>
      <c r="C801">
        <f>'Raw Orders'!C801</f>
        <v/>
      </c>
      <c r="D801" s="13">
        <f>'Raw Orders'!E801</f>
        <v/>
      </c>
      <c r="E801" s="14">
        <f>'Raw Orders'!F801</f>
        <v/>
      </c>
      <c r="F801" s="14">
        <f>'Raw Orders'!F801*0.5</f>
        <v/>
      </c>
      <c r="G801" s="12">
        <f>'Raw Orders'!H801</f>
        <v/>
      </c>
      <c r="H801" s="12">
        <f>'Raw Orders'!I801</f>
        <v/>
      </c>
      <c r="I801" s="13">
        <f>'Raw Orders'!K801</f>
        <v/>
      </c>
      <c r="J801" s="13">
        <f>IF('Raw Orders'!J801,"",(YEAR('Raw Orders'!I801)-YEAR('Raw Orders'!H801))*12+MONTH('Raw Orders'!I801)-MONTH('Raw Orders'!H801))</f>
        <v/>
      </c>
      <c r="K801">
        <f>IF('Raw Orders'!J801,"Cancelled",IF('Raw Orders'!K801&gt;=2,"Slipped","On plan"))</f>
        <v/>
      </c>
      <c r="L801" s="14">
        <f>IF(K801="On plan",0,F801)</f>
        <v/>
      </c>
    </row>
    <row r="802">
      <c r="A802">
        <f>'Raw Orders'!A802</f>
        <v/>
      </c>
      <c r="B802">
        <f>'Raw Orders'!B802</f>
        <v/>
      </c>
      <c r="C802">
        <f>'Raw Orders'!C802</f>
        <v/>
      </c>
      <c r="D802" s="13">
        <f>'Raw Orders'!E802</f>
        <v/>
      </c>
      <c r="E802" s="14">
        <f>'Raw Orders'!F802</f>
        <v/>
      </c>
      <c r="F802" s="14">
        <f>'Raw Orders'!F802*0.5</f>
        <v/>
      </c>
      <c r="G802" s="12">
        <f>'Raw Orders'!H802</f>
        <v/>
      </c>
      <c r="H802" s="12">
        <f>'Raw Orders'!I802</f>
        <v/>
      </c>
      <c r="I802" s="13">
        <f>'Raw Orders'!K802</f>
        <v/>
      </c>
      <c r="J802" s="13">
        <f>IF('Raw Orders'!J802,"",(YEAR('Raw Orders'!I802)-YEAR('Raw Orders'!H802))*12+MONTH('Raw Orders'!I802)-MONTH('Raw Orders'!H802))</f>
        <v/>
      </c>
      <c r="K802">
        <f>IF('Raw Orders'!J802,"Cancelled",IF('Raw Orders'!K802&gt;=2,"Slipped","On plan"))</f>
        <v/>
      </c>
      <c r="L802" s="14">
        <f>IF(K802="On plan",0,F802)</f>
        <v/>
      </c>
    </row>
    <row r="803">
      <c r="A803">
        <f>'Raw Orders'!A803</f>
        <v/>
      </c>
      <c r="B803">
        <f>'Raw Orders'!B803</f>
        <v/>
      </c>
      <c r="C803">
        <f>'Raw Orders'!C803</f>
        <v/>
      </c>
      <c r="D803" s="13">
        <f>'Raw Orders'!E803</f>
        <v/>
      </c>
      <c r="E803" s="14">
        <f>'Raw Orders'!F803</f>
        <v/>
      </c>
      <c r="F803" s="14">
        <f>'Raw Orders'!F803*0.5</f>
        <v/>
      </c>
      <c r="G803" s="12">
        <f>'Raw Orders'!H803</f>
        <v/>
      </c>
      <c r="H803" s="12">
        <f>'Raw Orders'!I803</f>
        <v/>
      </c>
      <c r="I803" s="13">
        <f>'Raw Orders'!K803</f>
        <v/>
      </c>
      <c r="J803" s="13">
        <f>IF('Raw Orders'!J803,"",(YEAR('Raw Orders'!I803)-YEAR('Raw Orders'!H803))*12+MONTH('Raw Orders'!I803)-MONTH('Raw Orders'!H803))</f>
        <v/>
      </c>
      <c r="K803">
        <f>IF('Raw Orders'!J803,"Cancelled",IF('Raw Orders'!K803&gt;=2,"Slipped","On plan"))</f>
        <v/>
      </c>
      <c r="L803" s="14">
        <f>IF(K803="On plan",0,F803)</f>
        <v/>
      </c>
    </row>
    <row r="804">
      <c r="A804">
        <f>'Raw Orders'!A804</f>
        <v/>
      </c>
      <c r="B804">
        <f>'Raw Orders'!B804</f>
        <v/>
      </c>
      <c r="C804">
        <f>'Raw Orders'!C804</f>
        <v/>
      </c>
      <c r="D804" s="13">
        <f>'Raw Orders'!E804</f>
        <v/>
      </c>
      <c r="E804" s="14">
        <f>'Raw Orders'!F804</f>
        <v/>
      </c>
      <c r="F804" s="14">
        <f>'Raw Orders'!F804*0.5</f>
        <v/>
      </c>
      <c r="G804" s="12">
        <f>'Raw Orders'!H804</f>
        <v/>
      </c>
      <c r="H804" s="12">
        <f>'Raw Orders'!I804</f>
        <v/>
      </c>
      <c r="I804" s="13">
        <f>'Raw Orders'!K804</f>
        <v/>
      </c>
      <c r="J804" s="13">
        <f>IF('Raw Orders'!J804,"",(YEAR('Raw Orders'!I804)-YEAR('Raw Orders'!H804))*12+MONTH('Raw Orders'!I804)-MONTH('Raw Orders'!H804))</f>
        <v/>
      </c>
      <c r="K804">
        <f>IF('Raw Orders'!J804,"Cancelled",IF('Raw Orders'!K804&gt;=2,"Slipped","On plan"))</f>
        <v/>
      </c>
      <c r="L804" s="14">
        <f>IF(K804="On plan",0,F804)</f>
        <v/>
      </c>
    </row>
    <row r="805">
      <c r="A805">
        <f>'Raw Orders'!A805</f>
        <v/>
      </c>
      <c r="B805">
        <f>'Raw Orders'!B805</f>
        <v/>
      </c>
      <c r="C805">
        <f>'Raw Orders'!C805</f>
        <v/>
      </c>
      <c r="D805" s="13">
        <f>'Raw Orders'!E805</f>
        <v/>
      </c>
      <c r="E805" s="14">
        <f>'Raw Orders'!F805</f>
        <v/>
      </c>
      <c r="F805" s="14">
        <f>'Raw Orders'!F805*0.5</f>
        <v/>
      </c>
      <c r="G805" s="12">
        <f>'Raw Orders'!H805</f>
        <v/>
      </c>
      <c r="H805" s="12">
        <f>'Raw Orders'!I805</f>
        <v/>
      </c>
      <c r="I805" s="13">
        <f>'Raw Orders'!K805</f>
        <v/>
      </c>
      <c r="J805" s="13">
        <f>IF('Raw Orders'!J805,"",(YEAR('Raw Orders'!I805)-YEAR('Raw Orders'!H805))*12+MONTH('Raw Orders'!I805)-MONTH('Raw Orders'!H805))</f>
        <v/>
      </c>
      <c r="K805">
        <f>IF('Raw Orders'!J805,"Cancelled",IF('Raw Orders'!K805&gt;=2,"Slipped","On plan"))</f>
        <v/>
      </c>
      <c r="L805" s="14">
        <f>IF(K805="On plan",0,F805)</f>
        <v/>
      </c>
    </row>
    <row r="806">
      <c r="A806">
        <f>'Raw Orders'!A806</f>
        <v/>
      </c>
      <c r="B806">
        <f>'Raw Orders'!B806</f>
        <v/>
      </c>
      <c r="C806">
        <f>'Raw Orders'!C806</f>
        <v/>
      </c>
      <c r="D806" s="13">
        <f>'Raw Orders'!E806</f>
        <v/>
      </c>
      <c r="E806" s="14">
        <f>'Raw Orders'!F806</f>
        <v/>
      </c>
      <c r="F806" s="14">
        <f>'Raw Orders'!F806*0.5</f>
        <v/>
      </c>
      <c r="G806" s="12">
        <f>'Raw Orders'!H806</f>
        <v/>
      </c>
      <c r="H806" s="12">
        <f>'Raw Orders'!I806</f>
        <v/>
      </c>
      <c r="I806" s="13">
        <f>'Raw Orders'!K806</f>
        <v/>
      </c>
      <c r="J806" s="13">
        <f>IF('Raw Orders'!J806,"",(YEAR('Raw Orders'!I806)-YEAR('Raw Orders'!H806))*12+MONTH('Raw Orders'!I806)-MONTH('Raw Orders'!H806))</f>
        <v/>
      </c>
      <c r="K806">
        <f>IF('Raw Orders'!J806,"Cancelled",IF('Raw Orders'!K806&gt;=2,"Slipped","On plan"))</f>
        <v/>
      </c>
      <c r="L806" s="14">
        <f>IF(K806="On plan",0,F806)</f>
        <v/>
      </c>
    </row>
    <row r="807">
      <c r="A807">
        <f>'Raw Orders'!A807</f>
        <v/>
      </c>
      <c r="B807">
        <f>'Raw Orders'!B807</f>
        <v/>
      </c>
      <c r="C807">
        <f>'Raw Orders'!C807</f>
        <v/>
      </c>
      <c r="D807" s="13">
        <f>'Raw Orders'!E807</f>
        <v/>
      </c>
      <c r="E807" s="14">
        <f>'Raw Orders'!F807</f>
        <v/>
      </c>
      <c r="F807" s="14">
        <f>'Raw Orders'!F807*0.5</f>
        <v/>
      </c>
      <c r="G807" s="12">
        <f>'Raw Orders'!H807</f>
        <v/>
      </c>
      <c r="H807" s="12">
        <f>'Raw Orders'!I807</f>
        <v/>
      </c>
      <c r="I807" s="13">
        <f>'Raw Orders'!K807</f>
        <v/>
      </c>
      <c r="J807" s="13">
        <f>IF('Raw Orders'!J807,"",(YEAR('Raw Orders'!I807)-YEAR('Raw Orders'!H807))*12+MONTH('Raw Orders'!I807)-MONTH('Raw Orders'!H807))</f>
        <v/>
      </c>
      <c r="K807">
        <f>IF('Raw Orders'!J807,"Cancelled",IF('Raw Orders'!K807&gt;=2,"Slipped","On plan"))</f>
        <v/>
      </c>
      <c r="L807" s="14">
        <f>IF(K807="On plan",0,F807)</f>
        <v/>
      </c>
    </row>
    <row r="808">
      <c r="A808">
        <f>'Raw Orders'!A808</f>
        <v/>
      </c>
      <c r="B808">
        <f>'Raw Orders'!B808</f>
        <v/>
      </c>
      <c r="C808">
        <f>'Raw Orders'!C808</f>
        <v/>
      </c>
      <c r="D808" s="13">
        <f>'Raw Orders'!E808</f>
        <v/>
      </c>
      <c r="E808" s="14">
        <f>'Raw Orders'!F808</f>
        <v/>
      </c>
      <c r="F808" s="14">
        <f>'Raw Orders'!F808*0.5</f>
        <v/>
      </c>
      <c r="G808" s="12">
        <f>'Raw Orders'!H808</f>
        <v/>
      </c>
      <c r="H808" s="12">
        <f>'Raw Orders'!I808</f>
        <v/>
      </c>
      <c r="I808" s="13">
        <f>'Raw Orders'!K808</f>
        <v/>
      </c>
      <c r="J808" s="13">
        <f>IF('Raw Orders'!J808,"",(YEAR('Raw Orders'!I808)-YEAR('Raw Orders'!H808))*12+MONTH('Raw Orders'!I808)-MONTH('Raw Orders'!H808))</f>
        <v/>
      </c>
      <c r="K808">
        <f>IF('Raw Orders'!J808,"Cancelled",IF('Raw Orders'!K808&gt;=2,"Slipped","On plan"))</f>
        <v/>
      </c>
      <c r="L808" s="14">
        <f>IF(K808="On plan",0,F808)</f>
        <v/>
      </c>
    </row>
    <row r="809">
      <c r="A809">
        <f>'Raw Orders'!A809</f>
        <v/>
      </c>
      <c r="B809">
        <f>'Raw Orders'!B809</f>
        <v/>
      </c>
      <c r="C809">
        <f>'Raw Orders'!C809</f>
        <v/>
      </c>
      <c r="D809" s="13">
        <f>'Raw Orders'!E809</f>
        <v/>
      </c>
      <c r="E809" s="14">
        <f>'Raw Orders'!F809</f>
        <v/>
      </c>
      <c r="F809" s="14">
        <f>'Raw Orders'!F809*0.5</f>
        <v/>
      </c>
      <c r="G809" s="12">
        <f>'Raw Orders'!H809</f>
        <v/>
      </c>
      <c r="H809" s="12">
        <f>'Raw Orders'!I809</f>
        <v/>
      </c>
      <c r="I809" s="13">
        <f>'Raw Orders'!K809</f>
        <v/>
      </c>
      <c r="J809" s="13">
        <f>IF('Raw Orders'!J809,"",(YEAR('Raw Orders'!I809)-YEAR('Raw Orders'!H809))*12+MONTH('Raw Orders'!I809)-MONTH('Raw Orders'!H809))</f>
        <v/>
      </c>
      <c r="K809">
        <f>IF('Raw Orders'!J809,"Cancelled",IF('Raw Orders'!K809&gt;=2,"Slipped","On plan"))</f>
        <v/>
      </c>
      <c r="L809" s="14">
        <f>IF(K809="On plan",0,F809)</f>
        <v/>
      </c>
    </row>
    <row r="810">
      <c r="A810">
        <f>'Raw Orders'!A810</f>
        <v/>
      </c>
      <c r="B810">
        <f>'Raw Orders'!B810</f>
        <v/>
      </c>
      <c r="C810">
        <f>'Raw Orders'!C810</f>
        <v/>
      </c>
      <c r="D810" s="13">
        <f>'Raw Orders'!E810</f>
        <v/>
      </c>
      <c r="E810" s="14">
        <f>'Raw Orders'!F810</f>
        <v/>
      </c>
      <c r="F810" s="14">
        <f>'Raw Orders'!F810*0.5</f>
        <v/>
      </c>
      <c r="G810" s="12">
        <f>'Raw Orders'!H810</f>
        <v/>
      </c>
      <c r="H810" s="12">
        <f>'Raw Orders'!I810</f>
        <v/>
      </c>
      <c r="I810" s="13">
        <f>'Raw Orders'!K810</f>
        <v/>
      </c>
      <c r="J810" s="13">
        <f>IF('Raw Orders'!J810,"",(YEAR('Raw Orders'!I810)-YEAR('Raw Orders'!H810))*12+MONTH('Raw Orders'!I810)-MONTH('Raw Orders'!H810))</f>
        <v/>
      </c>
      <c r="K810">
        <f>IF('Raw Orders'!J810,"Cancelled",IF('Raw Orders'!K810&gt;=2,"Slipped","On plan"))</f>
        <v/>
      </c>
      <c r="L810" s="14">
        <f>IF(K810="On plan",0,F810)</f>
        <v/>
      </c>
    </row>
    <row r="811">
      <c r="A811">
        <f>'Raw Orders'!A811</f>
        <v/>
      </c>
      <c r="B811">
        <f>'Raw Orders'!B811</f>
        <v/>
      </c>
      <c r="C811">
        <f>'Raw Orders'!C811</f>
        <v/>
      </c>
      <c r="D811" s="13">
        <f>'Raw Orders'!E811</f>
        <v/>
      </c>
      <c r="E811" s="14">
        <f>'Raw Orders'!F811</f>
        <v/>
      </c>
      <c r="F811" s="14">
        <f>'Raw Orders'!F811*0.5</f>
        <v/>
      </c>
      <c r="G811" s="12">
        <f>'Raw Orders'!H811</f>
        <v/>
      </c>
      <c r="H811" s="12">
        <f>'Raw Orders'!I811</f>
        <v/>
      </c>
      <c r="I811" s="13">
        <f>'Raw Orders'!K811</f>
        <v/>
      </c>
      <c r="J811" s="13">
        <f>IF('Raw Orders'!J811,"",(YEAR('Raw Orders'!I811)-YEAR('Raw Orders'!H811))*12+MONTH('Raw Orders'!I811)-MONTH('Raw Orders'!H811))</f>
        <v/>
      </c>
      <c r="K811">
        <f>IF('Raw Orders'!J811,"Cancelled",IF('Raw Orders'!K811&gt;=2,"Slipped","On plan"))</f>
        <v/>
      </c>
      <c r="L811" s="14">
        <f>IF(K811="On plan",0,F811)</f>
        <v/>
      </c>
    </row>
    <row r="812">
      <c r="A812">
        <f>'Raw Orders'!A812</f>
        <v/>
      </c>
      <c r="B812">
        <f>'Raw Orders'!B812</f>
        <v/>
      </c>
      <c r="C812">
        <f>'Raw Orders'!C812</f>
        <v/>
      </c>
      <c r="D812" s="13">
        <f>'Raw Orders'!E812</f>
        <v/>
      </c>
      <c r="E812" s="14">
        <f>'Raw Orders'!F812</f>
        <v/>
      </c>
      <c r="F812" s="14">
        <f>'Raw Orders'!F812*0.5</f>
        <v/>
      </c>
      <c r="G812" s="12">
        <f>'Raw Orders'!H812</f>
        <v/>
      </c>
      <c r="H812" s="12">
        <f>'Raw Orders'!I812</f>
        <v/>
      </c>
      <c r="I812" s="13">
        <f>'Raw Orders'!K812</f>
        <v/>
      </c>
      <c r="J812" s="13">
        <f>IF('Raw Orders'!J812,"",(YEAR('Raw Orders'!I812)-YEAR('Raw Orders'!H812))*12+MONTH('Raw Orders'!I812)-MONTH('Raw Orders'!H812))</f>
        <v/>
      </c>
      <c r="K812">
        <f>IF('Raw Orders'!J812,"Cancelled",IF('Raw Orders'!K812&gt;=2,"Slipped","On plan"))</f>
        <v/>
      </c>
      <c r="L812" s="14">
        <f>IF(K812="On plan",0,F812)</f>
        <v/>
      </c>
    </row>
    <row r="813">
      <c r="A813">
        <f>'Raw Orders'!A813</f>
        <v/>
      </c>
      <c r="B813">
        <f>'Raw Orders'!B813</f>
        <v/>
      </c>
      <c r="C813">
        <f>'Raw Orders'!C813</f>
        <v/>
      </c>
      <c r="D813" s="13">
        <f>'Raw Orders'!E813</f>
        <v/>
      </c>
      <c r="E813" s="14">
        <f>'Raw Orders'!F813</f>
        <v/>
      </c>
      <c r="F813" s="14">
        <f>'Raw Orders'!F813*0.5</f>
        <v/>
      </c>
      <c r="G813" s="12">
        <f>'Raw Orders'!H813</f>
        <v/>
      </c>
      <c r="H813" s="12">
        <f>'Raw Orders'!I813</f>
        <v/>
      </c>
      <c r="I813" s="13">
        <f>'Raw Orders'!K813</f>
        <v/>
      </c>
      <c r="J813" s="13">
        <f>IF('Raw Orders'!J813,"",(YEAR('Raw Orders'!I813)-YEAR('Raw Orders'!H813))*12+MONTH('Raw Orders'!I813)-MONTH('Raw Orders'!H813))</f>
        <v/>
      </c>
      <c r="K813">
        <f>IF('Raw Orders'!J813,"Cancelled",IF('Raw Orders'!K813&gt;=2,"Slipped","On plan"))</f>
        <v/>
      </c>
      <c r="L813" s="14">
        <f>IF(K813="On plan",0,F813)</f>
        <v/>
      </c>
    </row>
    <row r="814">
      <c r="A814">
        <f>'Raw Orders'!A814</f>
        <v/>
      </c>
      <c r="B814">
        <f>'Raw Orders'!B814</f>
        <v/>
      </c>
      <c r="C814">
        <f>'Raw Orders'!C814</f>
        <v/>
      </c>
      <c r="D814" s="13">
        <f>'Raw Orders'!E814</f>
        <v/>
      </c>
      <c r="E814" s="14">
        <f>'Raw Orders'!F814</f>
        <v/>
      </c>
      <c r="F814" s="14">
        <f>'Raw Orders'!F814*0.5</f>
        <v/>
      </c>
      <c r="G814" s="12">
        <f>'Raw Orders'!H814</f>
        <v/>
      </c>
      <c r="H814" s="12">
        <f>'Raw Orders'!I814</f>
        <v/>
      </c>
      <c r="I814" s="13">
        <f>'Raw Orders'!K814</f>
        <v/>
      </c>
      <c r="J814" s="13">
        <f>IF('Raw Orders'!J814,"",(YEAR('Raw Orders'!I814)-YEAR('Raw Orders'!H814))*12+MONTH('Raw Orders'!I814)-MONTH('Raw Orders'!H814))</f>
        <v/>
      </c>
      <c r="K814">
        <f>IF('Raw Orders'!J814,"Cancelled",IF('Raw Orders'!K814&gt;=2,"Slipped","On plan"))</f>
        <v/>
      </c>
      <c r="L814" s="14">
        <f>IF(K814="On plan",0,F814)</f>
        <v/>
      </c>
    </row>
    <row r="815">
      <c r="A815">
        <f>'Raw Orders'!A815</f>
        <v/>
      </c>
      <c r="B815">
        <f>'Raw Orders'!B815</f>
        <v/>
      </c>
      <c r="C815">
        <f>'Raw Orders'!C815</f>
        <v/>
      </c>
      <c r="D815" s="13">
        <f>'Raw Orders'!E815</f>
        <v/>
      </c>
      <c r="E815" s="14">
        <f>'Raw Orders'!F815</f>
        <v/>
      </c>
      <c r="F815" s="14">
        <f>'Raw Orders'!F815*0.5</f>
        <v/>
      </c>
      <c r="G815" s="12">
        <f>'Raw Orders'!H815</f>
        <v/>
      </c>
      <c r="H815" s="12">
        <f>'Raw Orders'!I815</f>
        <v/>
      </c>
      <c r="I815" s="13">
        <f>'Raw Orders'!K815</f>
        <v/>
      </c>
      <c r="J815" s="13">
        <f>IF('Raw Orders'!J815,"",(YEAR('Raw Orders'!I815)-YEAR('Raw Orders'!H815))*12+MONTH('Raw Orders'!I815)-MONTH('Raw Orders'!H815))</f>
        <v/>
      </c>
      <c r="K815">
        <f>IF('Raw Orders'!J815,"Cancelled",IF('Raw Orders'!K815&gt;=2,"Slipped","On plan"))</f>
        <v/>
      </c>
      <c r="L815" s="14">
        <f>IF(K815="On plan",0,F815)</f>
        <v/>
      </c>
    </row>
    <row r="816">
      <c r="A816">
        <f>'Raw Orders'!A816</f>
        <v/>
      </c>
      <c r="B816">
        <f>'Raw Orders'!B816</f>
        <v/>
      </c>
      <c r="C816">
        <f>'Raw Orders'!C816</f>
        <v/>
      </c>
      <c r="D816" s="13">
        <f>'Raw Orders'!E816</f>
        <v/>
      </c>
      <c r="E816" s="14">
        <f>'Raw Orders'!F816</f>
        <v/>
      </c>
      <c r="F816" s="14">
        <f>'Raw Orders'!F816*0.5</f>
        <v/>
      </c>
      <c r="G816" s="12">
        <f>'Raw Orders'!H816</f>
        <v/>
      </c>
      <c r="H816" s="12">
        <f>'Raw Orders'!I816</f>
        <v/>
      </c>
      <c r="I816" s="13">
        <f>'Raw Orders'!K816</f>
        <v/>
      </c>
      <c r="J816" s="13">
        <f>IF('Raw Orders'!J816,"",(YEAR('Raw Orders'!I816)-YEAR('Raw Orders'!H816))*12+MONTH('Raw Orders'!I816)-MONTH('Raw Orders'!H816))</f>
        <v/>
      </c>
      <c r="K816">
        <f>IF('Raw Orders'!J816,"Cancelled",IF('Raw Orders'!K816&gt;=2,"Slipped","On plan"))</f>
        <v/>
      </c>
      <c r="L816" s="14">
        <f>IF(K816="On plan",0,F816)</f>
        <v/>
      </c>
    </row>
    <row r="817">
      <c r="A817">
        <f>'Raw Orders'!A817</f>
        <v/>
      </c>
      <c r="B817">
        <f>'Raw Orders'!B817</f>
        <v/>
      </c>
      <c r="C817">
        <f>'Raw Orders'!C817</f>
        <v/>
      </c>
      <c r="D817" s="13">
        <f>'Raw Orders'!E817</f>
        <v/>
      </c>
      <c r="E817" s="14">
        <f>'Raw Orders'!F817</f>
        <v/>
      </c>
      <c r="F817" s="14">
        <f>'Raw Orders'!F817*0.5</f>
        <v/>
      </c>
      <c r="G817" s="12">
        <f>'Raw Orders'!H817</f>
        <v/>
      </c>
      <c r="H817" s="12">
        <f>'Raw Orders'!I817</f>
        <v/>
      </c>
      <c r="I817" s="13">
        <f>'Raw Orders'!K817</f>
        <v/>
      </c>
      <c r="J817" s="13">
        <f>IF('Raw Orders'!J817,"",(YEAR('Raw Orders'!I817)-YEAR('Raw Orders'!H817))*12+MONTH('Raw Orders'!I817)-MONTH('Raw Orders'!H817))</f>
        <v/>
      </c>
      <c r="K817">
        <f>IF('Raw Orders'!J817,"Cancelled",IF('Raw Orders'!K817&gt;=2,"Slipped","On plan"))</f>
        <v/>
      </c>
      <c r="L817" s="14">
        <f>IF(K817="On plan",0,F817)</f>
        <v/>
      </c>
    </row>
    <row r="818">
      <c r="A818">
        <f>'Raw Orders'!A818</f>
        <v/>
      </c>
      <c r="B818">
        <f>'Raw Orders'!B818</f>
        <v/>
      </c>
      <c r="C818">
        <f>'Raw Orders'!C818</f>
        <v/>
      </c>
      <c r="D818" s="13">
        <f>'Raw Orders'!E818</f>
        <v/>
      </c>
      <c r="E818" s="14">
        <f>'Raw Orders'!F818</f>
        <v/>
      </c>
      <c r="F818" s="14">
        <f>'Raw Orders'!F818*0.5</f>
        <v/>
      </c>
      <c r="G818" s="12">
        <f>'Raw Orders'!H818</f>
        <v/>
      </c>
      <c r="H818" s="12">
        <f>'Raw Orders'!I818</f>
        <v/>
      </c>
      <c r="I818" s="13">
        <f>'Raw Orders'!K818</f>
        <v/>
      </c>
      <c r="J818" s="13">
        <f>IF('Raw Orders'!J818,"",(YEAR('Raw Orders'!I818)-YEAR('Raw Orders'!H818))*12+MONTH('Raw Orders'!I818)-MONTH('Raw Orders'!H818))</f>
        <v/>
      </c>
      <c r="K818">
        <f>IF('Raw Orders'!J818,"Cancelled",IF('Raw Orders'!K818&gt;=2,"Slipped","On plan"))</f>
        <v/>
      </c>
      <c r="L818" s="14">
        <f>IF(K818="On plan",0,F818)</f>
        <v/>
      </c>
    </row>
    <row r="819">
      <c r="A819">
        <f>'Raw Orders'!A819</f>
        <v/>
      </c>
      <c r="B819">
        <f>'Raw Orders'!B819</f>
        <v/>
      </c>
      <c r="C819">
        <f>'Raw Orders'!C819</f>
        <v/>
      </c>
      <c r="D819" s="13">
        <f>'Raw Orders'!E819</f>
        <v/>
      </c>
      <c r="E819" s="14">
        <f>'Raw Orders'!F819</f>
        <v/>
      </c>
      <c r="F819" s="14">
        <f>'Raw Orders'!F819*0.5</f>
        <v/>
      </c>
      <c r="G819" s="12">
        <f>'Raw Orders'!H819</f>
        <v/>
      </c>
      <c r="H819" s="12">
        <f>'Raw Orders'!I819</f>
        <v/>
      </c>
      <c r="I819" s="13">
        <f>'Raw Orders'!K819</f>
        <v/>
      </c>
      <c r="J819" s="13">
        <f>IF('Raw Orders'!J819,"",(YEAR('Raw Orders'!I819)-YEAR('Raw Orders'!H819))*12+MONTH('Raw Orders'!I819)-MONTH('Raw Orders'!H819))</f>
        <v/>
      </c>
      <c r="K819">
        <f>IF('Raw Orders'!J819,"Cancelled",IF('Raw Orders'!K819&gt;=2,"Slipped","On plan"))</f>
        <v/>
      </c>
      <c r="L819" s="14">
        <f>IF(K819="On plan",0,F819)</f>
        <v/>
      </c>
    </row>
    <row r="820">
      <c r="A820">
        <f>'Raw Orders'!A820</f>
        <v/>
      </c>
      <c r="B820">
        <f>'Raw Orders'!B820</f>
        <v/>
      </c>
      <c r="C820">
        <f>'Raw Orders'!C820</f>
        <v/>
      </c>
      <c r="D820" s="13">
        <f>'Raw Orders'!E820</f>
        <v/>
      </c>
      <c r="E820" s="14">
        <f>'Raw Orders'!F820</f>
        <v/>
      </c>
      <c r="F820" s="14">
        <f>'Raw Orders'!F820*0.5</f>
        <v/>
      </c>
      <c r="G820" s="12">
        <f>'Raw Orders'!H820</f>
        <v/>
      </c>
      <c r="H820" s="12">
        <f>'Raw Orders'!I820</f>
        <v/>
      </c>
      <c r="I820" s="13">
        <f>'Raw Orders'!K820</f>
        <v/>
      </c>
      <c r="J820" s="13">
        <f>IF('Raw Orders'!J820,"",(YEAR('Raw Orders'!I820)-YEAR('Raw Orders'!H820))*12+MONTH('Raw Orders'!I820)-MONTH('Raw Orders'!H820))</f>
        <v/>
      </c>
      <c r="K820">
        <f>IF('Raw Orders'!J820,"Cancelled",IF('Raw Orders'!K820&gt;=2,"Slipped","On plan"))</f>
        <v/>
      </c>
      <c r="L820" s="14">
        <f>IF(K820="On plan",0,F820)</f>
        <v/>
      </c>
    </row>
    <row r="821">
      <c r="A821">
        <f>'Raw Orders'!A821</f>
        <v/>
      </c>
      <c r="B821">
        <f>'Raw Orders'!B821</f>
        <v/>
      </c>
      <c r="C821">
        <f>'Raw Orders'!C821</f>
        <v/>
      </c>
      <c r="D821" s="13">
        <f>'Raw Orders'!E821</f>
        <v/>
      </c>
      <c r="E821" s="14">
        <f>'Raw Orders'!F821</f>
        <v/>
      </c>
      <c r="F821" s="14">
        <f>'Raw Orders'!F821*0.5</f>
        <v/>
      </c>
      <c r="G821" s="12">
        <f>'Raw Orders'!H821</f>
        <v/>
      </c>
      <c r="H821" s="12">
        <f>'Raw Orders'!I821</f>
        <v/>
      </c>
      <c r="I821" s="13">
        <f>'Raw Orders'!K821</f>
        <v/>
      </c>
      <c r="J821" s="13">
        <f>IF('Raw Orders'!J821,"",(YEAR('Raw Orders'!I821)-YEAR('Raw Orders'!H821))*12+MONTH('Raw Orders'!I821)-MONTH('Raw Orders'!H821))</f>
        <v/>
      </c>
      <c r="K821">
        <f>IF('Raw Orders'!J821,"Cancelled",IF('Raw Orders'!K821&gt;=2,"Slipped","On plan"))</f>
        <v/>
      </c>
      <c r="L821" s="14">
        <f>IF(K821="On plan",0,F821)</f>
        <v/>
      </c>
    </row>
    <row r="822">
      <c r="A822">
        <f>'Raw Orders'!A822</f>
        <v/>
      </c>
      <c r="B822">
        <f>'Raw Orders'!B822</f>
        <v/>
      </c>
      <c r="C822">
        <f>'Raw Orders'!C822</f>
        <v/>
      </c>
      <c r="D822" s="13">
        <f>'Raw Orders'!E822</f>
        <v/>
      </c>
      <c r="E822" s="14">
        <f>'Raw Orders'!F822</f>
        <v/>
      </c>
      <c r="F822" s="14">
        <f>'Raw Orders'!F822*0.5</f>
        <v/>
      </c>
      <c r="G822" s="12">
        <f>'Raw Orders'!H822</f>
        <v/>
      </c>
      <c r="H822" s="12">
        <f>'Raw Orders'!I822</f>
        <v/>
      </c>
      <c r="I822" s="13">
        <f>'Raw Orders'!K822</f>
        <v/>
      </c>
      <c r="J822" s="13">
        <f>IF('Raw Orders'!J822,"",(YEAR('Raw Orders'!I822)-YEAR('Raw Orders'!H822))*12+MONTH('Raw Orders'!I822)-MONTH('Raw Orders'!H822))</f>
        <v/>
      </c>
      <c r="K822">
        <f>IF('Raw Orders'!J822,"Cancelled",IF('Raw Orders'!K822&gt;=2,"Slipped","On plan"))</f>
        <v/>
      </c>
      <c r="L822" s="14">
        <f>IF(K822="On plan",0,F822)</f>
        <v/>
      </c>
    </row>
    <row r="823">
      <c r="A823">
        <f>'Raw Orders'!A823</f>
        <v/>
      </c>
      <c r="B823">
        <f>'Raw Orders'!B823</f>
        <v/>
      </c>
      <c r="C823">
        <f>'Raw Orders'!C823</f>
        <v/>
      </c>
      <c r="D823" s="13">
        <f>'Raw Orders'!E823</f>
        <v/>
      </c>
      <c r="E823" s="14">
        <f>'Raw Orders'!F823</f>
        <v/>
      </c>
      <c r="F823" s="14">
        <f>'Raw Orders'!F823*0.5</f>
        <v/>
      </c>
      <c r="G823" s="12">
        <f>'Raw Orders'!H823</f>
        <v/>
      </c>
      <c r="H823" s="12">
        <f>'Raw Orders'!I823</f>
        <v/>
      </c>
      <c r="I823" s="13">
        <f>'Raw Orders'!K823</f>
        <v/>
      </c>
      <c r="J823" s="13">
        <f>IF('Raw Orders'!J823,"",(YEAR('Raw Orders'!I823)-YEAR('Raw Orders'!H823))*12+MONTH('Raw Orders'!I823)-MONTH('Raw Orders'!H823))</f>
        <v/>
      </c>
      <c r="K823">
        <f>IF('Raw Orders'!J823,"Cancelled",IF('Raw Orders'!K823&gt;=2,"Slipped","On plan"))</f>
        <v/>
      </c>
      <c r="L823" s="14">
        <f>IF(K823="On plan",0,F823)</f>
        <v/>
      </c>
    </row>
    <row r="824">
      <c r="A824">
        <f>'Raw Orders'!A824</f>
        <v/>
      </c>
      <c r="B824">
        <f>'Raw Orders'!B824</f>
        <v/>
      </c>
      <c r="C824">
        <f>'Raw Orders'!C824</f>
        <v/>
      </c>
      <c r="D824" s="13">
        <f>'Raw Orders'!E824</f>
        <v/>
      </c>
      <c r="E824" s="14">
        <f>'Raw Orders'!F824</f>
        <v/>
      </c>
      <c r="F824" s="14">
        <f>'Raw Orders'!F824*0.5</f>
        <v/>
      </c>
      <c r="G824" s="12">
        <f>'Raw Orders'!H824</f>
        <v/>
      </c>
      <c r="H824" s="12">
        <f>'Raw Orders'!I824</f>
        <v/>
      </c>
      <c r="I824" s="13">
        <f>'Raw Orders'!K824</f>
        <v/>
      </c>
      <c r="J824" s="13">
        <f>IF('Raw Orders'!J824,"",(YEAR('Raw Orders'!I824)-YEAR('Raw Orders'!H824))*12+MONTH('Raw Orders'!I824)-MONTH('Raw Orders'!H824))</f>
        <v/>
      </c>
      <c r="K824">
        <f>IF('Raw Orders'!J824,"Cancelled",IF('Raw Orders'!K824&gt;=2,"Slipped","On plan"))</f>
        <v/>
      </c>
      <c r="L824" s="14">
        <f>IF(K824="On plan",0,F824)</f>
        <v/>
      </c>
    </row>
    <row r="825">
      <c r="A825">
        <f>'Raw Orders'!A825</f>
        <v/>
      </c>
      <c r="B825">
        <f>'Raw Orders'!B825</f>
        <v/>
      </c>
      <c r="C825">
        <f>'Raw Orders'!C825</f>
        <v/>
      </c>
      <c r="D825" s="13">
        <f>'Raw Orders'!E825</f>
        <v/>
      </c>
      <c r="E825" s="14">
        <f>'Raw Orders'!F825</f>
        <v/>
      </c>
      <c r="F825" s="14">
        <f>'Raw Orders'!F825*0.5</f>
        <v/>
      </c>
      <c r="G825" s="12">
        <f>'Raw Orders'!H825</f>
        <v/>
      </c>
      <c r="H825" s="12">
        <f>'Raw Orders'!I825</f>
        <v/>
      </c>
      <c r="I825" s="13">
        <f>'Raw Orders'!K825</f>
        <v/>
      </c>
      <c r="J825" s="13">
        <f>IF('Raw Orders'!J825,"",(YEAR('Raw Orders'!I825)-YEAR('Raw Orders'!H825))*12+MONTH('Raw Orders'!I825)-MONTH('Raw Orders'!H825))</f>
        <v/>
      </c>
      <c r="K825">
        <f>IF('Raw Orders'!J825,"Cancelled",IF('Raw Orders'!K825&gt;=2,"Slipped","On plan"))</f>
        <v/>
      </c>
      <c r="L825" s="14">
        <f>IF(K825="On plan",0,F825)</f>
        <v/>
      </c>
    </row>
    <row r="826">
      <c r="A826">
        <f>'Raw Orders'!A826</f>
        <v/>
      </c>
      <c r="B826">
        <f>'Raw Orders'!B826</f>
        <v/>
      </c>
      <c r="C826">
        <f>'Raw Orders'!C826</f>
        <v/>
      </c>
      <c r="D826" s="13">
        <f>'Raw Orders'!E826</f>
        <v/>
      </c>
      <c r="E826" s="14">
        <f>'Raw Orders'!F826</f>
        <v/>
      </c>
      <c r="F826" s="14">
        <f>'Raw Orders'!F826*0.5</f>
        <v/>
      </c>
      <c r="G826" s="12">
        <f>'Raw Orders'!H826</f>
        <v/>
      </c>
      <c r="H826" s="12">
        <f>'Raw Orders'!I826</f>
        <v/>
      </c>
      <c r="I826" s="13">
        <f>'Raw Orders'!K826</f>
        <v/>
      </c>
      <c r="J826" s="13">
        <f>IF('Raw Orders'!J826,"",(YEAR('Raw Orders'!I826)-YEAR('Raw Orders'!H826))*12+MONTH('Raw Orders'!I826)-MONTH('Raw Orders'!H826))</f>
        <v/>
      </c>
      <c r="K826">
        <f>IF('Raw Orders'!J826,"Cancelled",IF('Raw Orders'!K826&gt;=2,"Slipped","On plan"))</f>
        <v/>
      </c>
      <c r="L826" s="14">
        <f>IF(K826="On plan",0,F826)</f>
        <v/>
      </c>
    </row>
    <row r="827">
      <c r="A827">
        <f>'Raw Orders'!A827</f>
        <v/>
      </c>
      <c r="B827">
        <f>'Raw Orders'!B827</f>
        <v/>
      </c>
      <c r="C827">
        <f>'Raw Orders'!C827</f>
        <v/>
      </c>
      <c r="D827" s="13">
        <f>'Raw Orders'!E827</f>
        <v/>
      </c>
      <c r="E827" s="14">
        <f>'Raw Orders'!F827</f>
        <v/>
      </c>
      <c r="F827" s="14">
        <f>'Raw Orders'!F827*0.5</f>
        <v/>
      </c>
      <c r="G827" s="12">
        <f>'Raw Orders'!H827</f>
        <v/>
      </c>
      <c r="H827" s="12">
        <f>'Raw Orders'!I827</f>
        <v/>
      </c>
      <c r="I827" s="13">
        <f>'Raw Orders'!K827</f>
        <v/>
      </c>
      <c r="J827" s="13">
        <f>IF('Raw Orders'!J827,"",(YEAR('Raw Orders'!I827)-YEAR('Raw Orders'!H827))*12+MONTH('Raw Orders'!I827)-MONTH('Raw Orders'!H827))</f>
        <v/>
      </c>
      <c r="K827">
        <f>IF('Raw Orders'!J827,"Cancelled",IF('Raw Orders'!K827&gt;=2,"Slipped","On plan"))</f>
        <v/>
      </c>
      <c r="L827" s="14">
        <f>IF(K827="On plan",0,F827)</f>
        <v/>
      </c>
    </row>
    <row r="828">
      <c r="A828">
        <f>'Raw Orders'!A828</f>
        <v/>
      </c>
      <c r="B828">
        <f>'Raw Orders'!B828</f>
        <v/>
      </c>
      <c r="C828">
        <f>'Raw Orders'!C828</f>
        <v/>
      </c>
      <c r="D828" s="13">
        <f>'Raw Orders'!E828</f>
        <v/>
      </c>
      <c r="E828" s="14">
        <f>'Raw Orders'!F828</f>
        <v/>
      </c>
      <c r="F828" s="14">
        <f>'Raw Orders'!F828*0.5</f>
        <v/>
      </c>
      <c r="G828" s="12">
        <f>'Raw Orders'!H828</f>
        <v/>
      </c>
      <c r="H828" s="12">
        <f>'Raw Orders'!I828</f>
        <v/>
      </c>
      <c r="I828" s="13">
        <f>'Raw Orders'!K828</f>
        <v/>
      </c>
      <c r="J828" s="13">
        <f>IF('Raw Orders'!J828,"",(YEAR('Raw Orders'!I828)-YEAR('Raw Orders'!H828))*12+MONTH('Raw Orders'!I828)-MONTH('Raw Orders'!H828))</f>
        <v/>
      </c>
      <c r="K828">
        <f>IF('Raw Orders'!J828,"Cancelled",IF('Raw Orders'!K828&gt;=2,"Slipped","On plan"))</f>
        <v/>
      </c>
      <c r="L828" s="14">
        <f>IF(K828="On plan",0,F828)</f>
        <v/>
      </c>
    </row>
    <row r="829">
      <c r="A829">
        <f>'Raw Orders'!A829</f>
        <v/>
      </c>
      <c r="B829">
        <f>'Raw Orders'!B829</f>
        <v/>
      </c>
      <c r="C829">
        <f>'Raw Orders'!C829</f>
        <v/>
      </c>
      <c r="D829" s="13">
        <f>'Raw Orders'!E829</f>
        <v/>
      </c>
      <c r="E829" s="14">
        <f>'Raw Orders'!F829</f>
        <v/>
      </c>
      <c r="F829" s="14">
        <f>'Raw Orders'!F829*0.5</f>
        <v/>
      </c>
      <c r="G829" s="12">
        <f>'Raw Orders'!H829</f>
        <v/>
      </c>
      <c r="H829" s="12">
        <f>'Raw Orders'!I829</f>
        <v/>
      </c>
      <c r="I829" s="13">
        <f>'Raw Orders'!K829</f>
        <v/>
      </c>
      <c r="J829" s="13">
        <f>IF('Raw Orders'!J829,"",(YEAR('Raw Orders'!I829)-YEAR('Raw Orders'!H829))*12+MONTH('Raw Orders'!I829)-MONTH('Raw Orders'!H829))</f>
        <v/>
      </c>
      <c r="K829">
        <f>IF('Raw Orders'!J829,"Cancelled",IF('Raw Orders'!K829&gt;=2,"Slipped","On plan"))</f>
        <v/>
      </c>
      <c r="L829" s="14">
        <f>IF(K829="On plan",0,F829)</f>
        <v/>
      </c>
    </row>
    <row r="830">
      <c r="A830">
        <f>'Raw Orders'!A830</f>
        <v/>
      </c>
      <c r="B830">
        <f>'Raw Orders'!B830</f>
        <v/>
      </c>
      <c r="C830">
        <f>'Raw Orders'!C830</f>
        <v/>
      </c>
      <c r="D830" s="13">
        <f>'Raw Orders'!E830</f>
        <v/>
      </c>
      <c r="E830" s="14">
        <f>'Raw Orders'!F830</f>
        <v/>
      </c>
      <c r="F830" s="14">
        <f>'Raw Orders'!F830*0.5</f>
        <v/>
      </c>
      <c r="G830" s="12">
        <f>'Raw Orders'!H830</f>
        <v/>
      </c>
      <c r="H830" s="12">
        <f>'Raw Orders'!I830</f>
        <v/>
      </c>
      <c r="I830" s="13">
        <f>'Raw Orders'!K830</f>
        <v/>
      </c>
      <c r="J830" s="13">
        <f>IF('Raw Orders'!J830,"",(YEAR('Raw Orders'!I830)-YEAR('Raw Orders'!H830))*12+MONTH('Raw Orders'!I830)-MONTH('Raw Orders'!H830))</f>
        <v/>
      </c>
      <c r="K830">
        <f>IF('Raw Orders'!J830,"Cancelled",IF('Raw Orders'!K830&gt;=2,"Slipped","On plan"))</f>
        <v/>
      </c>
      <c r="L830" s="14">
        <f>IF(K830="On plan",0,F830)</f>
        <v/>
      </c>
    </row>
    <row r="831">
      <c r="A831">
        <f>'Raw Orders'!A831</f>
        <v/>
      </c>
      <c r="B831">
        <f>'Raw Orders'!B831</f>
        <v/>
      </c>
      <c r="C831">
        <f>'Raw Orders'!C831</f>
        <v/>
      </c>
      <c r="D831" s="13">
        <f>'Raw Orders'!E831</f>
        <v/>
      </c>
      <c r="E831" s="14">
        <f>'Raw Orders'!F831</f>
        <v/>
      </c>
      <c r="F831" s="14">
        <f>'Raw Orders'!F831*0.5</f>
        <v/>
      </c>
      <c r="G831" s="12">
        <f>'Raw Orders'!H831</f>
        <v/>
      </c>
      <c r="H831" s="12">
        <f>'Raw Orders'!I831</f>
        <v/>
      </c>
      <c r="I831" s="13">
        <f>'Raw Orders'!K831</f>
        <v/>
      </c>
      <c r="J831" s="13">
        <f>IF('Raw Orders'!J831,"",(YEAR('Raw Orders'!I831)-YEAR('Raw Orders'!H831))*12+MONTH('Raw Orders'!I831)-MONTH('Raw Orders'!H831))</f>
        <v/>
      </c>
      <c r="K831">
        <f>IF('Raw Orders'!J831,"Cancelled",IF('Raw Orders'!K831&gt;=2,"Slipped","On plan"))</f>
        <v/>
      </c>
      <c r="L831" s="14">
        <f>IF(K831="On plan",0,F831)</f>
        <v/>
      </c>
    </row>
    <row r="832">
      <c r="A832">
        <f>'Raw Orders'!A832</f>
        <v/>
      </c>
      <c r="B832">
        <f>'Raw Orders'!B832</f>
        <v/>
      </c>
      <c r="C832">
        <f>'Raw Orders'!C832</f>
        <v/>
      </c>
      <c r="D832" s="13">
        <f>'Raw Orders'!E832</f>
        <v/>
      </c>
      <c r="E832" s="14">
        <f>'Raw Orders'!F832</f>
        <v/>
      </c>
      <c r="F832" s="14">
        <f>'Raw Orders'!F832*0.5</f>
        <v/>
      </c>
      <c r="G832" s="12">
        <f>'Raw Orders'!H832</f>
        <v/>
      </c>
      <c r="H832" s="12">
        <f>'Raw Orders'!I832</f>
        <v/>
      </c>
      <c r="I832" s="13">
        <f>'Raw Orders'!K832</f>
        <v/>
      </c>
      <c r="J832" s="13">
        <f>IF('Raw Orders'!J832,"",(YEAR('Raw Orders'!I832)-YEAR('Raw Orders'!H832))*12+MONTH('Raw Orders'!I832)-MONTH('Raw Orders'!H832))</f>
        <v/>
      </c>
      <c r="K832">
        <f>IF('Raw Orders'!J832,"Cancelled",IF('Raw Orders'!K832&gt;=2,"Slipped","On plan"))</f>
        <v/>
      </c>
      <c r="L832" s="14">
        <f>IF(K832="On plan",0,F832)</f>
        <v/>
      </c>
    </row>
    <row r="833">
      <c r="A833">
        <f>'Raw Orders'!A833</f>
        <v/>
      </c>
      <c r="B833">
        <f>'Raw Orders'!B833</f>
        <v/>
      </c>
      <c r="C833">
        <f>'Raw Orders'!C833</f>
        <v/>
      </c>
      <c r="D833" s="13">
        <f>'Raw Orders'!E833</f>
        <v/>
      </c>
      <c r="E833" s="14">
        <f>'Raw Orders'!F833</f>
        <v/>
      </c>
      <c r="F833" s="14">
        <f>'Raw Orders'!F833*0.5</f>
        <v/>
      </c>
      <c r="G833" s="12">
        <f>'Raw Orders'!H833</f>
        <v/>
      </c>
      <c r="H833" s="12">
        <f>'Raw Orders'!I833</f>
        <v/>
      </c>
      <c r="I833" s="13">
        <f>'Raw Orders'!K833</f>
        <v/>
      </c>
      <c r="J833" s="13">
        <f>IF('Raw Orders'!J833,"",(YEAR('Raw Orders'!I833)-YEAR('Raw Orders'!H833))*12+MONTH('Raw Orders'!I833)-MONTH('Raw Orders'!H833))</f>
        <v/>
      </c>
      <c r="K833">
        <f>IF('Raw Orders'!J833,"Cancelled",IF('Raw Orders'!K833&gt;=2,"Slipped","On plan"))</f>
        <v/>
      </c>
      <c r="L833" s="14">
        <f>IF(K833="On plan",0,F833)</f>
        <v/>
      </c>
    </row>
    <row r="834">
      <c r="A834">
        <f>'Raw Orders'!A834</f>
        <v/>
      </c>
      <c r="B834">
        <f>'Raw Orders'!B834</f>
        <v/>
      </c>
      <c r="C834">
        <f>'Raw Orders'!C834</f>
        <v/>
      </c>
      <c r="D834" s="13">
        <f>'Raw Orders'!E834</f>
        <v/>
      </c>
      <c r="E834" s="14">
        <f>'Raw Orders'!F834</f>
        <v/>
      </c>
      <c r="F834" s="14">
        <f>'Raw Orders'!F834*0.5</f>
        <v/>
      </c>
      <c r="G834" s="12">
        <f>'Raw Orders'!H834</f>
        <v/>
      </c>
      <c r="H834" s="12">
        <f>'Raw Orders'!I834</f>
        <v/>
      </c>
      <c r="I834" s="13">
        <f>'Raw Orders'!K834</f>
        <v/>
      </c>
      <c r="J834" s="13">
        <f>IF('Raw Orders'!J834,"",(YEAR('Raw Orders'!I834)-YEAR('Raw Orders'!H834))*12+MONTH('Raw Orders'!I834)-MONTH('Raw Orders'!H834))</f>
        <v/>
      </c>
      <c r="K834">
        <f>IF('Raw Orders'!J834,"Cancelled",IF('Raw Orders'!K834&gt;=2,"Slipped","On plan"))</f>
        <v/>
      </c>
      <c r="L834" s="14">
        <f>IF(K834="On plan",0,F834)</f>
        <v/>
      </c>
    </row>
    <row r="835">
      <c r="A835">
        <f>'Raw Orders'!A835</f>
        <v/>
      </c>
      <c r="B835">
        <f>'Raw Orders'!B835</f>
        <v/>
      </c>
      <c r="C835">
        <f>'Raw Orders'!C835</f>
        <v/>
      </c>
      <c r="D835" s="13">
        <f>'Raw Orders'!E835</f>
        <v/>
      </c>
      <c r="E835" s="14">
        <f>'Raw Orders'!F835</f>
        <v/>
      </c>
      <c r="F835" s="14">
        <f>'Raw Orders'!F835*0.5</f>
        <v/>
      </c>
      <c r="G835" s="12">
        <f>'Raw Orders'!H835</f>
        <v/>
      </c>
      <c r="H835" s="12">
        <f>'Raw Orders'!I835</f>
        <v/>
      </c>
      <c r="I835" s="13">
        <f>'Raw Orders'!K835</f>
        <v/>
      </c>
      <c r="J835" s="13">
        <f>IF('Raw Orders'!J835,"",(YEAR('Raw Orders'!I835)-YEAR('Raw Orders'!H835))*12+MONTH('Raw Orders'!I835)-MONTH('Raw Orders'!H835))</f>
        <v/>
      </c>
      <c r="K835">
        <f>IF('Raw Orders'!J835,"Cancelled",IF('Raw Orders'!K835&gt;=2,"Slipped","On plan"))</f>
        <v/>
      </c>
      <c r="L835" s="14">
        <f>IF(K835="On plan",0,F835)</f>
        <v/>
      </c>
    </row>
    <row r="836">
      <c r="A836">
        <f>'Raw Orders'!A836</f>
        <v/>
      </c>
      <c r="B836">
        <f>'Raw Orders'!B836</f>
        <v/>
      </c>
      <c r="C836">
        <f>'Raw Orders'!C836</f>
        <v/>
      </c>
      <c r="D836" s="13">
        <f>'Raw Orders'!E836</f>
        <v/>
      </c>
      <c r="E836" s="14">
        <f>'Raw Orders'!F836</f>
        <v/>
      </c>
      <c r="F836" s="14">
        <f>'Raw Orders'!F836*0.5</f>
        <v/>
      </c>
      <c r="G836" s="12">
        <f>'Raw Orders'!H836</f>
        <v/>
      </c>
      <c r="H836" s="12">
        <f>'Raw Orders'!I836</f>
        <v/>
      </c>
      <c r="I836" s="13">
        <f>'Raw Orders'!K836</f>
        <v/>
      </c>
      <c r="J836" s="13">
        <f>IF('Raw Orders'!J836,"",(YEAR('Raw Orders'!I836)-YEAR('Raw Orders'!H836))*12+MONTH('Raw Orders'!I836)-MONTH('Raw Orders'!H836))</f>
        <v/>
      </c>
      <c r="K836">
        <f>IF('Raw Orders'!J836,"Cancelled",IF('Raw Orders'!K836&gt;=2,"Slipped","On plan"))</f>
        <v/>
      </c>
      <c r="L836" s="14">
        <f>IF(K836="On plan",0,F836)</f>
        <v/>
      </c>
    </row>
    <row r="837">
      <c r="A837">
        <f>'Raw Orders'!A837</f>
        <v/>
      </c>
      <c r="B837">
        <f>'Raw Orders'!B837</f>
        <v/>
      </c>
      <c r="C837">
        <f>'Raw Orders'!C837</f>
        <v/>
      </c>
      <c r="D837" s="13">
        <f>'Raw Orders'!E837</f>
        <v/>
      </c>
      <c r="E837" s="14">
        <f>'Raw Orders'!F837</f>
        <v/>
      </c>
      <c r="F837" s="14">
        <f>'Raw Orders'!F837*0.5</f>
        <v/>
      </c>
      <c r="G837" s="12">
        <f>'Raw Orders'!H837</f>
        <v/>
      </c>
      <c r="H837" s="12">
        <f>'Raw Orders'!I837</f>
        <v/>
      </c>
      <c r="I837" s="13">
        <f>'Raw Orders'!K837</f>
        <v/>
      </c>
      <c r="J837" s="13">
        <f>IF('Raw Orders'!J837,"",(YEAR('Raw Orders'!I837)-YEAR('Raw Orders'!H837))*12+MONTH('Raw Orders'!I837)-MONTH('Raw Orders'!H837))</f>
        <v/>
      </c>
      <c r="K837">
        <f>IF('Raw Orders'!J837,"Cancelled",IF('Raw Orders'!K837&gt;=2,"Slipped","On plan"))</f>
        <v/>
      </c>
      <c r="L837" s="14">
        <f>IF(K837="On plan",0,F837)</f>
        <v/>
      </c>
    </row>
    <row r="838">
      <c r="A838">
        <f>'Raw Orders'!A838</f>
        <v/>
      </c>
      <c r="B838">
        <f>'Raw Orders'!B838</f>
        <v/>
      </c>
      <c r="C838">
        <f>'Raw Orders'!C838</f>
        <v/>
      </c>
      <c r="D838" s="13">
        <f>'Raw Orders'!E838</f>
        <v/>
      </c>
      <c r="E838" s="14">
        <f>'Raw Orders'!F838</f>
        <v/>
      </c>
      <c r="F838" s="14">
        <f>'Raw Orders'!F838*0.5</f>
        <v/>
      </c>
      <c r="G838" s="12">
        <f>'Raw Orders'!H838</f>
        <v/>
      </c>
      <c r="H838" s="12">
        <f>'Raw Orders'!I838</f>
        <v/>
      </c>
      <c r="I838" s="13">
        <f>'Raw Orders'!K838</f>
        <v/>
      </c>
      <c r="J838" s="13">
        <f>IF('Raw Orders'!J838,"",(YEAR('Raw Orders'!I838)-YEAR('Raw Orders'!H838))*12+MONTH('Raw Orders'!I838)-MONTH('Raw Orders'!H838))</f>
        <v/>
      </c>
      <c r="K838">
        <f>IF('Raw Orders'!J838,"Cancelled",IF('Raw Orders'!K838&gt;=2,"Slipped","On plan"))</f>
        <v/>
      </c>
      <c r="L838" s="14">
        <f>IF(K838="On plan",0,F838)</f>
        <v/>
      </c>
    </row>
    <row r="839">
      <c r="A839">
        <f>'Raw Orders'!A839</f>
        <v/>
      </c>
      <c r="B839">
        <f>'Raw Orders'!B839</f>
        <v/>
      </c>
      <c r="C839">
        <f>'Raw Orders'!C839</f>
        <v/>
      </c>
      <c r="D839" s="13">
        <f>'Raw Orders'!E839</f>
        <v/>
      </c>
      <c r="E839" s="14">
        <f>'Raw Orders'!F839</f>
        <v/>
      </c>
      <c r="F839" s="14">
        <f>'Raw Orders'!F839*0.5</f>
        <v/>
      </c>
      <c r="G839" s="12">
        <f>'Raw Orders'!H839</f>
        <v/>
      </c>
      <c r="H839" s="12">
        <f>'Raw Orders'!I839</f>
        <v/>
      </c>
      <c r="I839" s="13">
        <f>'Raw Orders'!K839</f>
        <v/>
      </c>
      <c r="J839" s="13">
        <f>IF('Raw Orders'!J839,"",(YEAR('Raw Orders'!I839)-YEAR('Raw Orders'!H839))*12+MONTH('Raw Orders'!I839)-MONTH('Raw Orders'!H839))</f>
        <v/>
      </c>
      <c r="K839">
        <f>IF('Raw Orders'!J839,"Cancelled",IF('Raw Orders'!K839&gt;=2,"Slipped","On plan"))</f>
        <v/>
      </c>
      <c r="L839" s="14">
        <f>IF(K839="On plan",0,F839)</f>
        <v/>
      </c>
    </row>
    <row r="840">
      <c r="A840">
        <f>'Raw Orders'!A840</f>
        <v/>
      </c>
      <c r="B840">
        <f>'Raw Orders'!B840</f>
        <v/>
      </c>
      <c r="C840">
        <f>'Raw Orders'!C840</f>
        <v/>
      </c>
      <c r="D840" s="13">
        <f>'Raw Orders'!E840</f>
        <v/>
      </c>
      <c r="E840" s="14">
        <f>'Raw Orders'!F840</f>
        <v/>
      </c>
      <c r="F840" s="14">
        <f>'Raw Orders'!F840*0.5</f>
        <v/>
      </c>
      <c r="G840" s="12">
        <f>'Raw Orders'!H840</f>
        <v/>
      </c>
      <c r="H840" s="12">
        <f>'Raw Orders'!I840</f>
        <v/>
      </c>
      <c r="I840" s="13">
        <f>'Raw Orders'!K840</f>
        <v/>
      </c>
      <c r="J840" s="13">
        <f>IF('Raw Orders'!J840,"",(YEAR('Raw Orders'!I840)-YEAR('Raw Orders'!H840))*12+MONTH('Raw Orders'!I840)-MONTH('Raw Orders'!H840))</f>
        <v/>
      </c>
      <c r="K840">
        <f>IF('Raw Orders'!J840,"Cancelled",IF('Raw Orders'!K840&gt;=2,"Slipped","On plan"))</f>
        <v/>
      </c>
      <c r="L840" s="14">
        <f>IF(K840="On plan",0,F840)</f>
        <v/>
      </c>
    </row>
    <row r="841">
      <c r="A841">
        <f>'Raw Orders'!A841</f>
        <v/>
      </c>
      <c r="B841">
        <f>'Raw Orders'!B841</f>
        <v/>
      </c>
      <c r="C841">
        <f>'Raw Orders'!C841</f>
        <v/>
      </c>
      <c r="D841" s="13">
        <f>'Raw Orders'!E841</f>
        <v/>
      </c>
      <c r="E841" s="14">
        <f>'Raw Orders'!F841</f>
        <v/>
      </c>
      <c r="F841" s="14">
        <f>'Raw Orders'!F841*0.5</f>
        <v/>
      </c>
      <c r="G841" s="12">
        <f>'Raw Orders'!H841</f>
        <v/>
      </c>
      <c r="H841" s="12">
        <f>'Raw Orders'!I841</f>
        <v/>
      </c>
      <c r="I841" s="13">
        <f>'Raw Orders'!K841</f>
        <v/>
      </c>
      <c r="J841" s="13">
        <f>IF('Raw Orders'!J841,"",(YEAR('Raw Orders'!I841)-YEAR('Raw Orders'!H841))*12+MONTH('Raw Orders'!I841)-MONTH('Raw Orders'!H841))</f>
        <v/>
      </c>
      <c r="K841">
        <f>IF('Raw Orders'!J841,"Cancelled",IF('Raw Orders'!K841&gt;=2,"Slipped","On plan"))</f>
        <v/>
      </c>
      <c r="L841" s="14">
        <f>IF(K841="On plan",0,F841)</f>
        <v/>
      </c>
    </row>
    <row r="842">
      <c r="A842">
        <f>'Raw Orders'!A842</f>
        <v/>
      </c>
      <c r="B842">
        <f>'Raw Orders'!B842</f>
        <v/>
      </c>
      <c r="C842">
        <f>'Raw Orders'!C842</f>
        <v/>
      </c>
      <c r="D842" s="13">
        <f>'Raw Orders'!E842</f>
        <v/>
      </c>
      <c r="E842" s="14">
        <f>'Raw Orders'!F842</f>
        <v/>
      </c>
      <c r="F842" s="14">
        <f>'Raw Orders'!F842*0.5</f>
        <v/>
      </c>
      <c r="G842" s="12">
        <f>'Raw Orders'!H842</f>
        <v/>
      </c>
      <c r="H842" s="12">
        <f>'Raw Orders'!I842</f>
        <v/>
      </c>
      <c r="I842" s="13">
        <f>'Raw Orders'!K842</f>
        <v/>
      </c>
      <c r="J842" s="13">
        <f>IF('Raw Orders'!J842,"",(YEAR('Raw Orders'!I842)-YEAR('Raw Orders'!H842))*12+MONTH('Raw Orders'!I842)-MONTH('Raw Orders'!H842))</f>
        <v/>
      </c>
      <c r="K842">
        <f>IF('Raw Orders'!J842,"Cancelled",IF('Raw Orders'!K842&gt;=2,"Slipped","On plan"))</f>
        <v/>
      </c>
      <c r="L842" s="14">
        <f>IF(K842="On plan",0,F842)</f>
        <v/>
      </c>
    </row>
    <row r="843">
      <c r="A843">
        <f>'Raw Orders'!A843</f>
        <v/>
      </c>
      <c r="B843">
        <f>'Raw Orders'!B843</f>
        <v/>
      </c>
      <c r="C843">
        <f>'Raw Orders'!C843</f>
        <v/>
      </c>
      <c r="D843" s="13">
        <f>'Raw Orders'!E843</f>
        <v/>
      </c>
      <c r="E843" s="14">
        <f>'Raw Orders'!F843</f>
        <v/>
      </c>
      <c r="F843" s="14">
        <f>'Raw Orders'!F843*0.5</f>
        <v/>
      </c>
      <c r="G843" s="12">
        <f>'Raw Orders'!H843</f>
        <v/>
      </c>
      <c r="H843" s="12">
        <f>'Raw Orders'!I843</f>
        <v/>
      </c>
      <c r="I843" s="13">
        <f>'Raw Orders'!K843</f>
        <v/>
      </c>
      <c r="J843" s="13">
        <f>IF('Raw Orders'!J843,"",(YEAR('Raw Orders'!I843)-YEAR('Raw Orders'!H843))*12+MONTH('Raw Orders'!I843)-MONTH('Raw Orders'!H843))</f>
        <v/>
      </c>
      <c r="K843">
        <f>IF('Raw Orders'!J843,"Cancelled",IF('Raw Orders'!K843&gt;=2,"Slipped","On plan"))</f>
        <v/>
      </c>
      <c r="L843" s="14">
        <f>IF(K843="On plan",0,F843)</f>
        <v/>
      </c>
    </row>
    <row r="844">
      <c r="A844">
        <f>'Raw Orders'!A844</f>
        <v/>
      </c>
      <c r="B844">
        <f>'Raw Orders'!B844</f>
        <v/>
      </c>
      <c r="C844">
        <f>'Raw Orders'!C844</f>
        <v/>
      </c>
      <c r="D844" s="13">
        <f>'Raw Orders'!E844</f>
        <v/>
      </c>
      <c r="E844" s="14">
        <f>'Raw Orders'!F844</f>
        <v/>
      </c>
      <c r="F844" s="14">
        <f>'Raw Orders'!F844*0.5</f>
        <v/>
      </c>
      <c r="G844" s="12">
        <f>'Raw Orders'!H844</f>
        <v/>
      </c>
      <c r="H844" s="12">
        <f>'Raw Orders'!I844</f>
        <v/>
      </c>
      <c r="I844" s="13">
        <f>'Raw Orders'!K844</f>
        <v/>
      </c>
      <c r="J844" s="13">
        <f>IF('Raw Orders'!J844,"",(YEAR('Raw Orders'!I844)-YEAR('Raw Orders'!H844))*12+MONTH('Raw Orders'!I844)-MONTH('Raw Orders'!H844))</f>
        <v/>
      </c>
      <c r="K844">
        <f>IF('Raw Orders'!J844,"Cancelled",IF('Raw Orders'!K844&gt;=2,"Slipped","On plan"))</f>
        <v/>
      </c>
      <c r="L844" s="14">
        <f>IF(K844="On plan",0,F844)</f>
        <v/>
      </c>
    </row>
    <row r="845">
      <c r="A845">
        <f>'Raw Orders'!A845</f>
        <v/>
      </c>
      <c r="B845">
        <f>'Raw Orders'!B845</f>
        <v/>
      </c>
      <c r="C845">
        <f>'Raw Orders'!C845</f>
        <v/>
      </c>
      <c r="D845" s="13">
        <f>'Raw Orders'!E845</f>
        <v/>
      </c>
      <c r="E845" s="14">
        <f>'Raw Orders'!F845</f>
        <v/>
      </c>
      <c r="F845" s="14">
        <f>'Raw Orders'!F845*0.5</f>
        <v/>
      </c>
      <c r="G845" s="12">
        <f>'Raw Orders'!H845</f>
        <v/>
      </c>
      <c r="H845" s="12">
        <f>'Raw Orders'!I845</f>
        <v/>
      </c>
      <c r="I845" s="13">
        <f>'Raw Orders'!K845</f>
        <v/>
      </c>
      <c r="J845" s="13">
        <f>IF('Raw Orders'!J845,"",(YEAR('Raw Orders'!I845)-YEAR('Raw Orders'!H845))*12+MONTH('Raw Orders'!I845)-MONTH('Raw Orders'!H845))</f>
        <v/>
      </c>
      <c r="K845">
        <f>IF('Raw Orders'!J845,"Cancelled",IF('Raw Orders'!K845&gt;=2,"Slipped","On plan"))</f>
        <v/>
      </c>
      <c r="L845" s="14">
        <f>IF(K845="On plan",0,F845)</f>
        <v/>
      </c>
    </row>
    <row r="846">
      <c r="A846">
        <f>'Raw Orders'!A846</f>
        <v/>
      </c>
      <c r="B846">
        <f>'Raw Orders'!B846</f>
        <v/>
      </c>
      <c r="C846">
        <f>'Raw Orders'!C846</f>
        <v/>
      </c>
      <c r="D846" s="13">
        <f>'Raw Orders'!E846</f>
        <v/>
      </c>
      <c r="E846" s="14">
        <f>'Raw Orders'!F846</f>
        <v/>
      </c>
      <c r="F846" s="14">
        <f>'Raw Orders'!F846*0.5</f>
        <v/>
      </c>
      <c r="G846" s="12">
        <f>'Raw Orders'!H846</f>
        <v/>
      </c>
      <c r="H846" s="12">
        <f>'Raw Orders'!I846</f>
        <v/>
      </c>
      <c r="I846" s="13">
        <f>'Raw Orders'!K846</f>
        <v/>
      </c>
      <c r="J846" s="13">
        <f>IF('Raw Orders'!J846,"",(YEAR('Raw Orders'!I846)-YEAR('Raw Orders'!H846))*12+MONTH('Raw Orders'!I846)-MONTH('Raw Orders'!H846))</f>
        <v/>
      </c>
      <c r="K846">
        <f>IF('Raw Orders'!J846,"Cancelled",IF('Raw Orders'!K846&gt;=2,"Slipped","On plan"))</f>
        <v/>
      </c>
      <c r="L846" s="14">
        <f>IF(K846="On plan",0,F846)</f>
        <v/>
      </c>
    </row>
    <row r="847">
      <c r="A847">
        <f>'Raw Orders'!A847</f>
        <v/>
      </c>
      <c r="B847">
        <f>'Raw Orders'!B847</f>
        <v/>
      </c>
      <c r="C847">
        <f>'Raw Orders'!C847</f>
        <v/>
      </c>
      <c r="D847" s="13">
        <f>'Raw Orders'!E847</f>
        <v/>
      </c>
      <c r="E847" s="14">
        <f>'Raw Orders'!F847</f>
        <v/>
      </c>
      <c r="F847" s="14">
        <f>'Raw Orders'!F847*0.5</f>
        <v/>
      </c>
      <c r="G847" s="12">
        <f>'Raw Orders'!H847</f>
        <v/>
      </c>
      <c r="H847" s="12">
        <f>'Raw Orders'!I847</f>
        <v/>
      </c>
      <c r="I847" s="13">
        <f>'Raw Orders'!K847</f>
        <v/>
      </c>
      <c r="J847" s="13">
        <f>IF('Raw Orders'!J847,"",(YEAR('Raw Orders'!I847)-YEAR('Raw Orders'!H847))*12+MONTH('Raw Orders'!I847)-MONTH('Raw Orders'!H847))</f>
        <v/>
      </c>
      <c r="K847">
        <f>IF('Raw Orders'!J847,"Cancelled",IF('Raw Orders'!K847&gt;=2,"Slipped","On plan"))</f>
        <v/>
      </c>
      <c r="L847" s="14">
        <f>IF(K847="On plan",0,F847)</f>
        <v/>
      </c>
    </row>
    <row r="848">
      <c r="A848">
        <f>'Raw Orders'!A848</f>
        <v/>
      </c>
      <c r="B848">
        <f>'Raw Orders'!B848</f>
        <v/>
      </c>
      <c r="C848">
        <f>'Raw Orders'!C848</f>
        <v/>
      </c>
      <c r="D848" s="13">
        <f>'Raw Orders'!E848</f>
        <v/>
      </c>
      <c r="E848" s="14">
        <f>'Raw Orders'!F848</f>
        <v/>
      </c>
      <c r="F848" s="14">
        <f>'Raw Orders'!F848*0.5</f>
        <v/>
      </c>
      <c r="G848" s="12">
        <f>'Raw Orders'!H848</f>
        <v/>
      </c>
      <c r="H848" s="12">
        <f>'Raw Orders'!I848</f>
        <v/>
      </c>
      <c r="I848" s="13">
        <f>'Raw Orders'!K848</f>
        <v/>
      </c>
      <c r="J848" s="13">
        <f>IF('Raw Orders'!J848,"",(YEAR('Raw Orders'!I848)-YEAR('Raw Orders'!H848))*12+MONTH('Raw Orders'!I848)-MONTH('Raw Orders'!H848))</f>
        <v/>
      </c>
      <c r="K848">
        <f>IF('Raw Orders'!J848,"Cancelled",IF('Raw Orders'!K848&gt;=2,"Slipped","On plan"))</f>
        <v/>
      </c>
      <c r="L848" s="14">
        <f>IF(K848="On plan",0,F848)</f>
        <v/>
      </c>
    </row>
    <row r="849">
      <c r="A849">
        <f>'Raw Orders'!A849</f>
        <v/>
      </c>
      <c r="B849">
        <f>'Raw Orders'!B849</f>
        <v/>
      </c>
      <c r="C849">
        <f>'Raw Orders'!C849</f>
        <v/>
      </c>
      <c r="D849" s="13">
        <f>'Raw Orders'!E849</f>
        <v/>
      </c>
      <c r="E849" s="14">
        <f>'Raw Orders'!F849</f>
        <v/>
      </c>
      <c r="F849" s="14">
        <f>'Raw Orders'!F849*0.5</f>
        <v/>
      </c>
      <c r="G849" s="12">
        <f>'Raw Orders'!H849</f>
        <v/>
      </c>
      <c r="H849" s="12">
        <f>'Raw Orders'!I849</f>
        <v/>
      </c>
      <c r="I849" s="13">
        <f>'Raw Orders'!K849</f>
        <v/>
      </c>
      <c r="J849" s="13">
        <f>IF('Raw Orders'!J849,"",(YEAR('Raw Orders'!I849)-YEAR('Raw Orders'!H849))*12+MONTH('Raw Orders'!I849)-MONTH('Raw Orders'!H849))</f>
        <v/>
      </c>
      <c r="K849">
        <f>IF('Raw Orders'!J849,"Cancelled",IF('Raw Orders'!K849&gt;=2,"Slipped","On plan"))</f>
        <v/>
      </c>
      <c r="L849" s="14">
        <f>IF(K849="On plan",0,F849)</f>
        <v/>
      </c>
    </row>
    <row r="850">
      <c r="A850">
        <f>'Raw Orders'!A850</f>
        <v/>
      </c>
      <c r="B850">
        <f>'Raw Orders'!B850</f>
        <v/>
      </c>
      <c r="C850">
        <f>'Raw Orders'!C850</f>
        <v/>
      </c>
      <c r="D850" s="13">
        <f>'Raw Orders'!E850</f>
        <v/>
      </c>
      <c r="E850" s="14">
        <f>'Raw Orders'!F850</f>
        <v/>
      </c>
      <c r="F850" s="14">
        <f>'Raw Orders'!F850*0.5</f>
        <v/>
      </c>
      <c r="G850" s="12">
        <f>'Raw Orders'!H850</f>
        <v/>
      </c>
      <c r="H850" s="12">
        <f>'Raw Orders'!I850</f>
        <v/>
      </c>
      <c r="I850" s="13">
        <f>'Raw Orders'!K850</f>
        <v/>
      </c>
      <c r="J850" s="13">
        <f>IF('Raw Orders'!J850,"",(YEAR('Raw Orders'!I850)-YEAR('Raw Orders'!H850))*12+MONTH('Raw Orders'!I850)-MONTH('Raw Orders'!H850))</f>
        <v/>
      </c>
      <c r="K850">
        <f>IF('Raw Orders'!J850,"Cancelled",IF('Raw Orders'!K850&gt;=2,"Slipped","On plan"))</f>
        <v/>
      </c>
      <c r="L850" s="14">
        <f>IF(K850="On plan",0,F850)</f>
        <v/>
      </c>
    </row>
    <row r="851">
      <c r="A851">
        <f>'Raw Orders'!A851</f>
        <v/>
      </c>
      <c r="B851">
        <f>'Raw Orders'!B851</f>
        <v/>
      </c>
      <c r="C851">
        <f>'Raw Orders'!C851</f>
        <v/>
      </c>
      <c r="D851" s="13">
        <f>'Raw Orders'!E851</f>
        <v/>
      </c>
      <c r="E851" s="14">
        <f>'Raw Orders'!F851</f>
        <v/>
      </c>
      <c r="F851" s="14">
        <f>'Raw Orders'!F851*0.5</f>
        <v/>
      </c>
      <c r="G851" s="12">
        <f>'Raw Orders'!H851</f>
        <v/>
      </c>
      <c r="H851" s="12">
        <f>'Raw Orders'!I851</f>
        <v/>
      </c>
      <c r="I851" s="13">
        <f>'Raw Orders'!K851</f>
        <v/>
      </c>
      <c r="J851" s="13">
        <f>IF('Raw Orders'!J851,"",(YEAR('Raw Orders'!I851)-YEAR('Raw Orders'!H851))*12+MONTH('Raw Orders'!I851)-MONTH('Raw Orders'!H851))</f>
        <v/>
      </c>
      <c r="K851">
        <f>IF('Raw Orders'!J851,"Cancelled",IF('Raw Orders'!K851&gt;=2,"Slipped","On plan"))</f>
        <v/>
      </c>
      <c r="L851" s="14">
        <f>IF(K851="On plan",0,F851)</f>
        <v/>
      </c>
    </row>
    <row r="852">
      <c r="A852">
        <f>'Raw Orders'!A852</f>
        <v/>
      </c>
      <c r="B852">
        <f>'Raw Orders'!B852</f>
        <v/>
      </c>
      <c r="C852">
        <f>'Raw Orders'!C852</f>
        <v/>
      </c>
      <c r="D852" s="13">
        <f>'Raw Orders'!E852</f>
        <v/>
      </c>
      <c r="E852" s="14">
        <f>'Raw Orders'!F852</f>
        <v/>
      </c>
      <c r="F852" s="14">
        <f>'Raw Orders'!F852*0.5</f>
        <v/>
      </c>
      <c r="G852" s="12">
        <f>'Raw Orders'!H852</f>
        <v/>
      </c>
      <c r="H852" s="12">
        <f>'Raw Orders'!I852</f>
        <v/>
      </c>
      <c r="I852" s="13">
        <f>'Raw Orders'!K852</f>
        <v/>
      </c>
      <c r="J852" s="13">
        <f>IF('Raw Orders'!J852,"",(YEAR('Raw Orders'!I852)-YEAR('Raw Orders'!H852))*12+MONTH('Raw Orders'!I852)-MONTH('Raw Orders'!H852))</f>
        <v/>
      </c>
      <c r="K852">
        <f>IF('Raw Orders'!J852,"Cancelled",IF('Raw Orders'!K852&gt;=2,"Slipped","On plan"))</f>
        <v/>
      </c>
      <c r="L852" s="14">
        <f>IF(K852="On plan",0,F852)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0"/>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13" customWidth="1" min="3" max="3"/>
    <col width="12" customWidth="1" min="4" max="4"/>
    <col width="16" customWidth="1" min="5" max="5"/>
    <col width="17" customWidth="1" min="6" max="6"/>
    <col width="15" customWidth="1" min="7" max="7"/>
    <col width="12" customWidth="1" min="8" max="8"/>
    <col width="19" customWidth="1" min="9" max="9"/>
  </cols>
  <sheetData>
    <row r="1">
      <c r="A1" s="1" t="inlineStr">
        <is>
          <t>Monthly aggregates by region</t>
        </is>
      </c>
    </row>
    <row r="4" ht="30" customHeight="1">
      <c r="A4" s="3" t="inlineStr">
        <is>
          <t>region</t>
        </is>
      </c>
      <c r="B4" s="3" t="inlineStr">
        <is>
          <t>month</t>
        </is>
      </c>
      <c r="C4" s="3" t="inlineStr">
        <is>
          <t>orders booked</t>
        </is>
      </c>
      <c r="D4" s="3" t="inlineStr">
        <is>
          <t>MW booked</t>
        </is>
      </c>
      <c r="E4" s="3" t="inlineStr">
        <is>
          <t>value booked ($)</t>
        </is>
      </c>
      <c r="F4" s="3" t="inlineStr">
        <is>
          <t>value converted ($)</t>
        </is>
      </c>
      <c r="G4" s="3" t="inlineStr">
        <is>
          <t>backlog ($)</t>
        </is>
      </c>
      <c r="H4" s="3" t="inlineStr">
        <is>
          <t>book-to-bill</t>
        </is>
      </c>
      <c r="I4" s="3" t="inlineStr">
        <is>
          <t>material vs backlog ($)</t>
        </is>
      </c>
    </row>
    <row r="5">
      <c r="A5" s="5" t="inlineStr">
        <is>
          <t>North America</t>
        </is>
      </c>
      <c r="B5" s="16" t="n">
        <v>45292</v>
      </c>
      <c r="C5" s="17">
        <f>COUNTIFS('Raw Orders'!$B$5:$B$852,$A5,'Raw Orders'!$D$5:$D$852,$B5)</f>
        <v/>
      </c>
      <c r="D5" s="17">
        <f>SUMIFS('Raw Orders'!$E$5:$E$852,'Raw Orders'!$B$5:$B$852,$A5,'Raw Orders'!$D$5:$D$852,$B5)</f>
        <v/>
      </c>
      <c r="E5" s="17">
        <f>SUMIFS('Raw Orders'!$F$5:$F$852,'Raw Orders'!$B$5:$B$852,$A5,'Raw Orders'!$D$5:$D$852,$B5)</f>
        <v/>
      </c>
      <c r="F5" s="17">
        <f>SUMIFS('Raw Orders'!$F$5:$F$852,'Raw Orders'!$B$5:$B$852,$A5,'Raw Orders'!$I$5:$I$852,$B5,'Raw Orders'!$J$5:$J$852,FALSE)</f>
        <v/>
      </c>
      <c r="G5" s="17">
        <f>SUMIFS('Raw Orders'!$F$5:$F$852,'Raw Orders'!$B$5:$B$852,$A5,'Raw Orders'!$D$5:$D$852,"&lt;="&amp;$B5,'Raw Orders'!$J$5:$J$852,FALSE)-SUMIFS('Raw Orders'!$F$5:$F$852,'Raw Orders'!$B$5:$B$852,$A5,'Raw Orders'!$I$5:$I$852,"&lt;="&amp;$B5,'Raw Orders'!$J$5:$J$852,FALSE)</f>
        <v/>
      </c>
      <c r="H5" s="18">
        <f>IF(F5=0,"",E5/F5)</f>
        <v/>
      </c>
      <c r="I5" s="17">
        <f>G5*0.5</f>
        <v/>
      </c>
    </row>
    <row r="6">
      <c r="A6" s="5" t="inlineStr">
        <is>
          <t>North America</t>
        </is>
      </c>
      <c r="B6" s="16" t="n">
        <v>45323</v>
      </c>
      <c r="C6" s="17">
        <f>COUNTIFS('Raw Orders'!$B$5:$B$852,$A6,'Raw Orders'!$D$5:$D$852,$B6)</f>
        <v/>
      </c>
      <c r="D6" s="17">
        <f>SUMIFS('Raw Orders'!$E$5:$E$852,'Raw Orders'!$B$5:$B$852,$A6,'Raw Orders'!$D$5:$D$852,$B6)</f>
        <v/>
      </c>
      <c r="E6" s="17">
        <f>SUMIFS('Raw Orders'!$F$5:$F$852,'Raw Orders'!$B$5:$B$852,$A6,'Raw Orders'!$D$5:$D$852,$B6)</f>
        <v/>
      </c>
      <c r="F6" s="17">
        <f>SUMIFS('Raw Orders'!$F$5:$F$852,'Raw Orders'!$B$5:$B$852,$A6,'Raw Orders'!$I$5:$I$852,$B6,'Raw Orders'!$J$5:$J$852,FALSE)</f>
        <v/>
      </c>
      <c r="G6" s="17">
        <f>SUMIFS('Raw Orders'!$F$5:$F$852,'Raw Orders'!$B$5:$B$852,$A6,'Raw Orders'!$D$5:$D$852,"&lt;="&amp;$B6,'Raw Orders'!$J$5:$J$852,FALSE)-SUMIFS('Raw Orders'!$F$5:$F$852,'Raw Orders'!$B$5:$B$852,$A6,'Raw Orders'!$I$5:$I$852,"&lt;="&amp;$B6,'Raw Orders'!$J$5:$J$852,FALSE)</f>
        <v/>
      </c>
      <c r="H6" s="18">
        <f>IF(F6=0,"",E6/F6)</f>
        <v/>
      </c>
      <c r="I6" s="17">
        <f>G6*0.5</f>
        <v/>
      </c>
    </row>
    <row r="7">
      <c r="A7" s="5" t="inlineStr">
        <is>
          <t>North America</t>
        </is>
      </c>
      <c r="B7" s="16" t="n">
        <v>45352</v>
      </c>
      <c r="C7" s="17">
        <f>COUNTIFS('Raw Orders'!$B$5:$B$852,$A7,'Raw Orders'!$D$5:$D$852,$B7)</f>
        <v/>
      </c>
      <c r="D7" s="17">
        <f>SUMIFS('Raw Orders'!$E$5:$E$852,'Raw Orders'!$B$5:$B$852,$A7,'Raw Orders'!$D$5:$D$852,$B7)</f>
        <v/>
      </c>
      <c r="E7" s="17">
        <f>SUMIFS('Raw Orders'!$F$5:$F$852,'Raw Orders'!$B$5:$B$852,$A7,'Raw Orders'!$D$5:$D$852,$B7)</f>
        <v/>
      </c>
      <c r="F7" s="17">
        <f>SUMIFS('Raw Orders'!$F$5:$F$852,'Raw Orders'!$B$5:$B$852,$A7,'Raw Orders'!$I$5:$I$852,$B7,'Raw Orders'!$J$5:$J$852,FALSE)</f>
        <v/>
      </c>
      <c r="G7" s="17">
        <f>SUMIFS('Raw Orders'!$F$5:$F$852,'Raw Orders'!$B$5:$B$852,$A7,'Raw Orders'!$D$5:$D$852,"&lt;="&amp;$B7,'Raw Orders'!$J$5:$J$852,FALSE)-SUMIFS('Raw Orders'!$F$5:$F$852,'Raw Orders'!$B$5:$B$852,$A7,'Raw Orders'!$I$5:$I$852,"&lt;="&amp;$B7,'Raw Orders'!$J$5:$J$852,FALSE)</f>
        <v/>
      </c>
      <c r="H7" s="18">
        <f>IF(F7=0,"",E7/F7)</f>
        <v/>
      </c>
      <c r="I7" s="17">
        <f>G7*0.5</f>
        <v/>
      </c>
    </row>
    <row r="8">
      <c r="A8" s="5" t="inlineStr">
        <is>
          <t>North America</t>
        </is>
      </c>
      <c r="B8" s="16" t="n">
        <v>45383</v>
      </c>
      <c r="C8" s="17">
        <f>COUNTIFS('Raw Orders'!$B$5:$B$852,$A8,'Raw Orders'!$D$5:$D$852,$B8)</f>
        <v/>
      </c>
      <c r="D8" s="17">
        <f>SUMIFS('Raw Orders'!$E$5:$E$852,'Raw Orders'!$B$5:$B$852,$A8,'Raw Orders'!$D$5:$D$852,$B8)</f>
        <v/>
      </c>
      <c r="E8" s="17">
        <f>SUMIFS('Raw Orders'!$F$5:$F$852,'Raw Orders'!$B$5:$B$852,$A8,'Raw Orders'!$D$5:$D$852,$B8)</f>
        <v/>
      </c>
      <c r="F8" s="17">
        <f>SUMIFS('Raw Orders'!$F$5:$F$852,'Raw Orders'!$B$5:$B$852,$A8,'Raw Orders'!$I$5:$I$852,$B8,'Raw Orders'!$J$5:$J$852,FALSE)</f>
        <v/>
      </c>
      <c r="G8" s="17">
        <f>SUMIFS('Raw Orders'!$F$5:$F$852,'Raw Orders'!$B$5:$B$852,$A8,'Raw Orders'!$D$5:$D$852,"&lt;="&amp;$B8,'Raw Orders'!$J$5:$J$852,FALSE)-SUMIFS('Raw Orders'!$F$5:$F$852,'Raw Orders'!$B$5:$B$852,$A8,'Raw Orders'!$I$5:$I$852,"&lt;="&amp;$B8,'Raw Orders'!$J$5:$J$852,FALSE)</f>
        <v/>
      </c>
      <c r="H8" s="18">
        <f>IF(F8=0,"",E8/F8)</f>
        <v/>
      </c>
      <c r="I8" s="17">
        <f>G8*0.5</f>
        <v/>
      </c>
    </row>
    <row r="9">
      <c r="A9" s="5" t="inlineStr">
        <is>
          <t>North America</t>
        </is>
      </c>
      <c r="B9" s="16" t="n">
        <v>45413</v>
      </c>
      <c r="C9" s="17">
        <f>COUNTIFS('Raw Orders'!$B$5:$B$852,$A9,'Raw Orders'!$D$5:$D$852,$B9)</f>
        <v/>
      </c>
      <c r="D9" s="17">
        <f>SUMIFS('Raw Orders'!$E$5:$E$852,'Raw Orders'!$B$5:$B$852,$A9,'Raw Orders'!$D$5:$D$852,$B9)</f>
        <v/>
      </c>
      <c r="E9" s="17">
        <f>SUMIFS('Raw Orders'!$F$5:$F$852,'Raw Orders'!$B$5:$B$852,$A9,'Raw Orders'!$D$5:$D$852,$B9)</f>
        <v/>
      </c>
      <c r="F9" s="17">
        <f>SUMIFS('Raw Orders'!$F$5:$F$852,'Raw Orders'!$B$5:$B$852,$A9,'Raw Orders'!$I$5:$I$852,$B9,'Raw Orders'!$J$5:$J$852,FALSE)</f>
        <v/>
      </c>
      <c r="G9" s="17">
        <f>SUMIFS('Raw Orders'!$F$5:$F$852,'Raw Orders'!$B$5:$B$852,$A9,'Raw Orders'!$D$5:$D$852,"&lt;="&amp;$B9,'Raw Orders'!$J$5:$J$852,FALSE)-SUMIFS('Raw Orders'!$F$5:$F$852,'Raw Orders'!$B$5:$B$852,$A9,'Raw Orders'!$I$5:$I$852,"&lt;="&amp;$B9,'Raw Orders'!$J$5:$J$852,FALSE)</f>
        <v/>
      </c>
      <c r="H9" s="18">
        <f>IF(F9=0,"",E9/F9)</f>
        <v/>
      </c>
      <c r="I9" s="17">
        <f>G9*0.5</f>
        <v/>
      </c>
    </row>
    <row r="10">
      <c r="A10" s="5" t="inlineStr">
        <is>
          <t>North America</t>
        </is>
      </c>
      <c r="B10" s="16" t="n">
        <v>45444</v>
      </c>
      <c r="C10" s="17">
        <f>COUNTIFS('Raw Orders'!$B$5:$B$852,$A10,'Raw Orders'!$D$5:$D$852,$B10)</f>
        <v/>
      </c>
      <c r="D10" s="17">
        <f>SUMIFS('Raw Orders'!$E$5:$E$852,'Raw Orders'!$B$5:$B$852,$A10,'Raw Orders'!$D$5:$D$852,$B10)</f>
        <v/>
      </c>
      <c r="E10" s="17">
        <f>SUMIFS('Raw Orders'!$F$5:$F$852,'Raw Orders'!$B$5:$B$852,$A10,'Raw Orders'!$D$5:$D$852,$B10)</f>
        <v/>
      </c>
      <c r="F10" s="17">
        <f>SUMIFS('Raw Orders'!$F$5:$F$852,'Raw Orders'!$B$5:$B$852,$A10,'Raw Orders'!$I$5:$I$852,$B10,'Raw Orders'!$J$5:$J$852,FALSE)</f>
        <v/>
      </c>
      <c r="G10" s="17">
        <f>SUMIFS('Raw Orders'!$F$5:$F$852,'Raw Orders'!$B$5:$B$852,$A10,'Raw Orders'!$D$5:$D$852,"&lt;="&amp;$B10,'Raw Orders'!$J$5:$J$852,FALSE)-SUMIFS('Raw Orders'!$F$5:$F$852,'Raw Orders'!$B$5:$B$852,$A10,'Raw Orders'!$I$5:$I$852,"&lt;="&amp;$B10,'Raw Orders'!$J$5:$J$852,FALSE)</f>
        <v/>
      </c>
      <c r="H10" s="18">
        <f>IF(F10=0,"",E10/F10)</f>
        <v/>
      </c>
      <c r="I10" s="17">
        <f>G10*0.5</f>
        <v/>
      </c>
    </row>
    <row r="11">
      <c r="A11" s="5" t="inlineStr">
        <is>
          <t>North America</t>
        </is>
      </c>
      <c r="B11" s="16" t="n">
        <v>45474</v>
      </c>
      <c r="C11" s="17">
        <f>COUNTIFS('Raw Orders'!$B$5:$B$852,$A11,'Raw Orders'!$D$5:$D$852,$B11)</f>
        <v/>
      </c>
      <c r="D11" s="17">
        <f>SUMIFS('Raw Orders'!$E$5:$E$852,'Raw Orders'!$B$5:$B$852,$A11,'Raw Orders'!$D$5:$D$852,$B11)</f>
        <v/>
      </c>
      <c r="E11" s="17">
        <f>SUMIFS('Raw Orders'!$F$5:$F$852,'Raw Orders'!$B$5:$B$852,$A11,'Raw Orders'!$D$5:$D$852,$B11)</f>
        <v/>
      </c>
      <c r="F11" s="17">
        <f>SUMIFS('Raw Orders'!$F$5:$F$852,'Raw Orders'!$B$5:$B$852,$A11,'Raw Orders'!$I$5:$I$852,$B11,'Raw Orders'!$J$5:$J$852,FALSE)</f>
        <v/>
      </c>
      <c r="G11" s="17">
        <f>SUMIFS('Raw Orders'!$F$5:$F$852,'Raw Orders'!$B$5:$B$852,$A11,'Raw Orders'!$D$5:$D$852,"&lt;="&amp;$B11,'Raw Orders'!$J$5:$J$852,FALSE)-SUMIFS('Raw Orders'!$F$5:$F$852,'Raw Orders'!$B$5:$B$852,$A11,'Raw Orders'!$I$5:$I$852,"&lt;="&amp;$B11,'Raw Orders'!$J$5:$J$852,FALSE)</f>
        <v/>
      </c>
      <c r="H11" s="18">
        <f>IF(F11=0,"",E11/F11)</f>
        <v/>
      </c>
      <c r="I11" s="17">
        <f>G11*0.5</f>
        <v/>
      </c>
    </row>
    <row r="12">
      <c r="A12" s="5" t="inlineStr">
        <is>
          <t>North America</t>
        </is>
      </c>
      <c r="B12" s="16" t="n">
        <v>45505</v>
      </c>
      <c r="C12" s="17">
        <f>COUNTIFS('Raw Orders'!$B$5:$B$852,$A12,'Raw Orders'!$D$5:$D$852,$B12)</f>
        <v/>
      </c>
      <c r="D12" s="17">
        <f>SUMIFS('Raw Orders'!$E$5:$E$852,'Raw Orders'!$B$5:$B$852,$A12,'Raw Orders'!$D$5:$D$852,$B12)</f>
        <v/>
      </c>
      <c r="E12" s="17">
        <f>SUMIFS('Raw Orders'!$F$5:$F$852,'Raw Orders'!$B$5:$B$852,$A12,'Raw Orders'!$D$5:$D$852,$B12)</f>
        <v/>
      </c>
      <c r="F12" s="17">
        <f>SUMIFS('Raw Orders'!$F$5:$F$852,'Raw Orders'!$B$5:$B$852,$A12,'Raw Orders'!$I$5:$I$852,$B12,'Raw Orders'!$J$5:$J$852,FALSE)</f>
        <v/>
      </c>
      <c r="G12" s="17">
        <f>SUMIFS('Raw Orders'!$F$5:$F$852,'Raw Orders'!$B$5:$B$852,$A12,'Raw Orders'!$D$5:$D$852,"&lt;="&amp;$B12,'Raw Orders'!$J$5:$J$852,FALSE)-SUMIFS('Raw Orders'!$F$5:$F$852,'Raw Orders'!$B$5:$B$852,$A12,'Raw Orders'!$I$5:$I$852,"&lt;="&amp;$B12,'Raw Orders'!$J$5:$J$852,FALSE)</f>
        <v/>
      </c>
      <c r="H12" s="18">
        <f>IF(F12=0,"",E12/F12)</f>
        <v/>
      </c>
      <c r="I12" s="17">
        <f>G12*0.5</f>
        <v/>
      </c>
    </row>
    <row r="13">
      <c r="A13" s="5" t="inlineStr">
        <is>
          <t>North America</t>
        </is>
      </c>
      <c r="B13" s="16" t="n">
        <v>45536</v>
      </c>
      <c r="C13" s="17">
        <f>COUNTIFS('Raw Orders'!$B$5:$B$852,$A13,'Raw Orders'!$D$5:$D$852,$B13)</f>
        <v/>
      </c>
      <c r="D13" s="17">
        <f>SUMIFS('Raw Orders'!$E$5:$E$852,'Raw Orders'!$B$5:$B$852,$A13,'Raw Orders'!$D$5:$D$852,$B13)</f>
        <v/>
      </c>
      <c r="E13" s="17">
        <f>SUMIFS('Raw Orders'!$F$5:$F$852,'Raw Orders'!$B$5:$B$852,$A13,'Raw Orders'!$D$5:$D$852,$B13)</f>
        <v/>
      </c>
      <c r="F13" s="17">
        <f>SUMIFS('Raw Orders'!$F$5:$F$852,'Raw Orders'!$B$5:$B$852,$A13,'Raw Orders'!$I$5:$I$852,$B13,'Raw Orders'!$J$5:$J$852,FALSE)</f>
        <v/>
      </c>
      <c r="G13" s="17">
        <f>SUMIFS('Raw Orders'!$F$5:$F$852,'Raw Orders'!$B$5:$B$852,$A13,'Raw Orders'!$D$5:$D$852,"&lt;="&amp;$B13,'Raw Orders'!$J$5:$J$852,FALSE)-SUMIFS('Raw Orders'!$F$5:$F$852,'Raw Orders'!$B$5:$B$852,$A13,'Raw Orders'!$I$5:$I$852,"&lt;="&amp;$B13,'Raw Orders'!$J$5:$J$852,FALSE)</f>
        <v/>
      </c>
      <c r="H13" s="18">
        <f>IF(F13=0,"",E13/F13)</f>
        <v/>
      </c>
      <c r="I13" s="17">
        <f>G13*0.5</f>
        <v/>
      </c>
    </row>
    <row r="14">
      <c r="A14" s="5" t="inlineStr">
        <is>
          <t>North America</t>
        </is>
      </c>
      <c r="B14" s="16" t="n">
        <v>45566</v>
      </c>
      <c r="C14" s="17">
        <f>COUNTIFS('Raw Orders'!$B$5:$B$852,$A14,'Raw Orders'!$D$5:$D$852,$B14)</f>
        <v/>
      </c>
      <c r="D14" s="17">
        <f>SUMIFS('Raw Orders'!$E$5:$E$852,'Raw Orders'!$B$5:$B$852,$A14,'Raw Orders'!$D$5:$D$852,$B14)</f>
        <v/>
      </c>
      <c r="E14" s="17">
        <f>SUMIFS('Raw Orders'!$F$5:$F$852,'Raw Orders'!$B$5:$B$852,$A14,'Raw Orders'!$D$5:$D$852,$B14)</f>
        <v/>
      </c>
      <c r="F14" s="17">
        <f>SUMIFS('Raw Orders'!$F$5:$F$852,'Raw Orders'!$B$5:$B$852,$A14,'Raw Orders'!$I$5:$I$852,$B14,'Raw Orders'!$J$5:$J$852,FALSE)</f>
        <v/>
      </c>
      <c r="G14" s="17">
        <f>SUMIFS('Raw Orders'!$F$5:$F$852,'Raw Orders'!$B$5:$B$852,$A14,'Raw Orders'!$D$5:$D$852,"&lt;="&amp;$B14,'Raw Orders'!$J$5:$J$852,FALSE)-SUMIFS('Raw Orders'!$F$5:$F$852,'Raw Orders'!$B$5:$B$852,$A14,'Raw Orders'!$I$5:$I$852,"&lt;="&amp;$B14,'Raw Orders'!$J$5:$J$852,FALSE)</f>
        <v/>
      </c>
      <c r="H14" s="18">
        <f>IF(F14=0,"",E14/F14)</f>
        <v/>
      </c>
      <c r="I14" s="17">
        <f>G14*0.5</f>
        <v/>
      </c>
    </row>
    <row r="15">
      <c r="A15" s="5" t="inlineStr">
        <is>
          <t>North America</t>
        </is>
      </c>
      <c r="B15" s="16" t="n">
        <v>45597</v>
      </c>
      <c r="C15" s="17">
        <f>COUNTIFS('Raw Orders'!$B$5:$B$852,$A15,'Raw Orders'!$D$5:$D$852,$B15)</f>
        <v/>
      </c>
      <c r="D15" s="17">
        <f>SUMIFS('Raw Orders'!$E$5:$E$852,'Raw Orders'!$B$5:$B$852,$A15,'Raw Orders'!$D$5:$D$852,$B15)</f>
        <v/>
      </c>
      <c r="E15" s="17">
        <f>SUMIFS('Raw Orders'!$F$5:$F$852,'Raw Orders'!$B$5:$B$852,$A15,'Raw Orders'!$D$5:$D$852,$B15)</f>
        <v/>
      </c>
      <c r="F15" s="17">
        <f>SUMIFS('Raw Orders'!$F$5:$F$852,'Raw Orders'!$B$5:$B$852,$A15,'Raw Orders'!$I$5:$I$852,$B15,'Raw Orders'!$J$5:$J$852,FALSE)</f>
        <v/>
      </c>
      <c r="G15" s="17">
        <f>SUMIFS('Raw Orders'!$F$5:$F$852,'Raw Orders'!$B$5:$B$852,$A15,'Raw Orders'!$D$5:$D$852,"&lt;="&amp;$B15,'Raw Orders'!$J$5:$J$852,FALSE)-SUMIFS('Raw Orders'!$F$5:$F$852,'Raw Orders'!$B$5:$B$852,$A15,'Raw Orders'!$I$5:$I$852,"&lt;="&amp;$B15,'Raw Orders'!$J$5:$J$852,FALSE)</f>
        <v/>
      </c>
      <c r="H15" s="18">
        <f>IF(F15=0,"",E15/F15)</f>
        <v/>
      </c>
      <c r="I15" s="17">
        <f>G15*0.5</f>
        <v/>
      </c>
    </row>
    <row r="16">
      <c r="A16" s="5" t="inlineStr">
        <is>
          <t>North America</t>
        </is>
      </c>
      <c r="B16" s="16" t="n">
        <v>45627</v>
      </c>
      <c r="C16" s="17">
        <f>COUNTIFS('Raw Orders'!$B$5:$B$852,$A16,'Raw Orders'!$D$5:$D$852,$B16)</f>
        <v/>
      </c>
      <c r="D16" s="17">
        <f>SUMIFS('Raw Orders'!$E$5:$E$852,'Raw Orders'!$B$5:$B$852,$A16,'Raw Orders'!$D$5:$D$852,$B16)</f>
        <v/>
      </c>
      <c r="E16" s="17">
        <f>SUMIFS('Raw Orders'!$F$5:$F$852,'Raw Orders'!$B$5:$B$852,$A16,'Raw Orders'!$D$5:$D$852,$B16)</f>
        <v/>
      </c>
      <c r="F16" s="17">
        <f>SUMIFS('Raw Orders'!$F$5:$F$852,'Raw Orders'!$B$5:$B$852,$A16,'Raw Orders'!$I$5:$I$852,$B16,'Raw Orders'!$J$5:$J$852,FALSE)</f>
        <v/>
      </c>
      <c r="G16" s="17">
        <f>SUMIFS('Raw Orders'!$F$5:$F$852,'Raw Orders'!$B$5:$B$852,$A16,'Raw Orders'!$D$5:$D$852,"&lt;="&amp;$B16,'Raw Orders'!$J$5:$J$852,FALSE)-SUMIFS('Raw Orders'!$F$5:$F$852,'Raw Orders'!$B$5:$B$852,$A16,'Raw Orders'!$I$5:$I$852,"&lt;="&amp;$B16,'Raw Orders'!$J$5:$J$852,FALSE)</f>
        <v/>
      </c>
      <c r="H16" s="18">
        <f>IF(F16=0,"",E16/F16)</f>
        <v/>
      </c>
      <c r="I16" s="17">
        <f>G16*0.5</f>
        <v/>
      </c>
    </row>
    <row r="17">
      <c r="A17" s="5" t="inlineStr">
        <is>
          <t>North America</t>
        </is>
      </c>
      <c r="B17" s="16" t="n">
        <v>45658</v>
      </c>
      <c r="C17" s="17">
        <f>COUNTIFS('Raw Orders'!$B$5:$B$852,$A17,'Raw Orders'!$D$5:$D$852,$B17)</f>
        <v/>
      </c>
      <c r="D17" s="17">
        <f>SUMIFS('Raw Orders'!$E$5:$E$852,'Raw Orders'!$B$5:$B$852,$A17,'Raw Orders'!$D$5:$D$852,$B17)</f>
        <v/>
      </c>
      <c r="E17" s="17">
        <f>SUMIFS('Raw Orders'!$F$5:$F$852,'Raw Orders'!$B$5:$B$852,$A17,'Raw Orders'!$D$5:$D$852,$B17)</f>
        <v/>
      </c>
      <c r="F17" s="17">
        <f>SUMIFS('Raw Orders'!$F$5:$F$852,'Raw Orders'!$B$5:$B$852,$A17,'Raw Orders'!$I$5:$I$852,$B17,'Raw Orders'!$J$5:$J$852,FALSE)</f>
        <v/>
      </c>
      <c r="G17" s="17">
        <f>SUMIFS('Raw Orders'!$F$5:$F$852,'Raw Orders'!$B$5:$B$852,$A17,'Raw Orders'!$D$5:$D$852,"&lt;="&amp;$B17,'Raw Orders'!$J$5:$J$852,FALSE)-SUMIFS('Raw Orders'!$F$5:$F$852,'Raw Orders'!$B$5:$B$852,$A17,'Raw Orders'!$I$5:$I$852,"&lt;="&amp;$B17,'Raw Orders'!$J$5:$J$852,FALSE)</f>
        <v/>
      </c>
      <c r="H17" s="18">
        <f>IF(F17=0,"",E17/F17)</f>
        <v/>
      </c>
      <c r="I17" s="17">
        <f>G17*0.5</f>
        <v/>
      </c>
    </row>
    <row r="18">
      <c r="A18" s="5" t="inlineStr">
        <is>
          <t>North America</t>
        </is>
      </c>
      <c r="B18" s="16" t="n">
        <v>45689</v>
      </c>
      <c r="C18" s="17">
        <f>COUNTIFS('Raw Orders'!$B$5:$B$852,$A18,'Raw Orders'!$D$5:$D$852,$B18)</f>
        <v/>
      </c>
      <c r="D18" s="17">
        <f>SUMIFS('Raw Orders'!$E$5:$E$852,'Raw Orders'!$B$5:$B$852,$A18,'Raw Orders'!$D$5:$D$852,$B18)</f>
        <v/>
      </c>
      <c r="E18" s="17">
        <f>SUMIFS('Raw Orders'!$F$5:$F$852,'Raw Orders'!$B$5:$B$852,$A18,'Raw Orders'!$D$5:$D$852,$B18)</f>
        <v/>
      </c>
      <c r="F18" s="17">
        <f>SUMIFS('Raw Orders'!$F$5:$F$852,'Raw Orders'!$B$5:$B$852,$A18,'Raw Orders'!$I$5:$I$852,$B18,'Raw Orders'!$J$5:$J$852,FALSE)</f>
        <v/>
      </c>
      <c r="G18" s="17">
        <f>SUMIFS('Raw Orders'!$F$5:$F$852,'Raw Orders'!$B$5:$B$852,$A18,'Raw Orders'!$D$5:$D$852,"&lt;="&amp;$B18,'Raw Orders'!$J$5:$J$852,FALSE)-SUMIFS('Raw Orders'!$F$5:$F$852,'Raw Orders'!$B$5:$B$852,$A18,'Raw Orders'!$I$5:$I$852,"&lt;="&amp;$B18,'Raw Orders'!$J$5:$J$852,FALSE)</f>
        <v/>
      </c>
      <c r="H18" s="18">
        <f>IF(F18=0,"",E18/F18)</f>
        <v/>
      </c>
      <c r="I18" s="17">
        <f>G18*0.5</f>
        <v/>
      </c>
    </row>
    <row r="19">
      <c r="A19" s="5" t="inlineStr">
        <is>
          <t>North America</t>
        </is>
      </c>
      <c r="B19" s="16" t="n">
        <v>45717</v>
      </c>
      <c r="C19" s="17">
        <f>COUNTIFS('Raw Orders'!$B$5:$B$852,$A19,'Raw Orders'!$D$5:$D$852,$B19)</f>
        <v/>
      </c>
      <c r="D19" s="17">
        <f>SUMIFS('Raw Orders'!$E$5:$E$852,'Raw Orders'!$B$5:$B$852,$A19,'Raw Orders'!$D$5:$D$852,$B19)</f>
        <v/>
      </c>
      <c r="E19" s="17">
        <f>SUMIFS('Raw Orders'!$F$5:$F$852,'Raw Orders'!$B$5:$B$852,$A19,'Raw Orders'!$D$5:$D$852,$B19)</f>
        <v/>
      </c>
      <c r="F19" s="17">
        <f>SUMIFS('Raw Orders'!$F$5:$F$852,'Raw Orders'!$B$5:$B$852,$A19,'Raw Orders'!$I$5:$I$852,$B19,'Raw Orders'!$J$5:$J$852,FALSE)</f>
        <v/>
      </c>
      <c r="G19" s="17">
        <f>SUMIFS('Raw Orders'!$F$5:$F$852,'Raw Orders'!$B$5:$B$852,$A19,'Raw Orders'!$D$5:$D$852,"&lt;="&amp;$B19,'Raw Orders'!$J$5:$J$852,FALSE)-SUMIFS('Raw Orders'!$F$5:$F$852,'Raw Orders'!$B$5:$B$852,$A19,'Raw Orders'!$I$5:$I$852,"&lt;="&amp;$B19,'Raw Orders'!$J$5:$J$852,FALSE)</f>
        <v/>
      </c>
      <c r="H19" s="18">
        <f>IF(F19=0,"",E19/F19)</f>
        <v/>
      </c>
      <c r="I19" s="17">
        <f>G19*0.5</f>
        <v/>
      </c>
    </row>
    <row r="20">
      <c r="A20" s="5" t="inlineStr">
        <is>
          <t>North America</t>
        </is>
      </c>
      <c r="B20" s="16" t="n">
        <v>45748</v>
      </c>
      <c r="C20" s="17">
        <f>COUNTIFS('Raw Orders'!$B$5:$B$852,$A20,'Raw Orders'!$D$5:$D$852,$B20)</f>
        <v/>
      </c>
      <c r="D20" s="17">
        <f>SUMIFS('Raw Orders'!$E$5:$E$852,'Raw Orders'!$B$5:$B$852,$A20,'Raw Orders'!$D$5:$D$852,$B20)</f>
        <v/>
      </c>
      <c r="E20" s="17">
        <f>SUMIFS('Raw Orders'!$F$5:$F$852,'Raw Orders'!$B$5:$B$852,$A20,'Raw Orders'!$D$5:$D$852,$B20)</f>
        <v/>
      </c>
      <c r="F20" s="17">
        <f>SUMIFS('Raw Orders'!$F$5:$F$852,'Raw Orders'!$B$5:$B$852,$A20,'Raw Orders'!$I$5:$I$852,$B20,'Raw Orders'!$J$5:$J$852,FALSE)</f>
        <v/>
      </c>
      <c r="G20" s="17">
        <f>SUMIFS('Raw Orders'!$F$5:$F$852,'Raw Orders'!$B$5:$B$852,$A20,'Raw Orders'!$D$5:$D$852,"&lt;="&amp;$B20,'Raw Orders'!$J$5:$J$852,FALSE)-SUMIFS('Raw Orders'!$F$5:$F$852,'Raw Orders'!$B$5:$B$852,$A20,'Raw Orders'!$I$5:$I$852,"&lt;="&amp;$B20,'Raw Orders'!$J$5:$J$852,FALSE)</f>
        <v/>
      </c>
      <c r="H20" s="18">
        <f>IF(F20=0,"",E20/F20)</f>
        <v/>
      </c>
      <c r="I20" s="17">
        <f>G20*0.5</f>
        <v/>
      </c>
    </row>
    <row r="21">
      <c r="A21" s="5" t="inlineStr">
        <is>
          <t>North America</t>
        </is>
      </c>
      <c r="B21" s="16" t="n">
        <v>45778</v>
      </c>
      <c r="C21" s="17">
        <f>COUNTIFS('Raw Orders'!$B$5:$B$852,$A21,'Raw Orders'!$D$5:$D$852,$B21)</f>
        <v/>
      </c>
      <c r="D21" s="17">
        <f>SUMIFS('Raw Orders'!$E$5:$E$852,'Raw Orders'!$B$5:$B$852,$A21,'Raw Orders'!$D$5:$D$852,$B21)</f>
        <v/>
      </c>
      <c r="E21" s="17">
        <f>SUMIFS('Raw Orders'!$F$5:$F$852,'Raw Orders'!$B$5:$B$852,$A21,'Raw Orders'!$D$5:$D$852,$B21)</f>
        <v/>
      </c>
      <c r="F21" s="17">
        <f>SUMIFS('Raw Orders'!$F$5:$F$852,'Raw Orders'!$B$5:$B$852,$A21,'Raw Orders'!$I$5:$I$852,$B21,'Raw Orders'!$J$5:$J$852,FALSE)</f>
        <v/>
      </c>
      <c r="G21" s="17">
        <f>SUMIFS('Raw Orders'!$F$5:$F$852,'Raw Orders'!$B$5:$B$852,$A21,'Raw Orders'!$D$5:$D$852,"&lt;="&amp;$B21,'Raw Orders'!$J$5:$J$852,FALSE)-SUMIFS('Raw Orders'!$F$5:$F$852,'Raw Orders'!$B$5:$B$852,$A21,'Raw Orders'!$I$5:$I$852,"&lt;="&amp;$B21,'Raw Orders'!$J$5:$J$852,FALSE)</f>
        <v/>
      </c>
      <c r="H21" s="18">
        <f>IF(F21=0,"",E21/F21)</f>
        <v/>
      </c>
      <c r="I21" s="17">
        <f>G21*0.5</f>
        <v/>
      </c>
    </row>
    <row r="22">
      <c r="A22" s="5" t="inlineStr">
        <is>
          <t>North America</t>
        </is>
      </c>
      <c r="B22" s="16" t="n">
        <v>45809</v>
      </c>
      <c r="C22" s="17">
        <f>COUNTIFS('Raw Orders'!$B$5:$B$852,$A22,'Raw Orders'!$D$5:$D$852,$B22)</f>
        <v/>
      </c>
      <c r="D22" s="17">
        <f>SUMIFS('Raw Orders'!$E$5:$E$852,'Raw Orders'!$B$5:$B$852,$A22,'Raw Orders'!$D$5:$D$852,$B22)</f>
        <v/>
      </c>
      <c r="E22" s="17">
        <f>SUMIFS('Raw Orders'!$F$5:$F$852,'Raw Orders'!$B$5:$B$852,$A22,'Raw Orders'!$D$5:$D$852,$B22)</f>
        <v/>
      </c>
      <c r="F22" s="17">
        <f>SUMIFS('Raw Orders'!$F$5:$F$852,'Raw Orders'!$B$5:$B$852,$A22,'Raw Orders'!$I$5:$I$852,$B22,'Raw Orders'!$J$5:$J$852,FALSE)</f>
        <v/>
      </c>
      <c r="G22" s="17">
        <f>SUMIFS('Raw Orders'!$F$5:$F$852,'Raw Orders'!$B$5:$B$852,$A22,'Raw Orders'!$D$5:$D$852,"&lt;="&amp;$B22,'Raw Orders'!$J$5:$J$852,FALSE)-SUMIFS('Raw Orders'!$F$5:$F$852,'Raw Orders'!$B$5:$B$852,$A22,'Raw Orders'!$I$5:$I$852,"&lt;="&amp;$B22,'Raw Orders'!$J$5:$J$852,FALSE)</f>
        <v/>
      </c>
      <c r="H22" s="18">
        <f>IF(F22=0,"",E22/F22)</f>
        <v/>
      </c>
      <c r="I22" s="17">
        <f>G22*0.5</f>
        <v/>
      </c>
    </row>
    <row r="23">
      <c r="A23" s="5" t="inlineStr">
        <is>
          <t>North America</t>
        </is>
      </c>
      <c r="B23" s="16" t="n">
        <v>45839</v>
      </c>
      <c r="C23" s="17">
        <f>COUNTIFS('Raw Orders'!$B$5:$B$852,$A23,'Raw Orders'!$D$5:$D$852,$B23)</f>
        <v/>
      </c>
      <c r="D23" s="17">
        <f>SUMIFS('Raw Orders'!$E$5:$E$852,'Raw Orders'!$B$5:$B$852,$A23,'Raw Orders'!$D$5:$D$852,$B23)</f>
        <v/>
      </c>
      <c r="E23" s="17">
        <f>SUMIFS('Raw Orders'!$F$5:$F$852,'Raw Orders'!$B$5:$B$852,$A23,'Raw Orders'!$D$5:$D$852,$B23)</f>
        <v/>
      </c>
      <c r="F23" s="17">
        <f>SUMIFS('Raw Orders'!$F$5:$F$852,'Raw Orders'!$B$5:$B$852,$A23,'Raw Orders'!$I$5:$I$852,$B23,'Raw Orders'!$J$5:$J$852,FALSE)</f>
        <v/>
      </c>
      <c r="G23" s="17">
        <f>SUMIFS('Raw Orders'!$F$5:$F$852,'Raw Orders'!$B$5:$B$852,$A23,'Raw Orders'!$D$5:$D$852,"&lt;="&amp;$B23,'Raw Orders'!$J$5:$J$852,FALSE)-SUMIFS('Raw Orders'!$F$5:$F$852,'Raw Orders'!$B$5:$B$852,$A23,'Raw Orders'!$I$5:$I$852,"&lt;="&amp;$B23,'Raw Orders'!$J$5:$J$852,FALSE)</f>
        <v/>
      </c>
      <c r="H23" s="18">
        <f>IF(F23=0,"",E23/F23)</f>
        <v/>
      </c>
      <c r="I23" s="17">
        <f>G23*0.5</f>
        <v/>
      </c>
    </row>
    <row r="24">
      <c r="A24" s="5" t="inlineStr">
        <is>
          <t>North America</t>
        </is>
      </c>
      <c r="B24" s="16" t="n">
        <v>45870</v>
      </c>
      <c r="C24" s="17">
        <f>COUNTIFS('Raw Orders'!$B$5:$B$852,$A24,'Raw Orders'!$D$5:$D$852,$B24)</f>
        <v/>
      </c>
      <c r="D24" s="17">
        <f>SUMIFS('Raw Orders'!$E$5:$E$852,'Raw Orders'!$B$5:$B$852,$A24,'Raw Orders'!$D$5:$D$852,$B24)</f>
        <v/>
      </c>
      <c r="E24" s="17">
        <f>SUMIFS('Raw Orders'!$F$5:$F$852,'Raw Orders'!$B$5:$B$852,$A24,'Raw Orders'!$D$5:$D$852,$B24)</f>
        <v/>
      </c>
      <c r="F24" s="17">
        <f>SUMIFS('Raw Orders'!$F$5:$F$852,'Raw Orders'!$B$5:$B$852,$A24,'Raw Orders'!$I$5:$I$852,$B24,'Raw Orders'!$J$5:$J$852,FALSE)</f>
        <v/>
      </c>
      <c r="G24" s="17">
        <f>SUMIFS('Raw Orders'!$F$5:$F$852,'Raw Orders'!$B$5:$B$852,$A24,'Raw Orders'!$D$5:$D$852,"&lt;="&amp;$B24,'Raw Orders'!$J$5:$J$852,FALSE)-SUMIFS('Raw Orders'!$F$5:$F$852,'Raw Orders'!$B$5:$B$852,$A24,'Raw Orders'!$I$5:$I$852,"&lt;="&amp;$B24,'Raw Orders'!$J$5:$J$852,FALSE)</f>
        <v/>
      </c>
      <c r="H24" s="18">
        <f>IF(F24=0,"",E24/F24)</f>
        <v/>
      </c>
      <c r="I24" s="17">
        <f>G24*0.5</f>
        <v/>
      </c>
    </row>
    <row r="25">
      <c r="A25" s="5" t="inlineStr">
        <is>
          <t>North America</t>
        </is>
      </c>
      <c r="B25" s="16" t="n">
        <v>45901</v>
      </c>
      <c r="C25" s="17">
        <f>COUNTIFS('Raw Orders'!$B$5:$B$852,$A25,'Raw Orders'!$D$5:$D$852,$B25)</f>
        <v/>
      </c>
      <c r="D25" s="17">
        <f>SUMIFS('Raw Orders'!$E$5:$E$852,'Raw Orders'!$B$5:$B$852,$A25,'Raw Orders'!$D$5:$D$852,$B25)</f>
        <v/>
      </c>
      <c r="E25" s="17">
        <f>SUMIFS('Raw Orders'!$F$5:$F$852,'Raw Orders'!$B$5:$B$852,$A25,'Raw Orders'!$D$5:$D$852,$B25)</f>
        <v/>
      </c>
      <c r="F25" s="17">
        <f>SUMIFS('Raw Orders'!$F$5:$F$852,'Raw Orders'!$B$5:$B$852,$A25,'Raw Orders'!$I$5:$I$852,$B25,'Raw Orders'!$J$5:$J$852,FALSE)</f>
        <v/>
      </c>
      <c r="G25" s="17">
        <f>SUMIFS('Raw Orders'!$F$5:$F$852,'Raw Orders'!$B$5:$B$852,$A25,'Raw Orders'!$D$5:$D$852,"&lt;="&amp;$B25,'Raw Orders'!$J$5:$J$852,FALSE)-SUMIFS('Raw Orders'!$F$5:$F$852,'Raw Orders'!$B$5:$B$852,$A25,'Raw Orders'!$I$5:$I$852,"&lt;="&amp;$B25,'Raw Orders'!$J$5:$J$852,FALSE)</f>
        <v/>
      </c>
      <c r="H25" s="18">
        <f>IF(F25=0,"",E25/F25)</f>
        <v/>
      </c>
      <c r="I25" s="17">
        <f>G25*0.5</f>
        <v/>
      </c>
    </row>
    <row r="26">
      <c r="A26" s="5" t="inlineStr">
        <is>
          <t>North America</t>
        </is>
      </c>
      <c r="B26" s="16" t="n">
        <v>45931</v>
      </c>
      <c r="C26" s="17">
        <f>COUNTIFS('Raw Orders'!$B$5:$B$852,$A26,'Raw Orders'!$D$5:$D$852,$B26)</f>
        <v/>
      </c>
      <c r="D26" s="17">
        <f>SUMIFS('Raw Orders'!$E$5:$E$852,'Raw Orders'!$B$5:$B$852,$A26,'Raw Orders'!$D$5:$D$852,$B26)</f>
        <v/>
      </c>
      <c r="E26" s="17">
        <f>SUMIFS('Raw Orders'!$F$5:$F$852,'Raw Orders'!$B$5:$B$852,$A26,'Raw Orders'!$D$5:$D$852,$B26)</f>
        <v/>
      </c>
      <c r="F26" s="17">
        <f>SUMIFS('Raw Orders'!$F$5:$F$852,'Raw Orders'!$B$5:$B$852,$A26,'Raw Orders'!$I$5:$I$852,$B26,'Raw Orders'!$J$5:$J$852,FALSE)</f>
        <v/>
      </c>
      <c r="G26" s="17">
        <f>SUMIFS('Raw Orders'!$F$5:$F$852,'Raw Orders'!$B$5:$B$852,$A26,'Raw Orders'!$D$5:$D$852,"&lt;="&amp;$B26,'Raw Orders'!$J$5:$J$852,FALSE)-SUMIFS('Raw Orders'!$F$5:$F$852,'Raw Orders'!$B$5:$B$852,$A26,'Raw Orders'!$I$5:$I$852,"&lt;="&amp;$B26,'Raw Orders'!$J$5:$J$852,FALSE)</f>
        <v/>
      </c>
      <c r="H26" s="18">
        <f>IF(F26=0,"",E26/F26)</f>
        <v/>
      </c>
      <c r="I26" s="17">
        <f>G26*0.5</f>
        <v/>
      </c>
    </row>
    <row r="27">
      <c r="A27" s="5" t="inlineStr">
        <is>
          <t>North America</t>
        </is>
      </c>
      <c r="B27" s="16" t="n">
        <v>45962</v>
      </c>
      <c r="C27" s="17">
        <f>COUNTIFS('Raw Orders'!$B$5:$B$852,$A27,'Raw Orders'!$D$5:$D$852,$B27)</f>
        <v/>
      </c>
      <c r="D27" s="17">
        <f>SUMIFS('Raw Orders'!$E$5:$E$852,'Raw Orders'!$B$5:$B$852,$A27,'Raw Orders'!$D$5:$D$852,$B27)</f>
        <v/>
      </c>
      <c r="E27" s="17">
        <f>SUMIFS('Raw Orders'!$F$5:$F$852,'Raw Orders'!$B$5:$B$852,$A27,'Raw Orders'!$D$5:$D$852,$B27)</f>
        <v/>
      </c>
      <c r="F27" s="17">
        <f>SUMIFS('Raw Orders'!$F$5:$F$852,'Raw Orders'!$B$5:$B$852,$A27,'Raw Orders'!$I$5:$I$852,$B27,'Raw Orders'!$J$5:$J$852,FALSE)</f>
        <v/>
      </c>
      <c r="G27" s="17">
        <f>SUMIFS('Raw Orders'!$F$5:$F$852,'Raw Orders'!$B$5:$B$852,$A27,'Raw Orders'!$D$5:$D$852,"&lt;="&amp;$B27,'Raw Orders'!$J$5:$J$852,FALSE)-SUMIFS('Raw Orders'!$F$5:$F$852,'Raw Orders'!$B$5:$B$852,$A27,'Raw Orders'!$I$5:$I$852,"&lt;="&amp;$B27,'Raw Orders'!$J$5:$J$852,FALSE)</f>
        <v/>
      </c>
      <c r="H27" s="18">
        <f>IF(F27=0,"",E27/F27)</f>
        <v/>
      </c>
      <c r="I27" s="17">
        <f>G27*0.5</f>
        <v/>
      </c>
    </row>
    <row r="28">
      <c r="A28" s="5" t="inlineStr">
        <is>
          <t>North America</t>
        </is>
      </c>
      <c r="B28" s="16" t="n">
        <v>45992</v>
      </c>
      <c r="C28" s="17">
        <f>COUNTIFS('Raw Orders'!$B$5:$B$852,$A28,'Raw Orders'!$D$5:$D$852,$B28)</f>
        <v/>
      </c>
      <c r="D28" s="17">
        <f>SUMIFS('Raw Orders'!$E$5:$E$852,'Raw Orders'!$B$5:$B$852,$A28,'Raw Orders'!$D$5:$D$852,$B28)</f>
        <v/>
      </c>
      <c r="E28" s="17">
        <f>SUMIFS('Raw Orders'!$F$5:$F$852,'Raw Orders'!$B$5:$B$852,$A28,'Raw Orders'!$D$5:$D$852,$B28)</f>
        <v/>
      </c>
      <c r="F28" s="17">
        <f>SUMIFS('Raw Orders'!$F$5:$F$852,'Raw Orders'!$B$5:$B$852,$A28,'Raw Orders'!$I$5:$I$852,$B28,'Raw Orders'!$J$5:$J$852,FALSE)</f>
        <v/>
      </c>
      <c r="G28" s="17">
        <f>SUMIFS('Raw Orders'!$F$5:$F$852,'Raw Orders'!$B$5:$B$852,$A28,'Raw Orders'!$D$5:$D$852,"&lt;="&amp;$B28,'Raw Orders'!$J$5:$J$852,FALSE)-SUMIFS('Raw Orders'!$F$5:$F$852,'Raw Orders'!$B$5:$B$852,$A28,'Raw Orders'!$I$5:$I$852,"&lt;="&amp;$B28,'Raw Orders'!$J$5:$J$852,FALSE)</f>
        <v/>
      </c>
      <c r="H28" s="18">
        <f>IF(F28=0,"",E28/F28)</f>
        <v/>
      </c>
      <c r="I28" s="17">
        <f>G28*0.5</f>
        <v/>
      </c>
    </row>
    <row r="29">
      <c r="A29" s="5" t="inlineStr">
        <is>
          <t>EMEA</t>
        </is>
      </c>
      <c r="B29" s="16" t="n">
        <v>45292</v>
      </c>
      <c r="C29" s="17">
        <f>COUNTIFS('Raw Orders'!$B$5:$B$852,$A29,'Raw Orders'!$D$5:$D$852,$B29)</f>
        <v/>
      </c>
      <c r="D29" s="17">
        <f>SUMIFS('Raw Orders'!$E$5:$E$852,'Raw Orders'!$B$5:$B$852,$A29,'Raw Orders'!$D$5:$D$852,$B29)</f>
        <v/>
      </c>
      <c r="E29" s="17">
        <f>SUMIFS('Raw Orders'!$F$5:$F$852,'Raw Orders'!$B$5:$B$852,$A29,'Raw Orders'!$D$5:$D$852,$B29)</f>
        <v/>
      </c>
      <c r="F29" s="17">
        <f>SUMIFS('Raw Orders'!$F$5:$F$852,'Raw Orders'!$B$5:$B$852,$A29,'Raw Orders'!$I$5:$I$852,$B29,'Raw Orders'!$J$5:$J$852,FALSE)</f>
        <v/>
      </c>
      <c r="G29" s="17">
        <f>SUMIFS('Raw Orders'!$F$5:$F$852,'Raw Orders'!$B$5:$B$852,$A29,'Raw Orders'!$D$5:$D$852,"&lt;="&amp;$B29,'Raw Orders'!$J$5:$J$852,FALSE)-SUMIFS('Raw Orders'!$F$5:$F$852,'Raw Orders'!$B$5:$B$852,$A29,'Raw Orders'!$I$5:$I$852,"&lt;="&amp;$B29,'Raw Orders'!$J$5:$J$852,FALSE)</f>
        <v/>
      </c>
      <c r="H29" s="18">
        <f>IF(F29=0,"",E29/F29)</f>
        <v/>
      </c>
      <c r="I29" s="17">
        <f>G29*0.5</f>
        <v/>
      </c>
    </row>
    <row r="30">
      <c r="A30" s="5" t="inlineStr">
        <is>
          <t>EMEA</t>
        </is>
      </c>
      <c r="B30" s="16" t="n">
        <v>45323</v>
      </c>
      <c r="C30" s="17">
        <f>COUNTIFS('Raw Orders'!$B$5:$B$852,$A30,'Raw Orders'!$D$5:$D$852,$B30)</f>
        <v/>
      </c>
      <c r="D30" s="17">
        <f>SUMIFS('Raw Orders'!$E$5:$E$852,'Raw Orders'!$B$5:$B$852,$A30,'Raw Orders'!$D$5:$D$852,$B30)</f>
        <v/>
      </c>
      <c r="E30" s="17">
        <f>SUMIFS('Raw Orders'!$F$5:$F$852,'Raw Orders'!$B$5:$B$852,$A30,'Raw Orders'!$D$5:$D$852,$B30)</f>
        <v/>
      </c>
      <c r="F30" s="17">
        <f>SUMIFS('Raw Orders'!$F$5:$F$852,'Raw Orders'!$B$5:$B$852,$A30,'Raw Orders'!$I$5:$I$852,$B30,'Raw Orders'!$J$5:$J$852,FALSE)</f>
        <v/>
      </c>
      <c r="G30" s="17">
        <f>SUMIFS('Raw Orders'!$F$5:$F$852,'Raw Orders'!$B$5:$B$852,$A30,'Raw Orders'!$D$5:$D$852,"&lt;="&amp;$B30,'Raw Orders'!$J$5:$J$852,FALSE)-SUMIFS('Raw Orders'!$F$5:$F$852,'Raw Orders'!$B$5:$B$852,$A30,'Raw Orders'!$I$5:$I$852,"&lt;="&amp;$B30,'Raw Orders'!$J$5:$J$852,FALSE)</f>
        <v/>
      </c>
      <c r="H30" s="18">
        <f>IF(F30=0,"",E30/F30)</f>
        <v/>
      </c>
      <c r="I30" s="17">
        <f>G30*0.5</f>
        <v/>
      </c>
    </row>
    <row r="31">
      <c r="A31" s="5" t="inlineStr">
        <is>
          <t>EMEA</t>
        </is>
      </c>
      <c r="B31" s="16" t="n">
        <v>45352</v>
      </c>
      <c r="C31" s="17">
        <f>COUNTIFS('Raw Orders'!$B$5:$B$852,$A31,'Raw Orders'!$D$5:$D$852,$B31)</f>
        <v/>
      </c>
      <c r="D31" s="17">
        <f>SUMIFS('Raw Orders'!$E$5:$E$852,'Raw Orders'!$B$5:$B$852,$A31,'Raw Orders'!$D$5:$D$852,$B31)</f>
        <v/>
      </c>
      <c r="E31" s="17">
        <f>SUMIFS('Raw Orders'!$F$5:$F$852,'Raw Orders'!$B$5:$B$852,$A31,'Raw Orders'!$D$5:$D$852,$B31)</f>
        <v/>
      </c>
      <c r="F31" s="17">
        <f>SUMIFS('Raw Orders'!$F$5:$F$852,'Raw Orders'!$B$5:$B$852,$A31,'Raw Orders'!$I$5:$I$852,$B31,'Raw Orders'!$J$5:$J$852,FALSE)</f>
        <v/>
      </c>
      <c r="G31" s="17">
        <f>SUMIFS('Raw Orders'!$F$5:$F$852,'Raw Orders'!$B$5:$B$852,$A31,'Raw Orders'!$D$5:$D$852,"&lt;="&amp;$B31,'Raw Orders'!$J$5:$J$852,FALSE)-SUMIFS('Raw Orders'!$F$5:$F$852,'Raw Orders'!$B$5:$B$852,$A31,'Raw Orders'!$I$5:$I$852,"&lt;="&amp;$B31,'Raw Orders'!$J$5:$J$852,FALSE)</f>
        <v/>
      </c>
      <c r="H31" s="18">
        <f>IF(F31=0,"",E31/F31)</f>
        <v/>
      </c>
      <c r="I31" s="17">
        <f>G31*0.5</f>
        <v/>
      </c>
    </row>
    <row r="32">
      <c r="A32" s="5" t="inlineStr">
        <is>
          <t>EMEA</t>
        </is>
      </c>
      <c r="B32" s="16" t="n">
        <v>45383</v>
      </c>
      <c r="C32" s="17">
        <f>COUNTIFS('Raw Orders'!$B$5:$B$852,$A32,'Raw Orders'!$D$5:$D$852,$B32)</f>
        <v/>
      </c>
      <c r="D32" s="17">
        <f>SUMIFS('Raw Orders'!$E$5:$E$852,'Raw Orders'!$B$5:$B$852,$A32,'Raw Orders'!$D$5:$D$852,$B32)</f>
        <v/>
      </c>
      <c r="E32" s="17">
        <f>SUMIFS('Raw Orders'!$F$5:$F$852,'Raw Orders'!$B$5:$B$852,$A32,'Raw Orders'!$D$5:$D$852,$B32)</f>
        <v/>
      </c>
      <c r="F32" s="17">
        <f>SUMIFS('Raw Orders'!$F$5:$F$852,'Raw Orders'!$B$5:$B$852,$A32,'Raw Orders'!$I$5:$I$852,$B32,'Raw Orders'!$J$5:$J$852,FALSE)</f>
        <v/>
      </c>
      <c r="G32" s="17">
        <f>SUMIFS('Raw Orders'!$F$5:$F$852,'Raw Orders'!$B$5:$B$852,$A32,'Raw Orders'!$D$5:$D$852,"&lt;="&amp;$B32,'Raw Orders'!$J$5:$J$852,FALSE)-SUMIFS('Raw Orders'!$F$5:$F$852,'Raw Orders'!$B$5:$B$852,$A32,'Raw Orders'!$I$5:$I$852,"&lt;="&amp;$B32,'Raw Orders'!$J$5:$J$852,FALSE)</f>
        <v/>
      </c>
      <c r="H32" s="18">
        <f>IF(F32=0,"",E32/F32)</f>
        <v/>
      </c>
      <c r="I32" s="17">
        <f>G32*0.5</f>
        <v/>
      </c>
    </row>
    <row r="33">
      <c r="A33" s="5" t="inlineStr">
        <is>
          <t>EMEA</t>
        </is>
      </c>
      <c r="B33" s="16" t="n">
        <v>45413</v>
      </c>
      <c r="C33" s="17">
        <f>COUNTIFS('Raw Orders'!$B$5:$B$852,$A33,'Raw Orders'!$D$5:$D$852,$B33)</f>
        <v/>
      </c>
      <c r="D33" s="17">
        <f>SUMIFS('Raw Orders'!$E$5:$E$852,'Raw Orders'!$B$5:$B$852,$A33,'Raw Orders'!$D$5:$D$852,$B33)</f>
        <v/>
      </c>
      <c r="E33" s="17">
        <f>SUMIFS('Raw Orders'!$F$5:$F$852,'Raw Orders'!$B$5:$B$852,$A33,'Raw Orders'!$D$5:$D$852,$B33)</f>
        <v/>
      </c>
      <c r="F33" s="17">
        <f>SUMIFS('Raw Orders'!$F$5:$F$852,'Raw Orders'!$B$5:$B$852,$A33,'Raw Orders'!$I$5:$I$852,$B33,'Raw Orders'!$J$5:$J$852,FALSE)</f>
        <v/>
      </c>
      <c r="G33" s="17">
        <f>SUMIFS('Raw Orders'!$F$5:$F$852,'Raw Orders'!$B$5:$B$852,$A33,'Raw Orders'!$D$5:$D$852,"&lt;="&amp;$B33,'Raw Orders'!$J$5:$J$852,FALSE)-SUMIFS('Raw Orders'!$F$5:$F$852,'Raw Orders'!$B$5:$B$852,$A33,'Raw Orders'!$I$5:$I$852,"&lt;="&amp;$B33,'Raw Orders'!$J$5:$J$852,FALSE)</f>
        <v/>
      </c>
      <c r="H33" s="18">
        <f>IF(F33=0,"",E33/F33)</f>
        <v/>
      </c>
      <c r="I33" s="17">
        <f>G33*0.5</f>
        <v/>
      </c>
    </row>
    <row r="34">
      <c r="A34" s="5" t="inlineStr">
        <is>
          <t>EMEA</t>
        </is>
      </c>
      <c r="B34" s="16" t="n">
        <v>45444</v>
      </c>
      <c r="C34" s="17">
        <f>COUNTIFS('Raw Orders'!$B$5:$B$852,$A34,'Raw Orders'!$D$5:$D$852,$B34)</f>
        <v/>
      </c>
      <c r="D34" s="17">
        <f>SUMIFS('Raw Orders'!$E$5:$E$852,'Raw Orders'!$B$5:$B$852,$A34,'Raw Orders'!$D$5:$D$852,$B34)</f>
        <v/>
      </c>
      <c r="E34" s="17">
        <f>SUMIFS('Raw Orders'!$F$5:$F$852,'Raw Orders'!$B$5:$B$852,$A34,'Raw Orders'!$D$5:$D$852,$B34)</f>
        <v/>
      </c>
      <c r="F34" s="17">
        <f>SUMIFS('Raw Orders'!$F$5:$F$852,'Raw Orders'!$B$5:$B$852,$A34,'Raw Orders'!$I$5:$I$852,$B34,'Raw Orders'!$J$5:$J$852,FALSE)</f>
        <v/>
      </c>
      <c r="G34" s="17">
        <f>SUMIFS('Raw Orders'!$F$5:$F$852,'Raw Orders'!$B$5:$B$852,$A34,'Raw Orders'!$D$5:$D$852,"&lt;="&amp;$B34,'Raw Orders'!$J$5:$J$852,FALSE)-SUMIFS('Raw Orders'!$F$5:$F$852,'Raw Orders'!$B$5:$B$852,$A34,'Raw Orders'!$I$5:$I$852,"&lt;="&amp;$B34,'Raw Orders'!$J$5:$J$852,FALSE)</f>
        <v/>
      </c>
      <c r="H34" s="18">
        <f>IF(F34=0,"",E34/F34)</f>
        <v/>
      </c>
      <c r="I34" s="17">
        <f>G34*0.5</f>
        <v/>
      </c>
    </row>
    <row r="35">
      <c r="A35" s="5" t="inlineStr">
        <is>
          <t>EMEA</t>
        </is>
      </c>
      <c r="B35" s="16" t="n">
        <v>45474</v>
      </c>
      <c r="C35" s="17">
        <f>COUNTIFS('Raw Orders'!$B$5:$B$852,$A35,'Raw Orders'!$D$5:$D$852,$B35)</f>
        <v/>
      </c>
      <c r="D35" s="17">
        <f>SUMIFS('Raw Orders'!$E$5:$E$852,'Raw Orders'!$B$5:$B$852,$A35,'Raw Orders'!$D$5:$D$852,$B35)</f>
        <v/>
      </c>
      <c r="E35" s="17">
        <f>SUMIFS('Raw Orders'!$F$5:$F$852,'Raw Orders'!$B$5:$B$852,$A35,'Raw Orders'!$D$5:$D$852,$B35)</f>
        <v/>
      </c>
      <c r="F35" s="17">
        <f>SUMIFS('Raw Orders'!$F$5:$F$852,'Raw Orders'!$B$5:$B$852,$A35,'Raw Orders'!$I$5:$I$852,$B35,'Raw Orders'!$J$5:$J$852,FALSE)</f>
        <v/>
      </c>
      <c r="G35" s="17">
        <f>SUMIFS('Raw Orders'!$F$5:$F$852,'Raw Orders'!$B$5:$B$852,$A35,'Raw Orders'!$D$5:$D$852,"&lt;="&amp;$B35,'Raw Orders'!$J$5:$J$852,FALSE)-SUMIFS('Raw Orders'!$F$5:$F$852,'Raw Orders'!$B$5:$B$852,$A35,'Raw Orders'!$I$5:$I$852,"&lt;="&amp;$B35,'Raw Orders'!$J$5:$J$852,FALSE)</f>
        <v/>
      </c>
      <c r="H35" s="18">
        <f>IF(F35=0,"",E35/F35)</f>
        <v/>
      </c>
      <c r="I35" s="17">
        <f>G35*0.5</f>
        <v/>
      </c>
    </row>
    <row r="36">
      <c r="A36" s="5" t="inlineStr">
        <is>
          <t>EMEA</t>
        </is>
      </c>
      <c r="B36" s="16" t="n">
        <v>45505</v>
      </c>
      <c r="C36" s="17">
        <f>COUNTIFS('Raw Orders'!$B$5:$B$852,$A36,'Raw Orders'!$D$5:$D$852,$B36)</f>
        <v/>
      </c>
      <c r="D36" s="17">
        <f>SUMIFS('Raw Orders'!$E$5:$E$852,'Raw Orders'!$B$5:$B$852,$A36,'Raw Orders'!$D$5:$D$852,$B36)</f>
        <v/>
      </c>
      <c r="E36" s="17">
        <f>SUMIFS('Raw Orders'!$F$5:$F$852,'Raw Orders'!$B$5:$B$852,$A36,'Raw Orders'!$D$5:$D$852,$B36)</f>
        <v/>
      </c>
      <c r="F36" s="17">
        <f>SUMIFS('Raw Orders'!$F$5:$F$852,'Raw Orders'!$B$5:$B$852,$A36,'Raw Orders'!$I$5:$I$852,$B36,'Raw Orders'!$J$5:$J$852,FALSE)</f>
        <v/>
      </c>
      <c r="G36" s="17">
        <f>SUMIFS('Raw Orders'!$F$5:$F$852,'Raw Orders'!$B$5:$B$852,$A36,'Raw Orders'!$D$5:$D$852,"&lt;="&amp;$B36,'Raw Orders'!$J$5:$J$852,FALSE)-SUMIFS('Raw Orders'!$F$5:$F$852,'Raw Orders'!$B$5:$B$852,$A36,'Raw Orders'!$I$5:$I$852,"&lt;="&amp;$B36,'Raw Orders'!$J$5:$J$852,FALSE)</f>
        <v/>
      </c>
      <c r="H36" s="18">
        <f>IF(F36=0,"",E36/F36)</f>
        <v/>
      </c>
      <c r="I36" s="17">
        <f>G36*0.5</f>
        <v/>
      </c>
    </row>
    <row r="37">
      <c r="A37" s="5" t="inlineStr">
        <is>
          <t>EMEA</t>
        </is>
      </c>
      <c r="B37" s="16" t="n">
        <v>45536</v>
      </c>
      <c r="C37" s="17">
        <f>COUNTIFS('Raw Orders'!$B$5:$B$852,$A37,'Raw Orders'!$D$5:$D$852,$B37)</f>
        <v/>
      </c>
      <c r="D37" s="17">
        <f>SUMIFS('Raw Orders'!$E$5:$E$852,'Raw Orders'!$B$5:$B$852,$A37,'Raw Orders'!$D$5:$D$852,$B37)</f>
        <v/>
      </c>
      <c r="E37" s="17">
        <f>SUMIFS('Raw Orders'!$F$5:$F$852,'Raw Orders'!$B$5:$B$852,$A37,'Raw Orders'!$D$5:$D$852,$B37)</f>
        <v/>
      </c>
      <c r="F37" s="17">
        <f>SUMIFS('Raw Orders'!$F$5:$F$852,'Raw Orders'!$B$5:$B$852,$A37,'Raw Orders'!$I$5:$I$852,$B37,'Raw Orders'!$J$5:$J$852,FALSE)</f>
        <v/>
      </c>
      <c r="G37" s="17">
        <f>SUMIFS('Raw Orders'!$F$5:$F$852,'Raw Orders'!$B$5:$B$852,$A37,'Raw Orders'!$D$5:$D$852,"&lt;="&amp;$B37,'Raw Orders'!$J$5:$J$852,FALSE)-SUMIFS('Raw Orders'!$F$5:$F$852,'Raw Orders'!$B$5:$B$852,$A37,'Raw Orders'!$I$5:$I$852,"&lt;="&amp;$B37,'Raw Orders'!$J$5:$J$852,FALSE)</f>
        <v/>
      </c>
      <c r="H37" s="18">
        <f>IF(F37=0,"",E37/F37)</f>
        <v/>
      </c>
      <c r="I37" s="17">
        <f>G37*0.5</f>
        <v/>
      </c>
    </row>
    <row r="38">
      <c r="A38" s="5" t="inlineStr">
        <is>
          <t>EMEA</t>
        </is>
      </c>
      <c r="B38" s="16" t="n">
        <v>45566</v>
      </c>
      <c r="C38" s="17">
        <f>COUNTIFS('Raw Orders'!$B$5:$B$852,$A38,'Raw Orders'!$D$5:$D$852,$B38)</f>
        <v/>
      </c>
      <c r="D38" s="17">
        <f>SUMIFS('Raw Orders'!$E$5:$E$852,'Raw Orders'!$B$5:$B$852,$A38,'Raw Orders'!$D$5:$D$852,$B38)</f>
        <v/>
      </c>
      <c r="E38" s="17">
        <f>SUMIFS('Raw Orders'!$F$5:$F$852,'Raw Orders'!$B$5:$B$852,$A38,'Raw Orders'!$D$5:$D$852,$B38)</f>
        <v/>
      </c>
      <c r="F38" s="17">
        <f>SUMIFS('Raw Orders'!$F$5:$F$852,'Raw Orders'!$B$5:$B$852,$A38,'Raw Orders'!$I$5:$I$852,$B38,'Raw Orders'!$J$5:$J$852,FALSE)</f>
        <v/>
      </c>
      <c r="G38" s="17">
        <f>SUMIFS('Raw Orders'!$F$5:$F$852,'Raw Orders'!$B$5:$B$852,$A38,'Raw Orders'!$D$5:$D$852,"&lt;="&amp;$B38,'Raw Orders'!$J$5:$J$852,FALSE)-SUMIFS('Raw Orders'!$F$5:$F$852,'Raw Orders'!$B$5:$B$852,$A38,'Raw Orders'!$I$5:$I$852,"&lt;="&amp;$B38,'Raw Orders'!$J$5:$J$852,FALSE)</f>
        <v/>
      </c>
      <c r="H38" s="18">
        <f>IF(F38=0,"",E38/F38)</f>
        <v/>
      </c>
      <c r="I38" s="17">
        <f>G38*0.5</f>
        <v/>
      </c>
    </row>
    <row r="39">
      <c r="A39" s="5" t="inlineStr">
        <is>
          <t>EMEA</t>
        </is>
      </c>
      <c r="B39" s="16" t="n">
        <v>45597</v>
      </c>
      <c r="C39" s="17">
        <f>COUNTIFS('Raw Orders'!$B$5:$B$852,$A39,'Raw Orders'!$D$5:$D$852,$B39)</f>
        <v/>
      </c>
      <c r="D39" s="17">
        <f>SUMIFS('Raw Orders'!$E$5:$E$852,'Raw Orders'!$B$5:$B$852,$A39,'Raw Orders'!$D$5:$D$852,$B39)</f>
        <v/>
      </c>
      <c r="E39" s="17">
        <f>SUMIFS('Raw Orders'!$F$5:$F$852,'Raw Orders'!$B$5:$B$852,$A39,'Raw Orders'!$D$5:$D$852,$B39)</f>
        <v/>
      </c>
      <c r="F39" s="17">
        <f>SUMIFS('Raw Orders'!$F$5:$F$852,'Raw Orders'!$B$5:$B$852,$A39,'Raw Orders'!$I$5:$I$852,$B39,'Raw Orders'!$J$5:$J$852,FALSE)</f>
        <v/>
      </c>
      <c r="G39" s="17">
        <f>SUMIFS('Raw Orders'!$F$5:$F$852,'Raw Orders'!$B$5:$B$852,$A39,'Raw Orders'!$D$5:$D$852,"&lt;="&amp;$B39,'Raw Orders'!$J$5:$J$852,FALSE)-SUMIFS('Raw Orders'!$F$5:$F$852,'Raw Orders'!$B$5:$B$852,$A39,'Raw Orders'!$I$5:$I$852,"&lt;="&amp;$B39,'Raw Orders'!$J$5:$J$852,FALSE)</f>
        <v/>
      </c>
      <c r="H39" s="18">
        <f>IF(F39=0,"",E39/F39)</f>
        <v/>
      </c>
      <c r="I39" s="17">
        <f>G39*0.5</f>
        <v/>
      </c>
    </row>
    <row r="40">
      <c r="A40" s="5" t="inlineStr">
        <is>
          <t>EMEA</t>
        </is>
      </c>
      <c r="B40" s="16" t="n">
        <v>45627</v>
      </c>
      <c r="C40" s="17">
        <f>COUNTIFS('Raw Orders'!$B$5:$B$852,$A40,'Raw Orders'!$D$5:$D$852,$B40)</f>
        <v/>
      </c>
      <c r="D40" s="17">
        <f>SUMIFS('Raw Orders'!$E$5:$E$852,'Raw Orders'!$B$5:$B$852,$A40,'Raw Orders'!$D$5:$D$852,$B40)</f>
        <v/>
      </c>
      <c r="E40" s="17">
        <f>SUMIFS('Raw Orders'!$F$5:$F$852,'Raw Orders'!$B$5:$B$852,$A40,'Raw Orders'!$D$5:$D$852,$B40)</f>
        <v/>
      </c>
      <c r="F40" s="17">
        <f>SUMIFS('Raw Orders'!$F$5:$F$852,'Raw Orders'!$B$5:$B$852,$A40,'Raw Orders'!$I$5:$I$852,$B40,'Raw Orders'!$J$5:$J$852,FALSE)</f>
        <v/>
      </c>
      <c r="G40" s="17">
        <f>SUMIFS('Raw Orders'!$F$5:$F$852,'Raw Orders'!$B$5:$B$852,$A40,'Raw Orders'!$D$5:$D$852,"&lt;="&amp;$B40,'Raw Orders'!$J$5:$J$852,FALSE)-SUMIFS('Raw Orders'!$F$5:$F$852,'Raw Orders'!$B$5:$B$852,$A40,'Raw Orders'!$I$5:$I$852,"&lt;="&amp;$B40,'Raw Orders'!$J$5:$J$852,FALSE)</f>
        <v/>
      </c>
      <c r="H40" s="18">
        <f>IF(F40=0,"",E40/F40)</f>
        <v/>
      </c>
      <c r="I40" s="17">
        <f>G40*0.5</f>
        <v/>
      </c>
    </row>
    <row r="41">
      <c r="A41" s="5" t="inlineStr">
        <is>
          <t>EMEA</t>
        </is>
      </c>
      <c r="B41" s="16" t="n">
        <v>45658</v>
      </c>
      <c r="C41" s="17">
        <f>COUNTIFS('Raw Orders'!$B$5:$B$852,$A41,'Raw Orders'!$D$5:$D$852,$B41)</f>
        <v/>
      </c>
      <c r="D41" s="17">
        <f>SUMIFS('Raw Orders'!$E$5:$E$852,'Raw Orders'!$B$5:$B$852,$A41,'Raw Orders'!$D$5:$D$852,$B41)</f>
        <v/>
      </c>
      <c r="E41" s="17">
        <f>SUMIFS('Raw Orders'!$F$5:$F$852,'Raw Orders'!$B$5:$B$852,$A41,'Raw Orders'!$D$5:$D$852,$B41)</f>
        <v/>
      </c>
      <c r="F41" s="17">
        <f>SUMIFS('Raw Orders'!$F$5:$F$852,'Raw Orders'!$B$5:$B$852,$A41,'Raw Orders'!$I$5:$I$852,$B41,'Raw Orders'!$J$5:$J$852,FALSE)</f>
        <v/>
      </c>
      <c r="G41" s="17">
        <f>SUMIFS('Raw Orders'!$F$5:$F$852,'Raw Orders'!$B$5:$B$852,$A41,'Raw Orders'!$D$5:$D$852,"&lt;="&amp;$B41,'Raw Orders'!$J$5:$J$852,FALSE)-SUMIFS('Raw Orders'!$F$5:$F$852,'Raw Orders'!$B$5:$B$852,$A41,'Raw Orders'!$I$5:$I$852,"&lt;="&amp;$B41,'Raw Orders'!$J$5:$J$852,FALSE)</f>
        <v/>
      </c>
      <c r="H41" s="18">
        <f>IF(F41=0,"",E41/F41)</f>
        <v/>
      </c>
      <c r="I41" s="17">
        <f>G41*0.5</f>
        <v/>
      </c>
    </row>
    <row r="42">
      <c r="A42" s="5" t="inlineStr">
        <is>
          <t>EMEA</t>
        </is>
      </c>
      <c r="B42" s="16" t="n">
        <v>45689</v>
      </c>
      <c r="C42" s="17">
        <f>COUNTIFS('Raw Orders'!$B$5:$B$852,$A42,'Raw Orders'!$D$5:$D$852,$B42)</f>
        <v/>
      </c>
      <c r="D42" s="17">
        <f>SUMIFS('Raw Orders'!$E$5:$E$852,'Raw Orders'!$B$5:$B$852,$A42,'Raw Orders'!$D$5:$D$852,$B42)</f>
        <v/>
      </c>
      <c r="E42" s="17">
        <f>SUMIFS('Raw Orders'!$F$5:$F$852,'Raw Orders'!$B$5:$B$852,$A42,'Raw Orders'!$D$5:$D$852,$B42)</f>
        <v/>
      </c>
      <c r="F42" s="17">
        <f>SUMIFS('Raw Orders'!$F$5:$F$852,'Raw Orders'!$B$5:$B$852,$A42,'Raw Orders'!$I$5:$I$852,$B42,'Raw Orders'!$J$5:$J$852,FALSE)</f>
        <v/>
      </c>
      <c r="G42" s="17">
        <f>SUMIFS('Raw Orders'!$F$5:$F$852,'Raw Orders'!$B$5:$B$852,$A42,'Raw Orders'!$D$5:$D$852,"&lt;="&amp;$B42,'Raw Orders'!$J$5:$J$852,FALSE)-SUMIFS('Raw Orders'!$F$5:$F$852,'Raw Orders'!$B$5:$B$852,$A42,'Raw Orders'!$I$5:$I$852,"&lt;="&amp;$B42,'Raw Orders'!$J$5:$J$852,FALSE)</f>
        <v/>
      </c>
      <c r="H42" s="18">
        <f>IF(F42=0,"",E42/F42)</f>
        <v/>
      </c>
      <c r="I42" s="17">
        <f>G42*0.5</f>
        <v/>
      </c>
    </row>
    <row r="43">
      <c r="A43" s="5" t="inlineStr">
        <is>
          <t>EMEA</t>
        </is>
      </c>
      <c r="B43" s="16" t="n">
        <v>45717</v>
      </c>
      <c r="C43" s="17">
        <f>COUNTIFS('Raw Orders'!$B$5:$B$852,$A43,'Raw Orders'!$D$5:$D$852,$B43)</f>
        <v/>
      </c>
      <c r="D43" s="17">
        <f>SUMIFS('Raw Orders'!$E$5:$E$852,'Raw Orders'!$B$5:$B$852,$A43,'Raw Orders'!$D$5:$D$852,$B43)</f>
        <v/>
      </c>
      <c r="E43" s="17">
        <f>SUMIFS('Raw Orders'!$F$5:$F$852,'Raw Orders'!$B$5:$B$852,$A43,'Raw Orders'!$D$5:$D$852,$B43)</f>
        <v/>
      </c>
      <c r="F43" s="17">
        <f>SUMIFS('Raw Orders'!$F$5:$F$852,'Raw Orders'!$B$5:$B$852,$A43,'Raw Orders'!$I$5:$I$852,$B43,'Raw Orders'!$J$5:$J$852,FALSE)</f>
        <v/>
      </c>
      <c r="G43" s="17">
        <f>SUMIFS('Raw Orders'!$F$5:$F$852,'Raw Orders'!$B$5:$B$852,$A43,'Raw Orders'!$D$5:$D$852,"&lt;="&amp;$B43,'Raw Orders'!$J$5:$J$852,FALSE)-SUMIFS('Raw Orders'!$F$5:$F$852,'Raw Orders'!$B$5:$B$852,$A43,'Raw Orders'!$I$5:$I$852,"&lt;="&amp;$B43,'Raw Orders'!$J$5:$J$852,FALSE)</f>
        <v/>
      </c>
      <c r="H43" s="18">
        <f>IF(F43=0,"",E43/F43)</f>
        <v/>
      </c>
      <c r="I43" s="17">
        <f>G43*0.5</f>
        <v/>
      </c>
    </row>
    <row r="44">
      <c r="A44" s="5" t="inlineStr">
        <is>
          <t>EMEA</t>
        </is>
      </c>
      <c r="B44" s="16" t="n">
        <v>45748</v>
      </c>
      <c r="C44" s="17">
        <f>COUNTIFS('Raw Orders'!$B$5:$B$852,$A44,'Raw Orders'!$D$5:$D$852,$B44)</f>
        <v/>
      </c>
      <c r="D44" s="17">
        <f>SUMIFS('Raw Orders'!$E$5:$E$852,'Raw Orders'!$B$5:$B$852,$A44,'Raw Orders'!$D$5:$D$852,$B44)</f>
        <v/>
      </c>
      <c r="E44" s="17">
        <f>SUMIFS('Raw Orders'!$F$5:$F$852,'Raw Orders'!$B$5:$B$852,$A44,'Raw Orders'!$D$5:$D$852,$B44)</f>
        <v/>
      </c>
      <c r="F44" s="17">
        <f>SUMIFS('Raw Orders'!$F$5:$F$852,'Raw Orders'!$B$5:$B$852,$A44,'Raw Orders'!$I$5:$I$852,$B44,'Raw Orders'!$J$5:$J$852,FALSE)</f>
        <v/>
      </c>
      <c r="G44" s="17">
        <f>SUMIFS('Raw Orders'!$F$5:$F$852,'Raw Orders'!$B$5:$B$852,$A44,'Raw Orders'!$D$5:$D$852,"&lt;="&amp;$B44,'Raw Orders'!$J$5:$J$852,FALSE)-SUMIFS('Raw Orders'!$F$5:$F$852,'Raw Orders'!$B$5:$B$852,$A44,'Raw Orders'!$I$5:$I$852,"&lt;="&amp;$B44,'Raw Orders'!$J$5:$J$852,FALSE)</f>
        <v/>
      </c>
      <c r="H44" s="18">
        <f>IF(F44=0,"",E44/F44)</f>
        <v/>
      </c>
      <c r="I44" s="17">
        <f>G44*0.5</f>
        <v/>
      </c>
    </row>
    <row r="45">
      <c r="A45" s="5" t="inlineStr">
        <is>
          <t>EMEA</t>
        </is>
      </c>
      <c r="B45" s="16" t="n">
        <v>45778</v>
      </c>
      <c r="C45" s="17">
        <f>COUNTIFS('Raw Orders'!$B$5:$B$852,$A45,'Raw Orders'!$D$5:$D$852,$B45)</f>
        <v/>
      </c>
      <c r="D45" s="17">
        <f>SUMIFS('Raw Orders'!$E$5:$E$852,'Raw Orders'!$B$5:$B$852,$A45,'Raw Orders'!$D$5:$D$852,$B45)</f>
        <v/>
      </c>
      <c r="E45" s="17">
        <f>SUMIFS('Raw Orders'!$F$5:$F$852,'Raw Orders'!$B$5:$B$852,$A45,'Raw Orders'!$D$5:$D$852,$B45)</f>
        <v/>
      </c>
      <c r="F45" s="17">
        <f>SUMIFS('Raw Orders'!$F$5:$F$852,'Raw Orders'!$B$5:$B$852,$A45,'Raw Orders'!$I$5:$I$852,$B45,'Raw Orders'!$J$5:$J$852,FALSE)</f>
        <v/>
      </c>
      <c r="G45" s="17">
        <f>SUMIFS('Raw Orders'!$F$5:$F$852,'Raw Orders'!$B$5:$B$852,$A45,'Raw Orders'!$D$5:$D$852,"&lt;="&amp;$B45,'Raw Orders'!$J$5:$J$852,FALSE)-SUMIFS('Raw Orders'!$F$5:$F$852,'Raw Orders'!$B$5:$B$852,$A45,'Raw Orders'!$I$5:$I$852,"&lt;="&amp;$B45,'Raw Orders'!$J$5:$J$852,FALSE)</f>
        <v/>
      </c>
      <c r="H45" s="18">
        <f>IF(F45=0,"",E45/F45)</f>
        <v/>
      </c>
      <c r="I45" s="17">
        <f>G45*0.5</f>
        <v/>
      </c>
    </row>
    <row r="46">
      <c r="A46" s="5" t="inlineStr">
        <is>
          <t>EMEA</t>
        </is>
      </c>
      <c r="B46" s="16" t="n">
        <v>45809</v>
      </c>
      <c r="C46" s="17">
        <f>COUNTIFS('Raw Orders'!$B$5:$B$852,$A46,'Raw Orders'!$D$5:$D$852,$B46)</f>
        <v/>
      </c>
      <c r="D46" s="17">
        <f>SUMIFS('Raw Orders'!$E$5:$E$852,'Raw Orders'!$B$5:$B$852,$A46,'Raw Orders'!$D$5:$D$852,$B46)</f>
        <v/>
      </c>
      <c r="E46" s="17">
        <f>SUMIFS('Raw Orders'!$F$5:$F$852,'Raw Orders'!$B$5:$B$852,$A46,'Raw Orders'!$D$5:$D$852,$B46)</f>
        <v/>
      </c>
      <c r="F46" s="17">
        <f>SUMIFS('Raw Orders'!$F$5:$F$852,'Raw Orders'!$B$5:$B$852,$A46,'Raw Orders'!$I$5:$I$852,$B46,'Raw Orders'!$J$5:$J$852,FALSE)</f>
        <v/>
      </c>
      <c r="G46" s="17">
        <f>SUMIFS('Raw Orders'!$F$5:$F$852,'Raw Orders'!$B$5:$B$852,$A46,'Raw Orders'!$D$5:$D$852,"&lt;="&amp;$B46,'Raw Orders'!$J$5:$J$852,FALSE)-SUMIFS('Raw Orders'!$F$5:$F$852,'Raw Orders'!$B$5:$B$852,$A46,'Raw Orders'!$I$5:$I$852,"&lt;="&amp;$B46,'Raw Orders'!$J$5:$J$852,FALSE)</f>
        <v/>
      </c>
      <c r="H46" s="18">
        <f>IF(F46=0,"",E46/F46)</f>
        <v/>
      </c>
      <c r="I46" s="17">
        <f>G46*0.5</f>
        <v/>
      </c>
    </row>
    <row r="47">
      <c r="A47" s="5" t="inlineStr">
        <is>
          <t>EMEA</t>
        </is>
      </c>
      <c r="B47" s="16" t="n">
        <v>45839</v>
      </c>
      <c r="C47" s="17">
        <f>COUNTIFS('Raw Orders'!$B$5:$B$852,$A47,'Raw Orders'!$D$5:$D$852,$B47)</f>
        <v/>
      </c>
      <c r="D47" s="17">
        <f>SUMIFS('Raw Orders'!$E$5:$E$852,'Raw Orders'!$B$5:$B$852,$A47,'Raw Orders'!$D$5:$D$852,$B47)</f>
        <v/>
      </c>
      <c r="E47" s="17">
        <f>SUMIFS('Raw Orders'!$F$5:$F$852,'Raw Orders'!$B$5:$B$852,$A47,'Raw Orders'!$D$5:$D$852,$B47)</f>
        <v/>
      </c>
      <c r="F47" s="17">
        <f>SUMIFS('Raw Orders'!$F$5:$F$852,'Raw Orders'!$B$5:$B$852,$A47,'Raw Orders'!$I$5:$I$852,$B47,'Raw Orders'!$J$5:$J$852,FALSE)</f>
        <v/>
      </c>
      <c r="G47" s="17">
        <f>SUMIFS('Raw Orders'!$F$5:$F$852,'Raw Orders'!$B$5:$B$852,$A47,'Raw Orders'!$D$5:$D$852,"&lt;="&amp;$B47,'Raw Orders'!$J$5:$J$852,FALSE)-SUMIFS('Raw Orders'!$F$5:$F$852,'Raw Orders'!$B$5:$B$852,$A47,'Raw Orders'!$I$5:$I$852,"&lt;="&amp;$B47,'Raw Orders'!$J$5:$J$852,FALSE)</f>
        <v/>
      </c>
      <c r="H47" s="18">
        <f>IF(F47=0,"",E47/F47)</f>
        <v/>
      </c>
      <c r="I47" s="17">
        <f>G47*0.5</f>
        <v/>
      </c>
    </row>
    <row r="48">
      <c r="A48" s="5" t="inlineStr">
        <is>
          <t>EMEA</t>
        </is>
      </c>
      <c r="B48" s="16" t="n">
        <v>45870</v>
      </c>
      <c r="C48" s="17">
        <f>COUNTIFS('Raw Orders'!$B$5:$B$852,$A48,'Raw Orders'!$D$5:$D$852,$B48)</f>
        <v/>
      </c>
      <c r="D48" s="17">
        <f>SUMIFS('Raw Orders'!$E$5:$E$852,'Raw Orders'!$B$5:$B$852,$A48,'Raw Orders'!$D$5:$D$852,$B48)</f>
        <v/>
      </c>
      <c r="E48" s="17">
        <f>SUMIFS('Raw Orders'!$F$5:$F$852,'Raw Orders'!$B$5:$B$852,$A48,'Raw Orders'!$D$5:$D$852,$B48)</f>
        <v/>
      </c>
      <c r="F48" s="17">
        <f>SUMIFS('Raw Orders'!$F$5:$F$852,'Raw Orders'!$B$5:$B$852,$A48,'Raw Orders'!$I$5:$I$852,$B48,'Raw Orders'!$J$5:$J$852,FALSE)</f>
        <v/>
      </c>
      <c r="G48" s="17">
        <f>SUMIFS('Raw Orders'!$F$5:$F$852,'Raw Orders'!$B$5:$B$852,$A48,'Raw Orders'!$D$5:$D$852,"&lt;="&amp;$B48,'Raw Orders'!$J$5:$J$852,FALSE)-SUMIFS('Raw Orders'!$F$5:$F$852,'Raw Orders'!$B$5:$B$852,$A48,'Raw Orders'!$I$5:$I$852,"&lt;="&amp;$B48,'Raw Orders'!$J$5:$J$852,FALSE)</f>
        <v/>
      </c>
      <c r="H48" s="18">
        <f>IF(F48=0,"",E48/F48)</f>
        <v/>
      </c>
      <c r="I48" s="17">
        <f>G48*0.5</f>
        <v/>
      </c>
    </row>
    <row r="49">
      <c r="A49" s="5" t="inlineStr">
        <is>
          <t>EMEA</t>
        </is>
      </c>
      <c r="B49" s="16" t="n">
        <v>45901</v>
      </c>
      <c r="C49" s="17">
        <f>COUNTIFS('Raw Orders'!$B$5:$B$852,$A49,'Raw Orders'!$D$5:$D$852,$B49)</f>
        <v/>
      </c>
      <c r="D49" s="17">
        <f>SUMIFS('Raw Orders'!$E$5:$E$852,'Raw Orders'!$B$5:$B$852,$A49,'Raw Orders'!$D$5:$D$852,$B49)</f>
        <v/>
      </c>
      <c r="E49" s="17">
        <f>SUMIFS('Raw Orders'!$F$5:$F$852,'Raw Orders'!$B$5:$B$852,$A49,'Raw Orders'!$D$5:$D$852,$B49)</f>
        <v/>
      </c>
      <c r="F49" s="17">
        <f>SUMIFS('Raw Orders'!$F$5:$F$852,'Raw Orders'!$B$5:$B$852,$A49,'Raw Orders'!$I$5:$I$852,$B49,'Raw Orders'!$J$5:$J$852,FALSE)</f>
        <v/>
      </c>
      <c r="G49" s="17">
        <f>SUMIFS('Raw Orders'!$F$5:$F$852,'Raw Orders'!$B$5:$B$852,$A49,'Raw Orders'!$D$5:$D$852,"&lt;="&amp;$B49,'Raw Orders'!$J$5:$J$852,FALSE)-SUMIFS('Raw Orders'!$F$5:$F$852,'Raw Orders'!$B$5:$B$852,$A49,'Raw Orders'!$I$5:$I$852,"&lt;="&amp;$B49,'Raw Orders'!$J$5:$J$852,FALSE)</f>
        <v/>
      </c>
      <c r="H49" s="18">
        <f>IF(F49=0,"",E49/F49)</f>
        <v/>
      </c>
      <c r="I49" s="17">
        <f>G49*0.5</f>
        <v/>
      </c>
    </row>
    <row r="50">
      <c r="A50" s="5" t="inlineStr">
        <is>
          <t>EMEA</t>
        </is>
      </c>
      <c r="B50" s="16" t="n">
        <v>45931</v>
      </c>
      <c r="C50" s="17">
        <f>COUNTIFS('Raw Orders'!$B$5:$B$852,$A50,'Raw Orders'!$D$5:$D$852,$B50)</f>
        <v/>
      </c>
      <c r="D50" s="17">
        <f>SUMIFS('Raw Orders'!$E$5:$E$852,'Raw Orders'!$B$5:$B$852,$A50,'Raw Orders'!$D$5:$D$852,$B50)</f>
        <v/>
      </c>
      <c r="E50" s="17">
        <f>SUMIFS('Raw Orders'!$F$5:$F$852,'Raw Orders'!$B$5:$B$852,$A50,'Raw Orders'!$D$5:$D$852,$B50)</f>
        <v/>
      </c>
      <c r="F50" s="17">
        <f>SUMIFS('Raw Orders'!$F$5:$F$852,'Raw Orders'!$B$5:$B$852,$A50,'Raw Orders'!$I$5:$I$852,$B50,'Raw Orders'!$J$5:$J$852,FALSE)</f>
        <v/>
      </c>
      <c r="G50" s="17">
        <f>SUMIFS('Raw Orders'!$F$5:$F$852,'Raw Orders'!$B$5:$B$852,$A50,'Raw Orders'!$D$5:$D$852,"&lt;="&amp;$B50,'Raw Orders'!$J$5:$J$852,FALSE)-SUMIFS('Raw Orders'!$F$5:$F$852,'Raw Orders'!$B$5:$B$852,$A50,'Raw Orders'!$I$5:$I$852,"&lt;="&amp;$B50,'Raw Orders'!$J$5:$J$852,FALSE)</f>
        <v/>
      </c>
      <c r="H50" s="18">
        <f>IF(F50=0,"",E50/F50)</f>
        <v/>
      </c>
      <c r="I50" s="17">
        <f>G50*0.5</f>
        <v/>
      </c>
    </row>
    <row r="51">
      <c r="A51" s="5" t="inlineStr">
        <is>
          <t>EMEA</t>
        </is>
      </c>
      <c r="B51" s="16" t="n">
        <v>45962</v>
      </c>
      <c r="C51" s="17">
        <f>COUNTIFS('Raw Orders'!$B$5:$B$852,$A51,'Raw Orders'!$D$5:$D$852,$B51)</f>
        <v/>
      </c>
      <c r="D51" s="17">
        <f>SUMIFS('Raw Orders'!$E$5:$E$852,'Raw Orders'!$B$5:$B$852,$A51,'Raw Orders'!$D$5:$D$852,$B51)</f>
        <v/>
      </c>
      <c r="E51" s="17">
        <f>SUMIFS('Raw Orders'!$F$5:$F$852,'Raw Orders'!$B$5:$B$852,$A51,'Raw Orders'!$D$5:$D$852,$B51)</f>
        <v/>
      </c>
      <c r="F51" s="17">
        <f>SUMIFS('Raw Orders'!$F$5:$F$852,'Raw Orders'!$B$5:$B$852,$A51,'Raw Orders'!$I$5:$I$852,$B51,'Raw Orders'!$J$5:$J$852,FALSE)</f>
        <v/>
      </c>
      <c r="G51" s="17">
        <f>SUMIFS('Raw Orders'!$F$5:$F$852,'Raw Orders'!$B$5:$B$852,$A51,'Raw Orders'!$D$5:$D$852,"&lt;="&amp;$B51,'Raw Orders'!$J$5:$J$852,FALSE)-SUMIFS('Raw Orders'!$F$5:$F$852,'Raw Orders'!$B$5:$B$852,$A51,'Raw Orders'!$I$5:$I$852,"&lt;="&amp;$B51,'Raw Orders'!$J$5:$J$852,FALSE)</f>
        <v/>
      </c>
      <c r="H51" s="18">
        <f>IF(F51=0,"",E51/F51)</f>
        <v/>
      </c>
      <c r="I51" s="17">
        <f>G51*0.5</f>
        <v/>
      </c>
    </row>
    <row r="52">
      <c r="A52" s="5" t="inlineStr">
        <is>
          <t>EMEA</t>
        </is>
      </c>
      <c r="B52" s="16" t="n">
        <v>45992</v>
      </c>
      <c r="C52" s="17">
        <f>COUNTIFS('Raw Orders'!$B$5:$B$852,$A52,'Raw Orders'!$D$5:$D$852,$B52)</f>
        <v/>
      </c>
      <c r="D52" s="17">
        <f>SUMIFS('Raw Orders'!$E$5:$E$852,'Raw Orders'!$B$5:$B$852,$A52,'Raw Orders'!$D$5:$D$852,$B52)</f>
        <v/>
      </c>
      <c r="E52" s="17">
        <f>SUMIFS('Raw Orders'!$F$5:$F$852,'Raw Orders'!$B$5:$B$852,$A52,'Raw Orders'!$D$5:$D$852,$B52)</f>
        <v/>
      </c>
      <c r="F52" s="17">
        <f>SUMIFS('Raw Orders'!$F$5:$F$852,'Raw Orders'!$B$5:$B$852,$A52,'Raw Orders'!$I$5:$I$852,$B52,'Raw Orders'!$J$5:$J$852,FALSE)</f>
        <v/>
      </c>
      <c r="G52" s="17">
        <f>SUMIFS('Raw Orders'!$F$5:$F$852,'Raw Orders'!$B$5:$B$852,$A52,'Raw Orders'!$D$5:$D$852,"&lt;="&amp;$B52,'Raw Orders'!$J$5:$J$852,FALSE)-SUMIFS('Raw Orders'!$F$5:$F$852,'Raw Orders'!$B$5:$B$852,$A52,'Raw Orders'!$I$5:$I$852,"&lt;="&amp;$B52,'Raw Orders'!$J$5:$J$852,FALSE)</f>
        <v/>
      </c>
      <c r="H52" s="18">
        <f>IF(F52=0,"",E52/F52)</f>
        <v/>
      </c>
      <c r="I52" s="17">
        <f>G52*0.5</f>
        <v/>
      </c>
    </row>
    <row r="53">
      <c r="A53" s="5" t="inlineStr">
        <is>
          <t>APAC</t>
        </is>
      </c>
      <c r="B53" s="16" t="n">
        <v>45292</v>
      </c>
      <c r="C53" s="17">
        <f>COUNTIFS('Raw Orders'!$B$5:$B$852,$A53,'Raw Orders'!$D$5:$D$852,$B53)</f>
        <v/>
      </c>
      <c r="D53" s="17">
        <f>SUMIFS('Raw Orders'!$E$5:$E$852,'Raw Orders'!$B$5:$B$852,$A53,'Raw Orders'!$D$5:$D$852,$B53)</f>
        <v/>
      </c>
      <c r="E53" s="17">
        <f>SUMIFS('Raw Orders'!$F$5:$F$852,'Raw Orders'!$B$5:$B$852,$A53,'Raw Orders'!$D$5:$D$852,$B53)</f>
        <v/>
      </c>
      <c r="F53" s="17">
        <f>SUMIFS('Raw Orders'!$F$5:$F$852,'Raw Orders'!$B$5:$B$852,$A53,'Raw Orders'!$I$5:$I$852,$B53,'Raw Orders'!$J$5:$J$852,FALSE)</f>
        <v/>
      </c>
      <c r="G53" s="17">
        <f>SUMIFS('Raw Orders'!$F$5:$F$852,'Raw Orders'!$B$5:$B$852,$A53,'Raw Orders'!$D$5:$D$852,"&lt;="&amp;$B53,'Raw Orders'!$J$5:$J$852,FALSE)-SUMIFS('Raw Orders'!$F$5:$F$852,'Raw Orders'!$B$5:$B$852,$A53,'Raw Orders'!$I$5:$I$852,"&lt;="&amp;$B53,'Raw Orders'!$J$5:$J$852,FALSE)</f>
        <v/>
      </c>
      <c r="H53" s="18">
        <f>IF(F53=0,"",E53/F53)</f>
        <v/>
      </c>
      <c r="I53" s="17">
        <f>G53*0.5</f>
        <v/>
      </c>
    </row>
    <row r="54">
      <c r="A54" s="5" t="inlineStr">
        <is>
          <t>APAC</t>
        </is>
      </c>
      <c r="B54" s="16" t="n">
        <v>45323</v>
      </c>
      <c r="C54" s="17">
        <f>COUNTIFS('Raw Orders'!$B$5:$B$852,$A54,'Raw Orders'!$D$5:$D$852,$B54)</f>
        <v/>
      </c>
      <c r="D54" s="17">
        <f>SUMIFS('Raw Orders'!$E$5:$E$852,'Raw Orders'!$B$5:$B$852,$A54,'Raw Orders'!$D$5:$D$852,$B54)</f>
        <v/>
      </c>
      <c r="E54" s="17">
        <f>SUMIFS('Raw Orders'!$F$5:$F$852,'Raw Orders'!$B$5:$B$852,$A54,'Raw Orders'!$D$5:$D$852,$B54)</f>
        <v/>
      </c>
      <c r="F54" s="17">
        <f>SUMIFS('Raw Orders'!$F$5:$F$852,'Raw Orders'!$B$5:$B$852,$A54,'Raw Orders'!$I$5:$I$852,$B54,'Raw Orders'!$J$5:$J$852,FALSE)</f>
        <v/>
      </c>
      <c r="G54" s="17">
        <f>SUMIFS('Raw Orders'!$F$5:$F$852,'Raw Orders'!$B$5:$B$852,$A54,'Raw Orders'!$D$5:$D$852,"&lt;="&amp;$B54,'Raw Orders'!$J$5:$J$852,FALSE)-SUMIFS('Raw Orders'!$F$5:$F$852,'Raw Orders'!$B$5:$B$852,$A54,'Raw Orders'!$I$5:$I$852,"&lt;="&amp;$B54,'Raw Orders'!$J$5:$J$852,FALSE)</f>
        <v/>
      </c>
      <c r="H54" s="18">
        <f>IF(F54=0,"",E54/F54)</f>
        <v/>
      </c>
      <c r="I54" s="17">
        <f>G54*0.5</f>
        <v/>
      </c>
    </row>
    <row r="55">
      <c r="A55" s="5" t="inlineStr">
        <is>
          <t>APAC</t>
        </is>
      </c>
      <c r="B55" s="16" t="n">
        <v>45352</v>
      </c>
      <c r="C55" s="17">
        <f>COUNTIFS('Raw Orders'!$B$5:$B$852,$A55,'Raw Orders'!$D$5:$D$852,$B55)</f>
        <v/>
      </c>
      <c r="D55" s="17">
        <f>SUMIFS('Raw Orders'!$E$5:$E$852,'Raw Orders'!$B$5:$B$852,$A55,'Raw Orders'!$D$5:$D$852,$B55)</f>
        <v/>
      </c>
      <c r="E55" s="17">
        <f>SUMIFS('Raw Orders'!$F$5:$F$852,'Raw Orders'!$B$5:$B$852,$A55,'Raw Orders'!$D$5:$D$852,$B55)</f>
        <v/>
      </c>
      <c r="F55" s="17">
        <f>SUMIFS('Raw Orders'!$F$5:$F$852,'Raw Orders'!$B$5:$B$852,$A55,'Raw Orders'!$I$5:$I$852,$B55,'Raw Orders'!$J$5:$J$852,FALSE)</f>
        <v/>
      </c>
      <c r="G55" s="17">
        <f>SUMIFS('Raw Orders'!$F$5:$F$852,'Raw Orders'!$B$5:$B$852,$A55,'Raw Orders'!$D$5:$D$852,"&lt;="&amp;$B55,'Raw Orders'!$J$5:$J$852,FALSE)-SUMIFS('Raw Orders'!$F$5:$F$852,'Raw Orders'!$B$5:$B$852,$A55,'Raw Orders'!$I$5:$I$852,"&lt;="&amp;$B55,'Raw Orders'!$J$5:$J$852,FALSE)</f>
        <v/>
      </c>
      <c r="H55" s="18">
        <f>IF(F55=0,"",E55/F55)</f>
        <v/>
      </c>
      <c r="I55" s="17">
        <f>G55*0.5</f>
        <v/>
      </c>
    </row>
    <row r="56">
      <c r="A56" s="5" t="inlineStr">
        <is>
          <t>APAC</t>
        </is>
      </c>
      <c r="B56" s="16" t="n">
        <v>45383</v>
      </c>
      <c r="C56" s="17">
        <f>COUNTIFS('Raw Orders'!$B$5:$B$852,$A56,'Raw Orders'!$D$5:$D$852,$B56)</f>
        <v/>
      </c>
      <c r="D56" s="17">
        <f>SUMIFS('Raw Orders'!$E$5:$E$852,'Raw Orders'!$B$5:$B$852,$A56,'Raw Orders'!$D$5:$D$852,$B56)</f>
        <v/>
      </c>
      <c r="E56" s="17">
        <f>SUMIFS('Raw Orders'!$F$5:$F$852,'Raw Orders'!$B$5:$B$852,$A56,'Raw Orders'!$D$5:$D$852,$B56)</f>
        <v/>
      </c>
      <c r="F56" s="17">
        <f>SUMIFS('Raw Orders'!$F$5:$F$852,'Raw Orders'!$B$5:$B$852,$A56,'Raw Orders'!$I$5:$I$852,$B56,'Raw Orders'!$J$5:$J$852,FALSE)</f>
        <v/>
      </c>
      <c r="G56" s="17">
        <f>SUMIFS('Raw Orders'!$F$5:$F$852,'Raw Orders'!$B$5:$B$852,$A56,'Raw Orders'!$D$5:$D$852,"&lt;="&amp;$B56,'Raw Orders'!$J$5:$J$852,FALSE)-SUMIFS('Raw Orders'!$F$5:$F$852,'Raw Orders'!$B$5:$B$852,$A56,'Raw Orders'!$I$5:$I$852,"&lt;="&amp;$B56,'Raw Orders'!$J$5:$J$852,FALSE)</f>
        <v/>
      </c>
      <c r="H56" s="18">
        <f>IF(F56=0,"",E56/F56)</f>
        <v/>
      </c>
      <c r="I56" s="17">
        <f>G56*0.5</f>
        <v/>
      </c>
    </row>
    <row r="57">
      <c r="A57" s="5" t="inlineStr">
        <is>
          <t>APAC</t>
        </is>
      </c>
      <c r="B57" s="16" t="n">
        <v>45413</v>
      </c>
      <c r="C57" s="17">
        <f>COUNTIFS('Raw Orders'!$B$5:$B$852,$A57,'Raw Orders'!$D$5:$D$852,$B57)</f>
        <v/>
      </c>
      <c r="D57" s="17">
        <f>SUMIFS('Raw Orders'!$E$5:$E$852,'Raw Orders'!$B$5:$B$852,$A57,'Raw Orders'!$D$5:$D$852,$B57)</f>
        <v/>
      </c>
      <c r="E57" s="17">
        <f>SUMIFS('Raw Orders'!$F$5:$F$852,'Raw Orders'!$B$5:$B$852,$A57,'Raw Orders'!$D$5:$D$852,$B57)</f>
        <v/>
      </c>
      <c r="F57" s="17">
        <f>SUMIFS('Raw Orders'!$F$5:$F$852,'Raw Orders'!$B$5:$B$852,$A57,'Raw Orders'!$I$5:$I$852,$B57,'Raw Orders'!$J$5:$J$852,FALSE)</f>
        <v/>
      </c>
      <c r="G57" s="17">
        <f>SUMIFS('Raw Orders'!$F$5:$F$852,'Raw Orders'!$B$5:$B$852,$A57,'Raw Orders'!$D$5:$D$852,"&lt;="&amp;$B57,'Raw Orders'!$J$5:$J$852,FALSE)-SUMIFS('Raw Orders'!$F$5:$F$852,'Raw Orders'!$B$5:$B$852,$A57,'Raw Orders'!$I$5:$I$852,"&lt;="&amp;$B57,'Raw Orders'!$J$5:$J$852,FALSE)</f>
        <v/>
      </c>
      <c r="H57" s="18">
        <f>IF(F57=0,"",E57/F57)</f>
        <v/>
      </c>
      <c r="I57" s="17">
        <f>G57*0.5</f>
        <v/>
      </c>
    </row>
    <row r="58">
      <c r="A58" s="5" t="inlineStr">
        <is>
          <t>APAC</t>
        </is>
      </c>
      <c r="B58" s="16" t="n">
        <v>45444</v>
      </c>
      <c r="C58" s="17">
        <f>COUNTIFS('Raw Orders'!$B$5:$B$852,$A58,'Raw Orders'!$D$5:$D$852,$B58)</f>
        <v/>
      </c>
      <c r="D58" s="17">
        <f>SUMIFS('Raw Orders'!$E$5:$E$852,'Raw Orders'!$B$5:$B$852,$A58,'Raw Orders'!$D$5:$D$852,$B58)</f>
        <v/>
      </c>
      <c r="E58" s="17">
        <f>SUMIFS('Raw Orders'!$F$5:$F$852,'Raw Orders'!$B$5:$B$852,$A58,'Raw Orders'!$D$5:$D$852,$B58)</f>
        <v/>
      </c>
      <c r="F58" s="17">
        <f>SUMIFS('Raw Orders'!$F$5:$F$852,'Raw Orders'!$B$5:$B$852,$A58,'Raw Orders'!$I$5:$I$852,$B58,'Raw Orders'!$J$5:$J$852,FALSE)</f>
        <v/>
      </c>
      <c r="G58" s="17">
        <f>SUMIFS('Raw Orders'!$F$5:$F$852,'Raw Orders'!$B$5:$B$852,$A58,'Raw Orders'!$D$5:$D$852,"&lt;="&amp;$B58,'Raw Orders'!$J$5:$J$852,FALSE)-SUMIFS('Raw Orders'!$F$5:$F$852,'Raw Orders'!$B$5:$B$852,$A58,'Raw Orders'!$I$5:$I$852,"&lt;="&amp;$B58,'Raw Orders'!$J$5:$J$852,FALSE)</f>
        <v/>
      </c>
      <c r="H58" s="18">
        <f>IF(F58=0,"",E58/F58)</f>
        <v/>
      </c>
      <c r="I58" s="17">
        <f>G58*0.5</f>
        <v/>
      </c>
    </row>
    <row r="59">
      <c r="A59" s="5" t="inlineStr">
        <is>
          <t>APAC</t>
        </is>
      </c>
      <c r="B59" s="16" t="n">
        <v>45474</v>
      </c>
      <c r="C59" s="17">
        <f>COUNTIFS('Raw Orders'!$B$5:$B$852,$A59,'Raw Orders'!$D$5:$D$852,$B59)</f>
        <v/>
      </c>
      <c r="D59" s="17">
        <f>SUMIFS('Raw Orders'!$E$5:$E$852,'Raw Orders'!$B$5:$B$852,$A59,'Raw Orders'!$D$5:$D$852,$B59)</f>
        <v/>
      </c>
      <c r="E59" s="17">
        <f>SUMIFS('Raw Orders'!$F$5:$F$852,'Raw Orders'!$B$5:$B$852,$A59,'Raw Orders'!$D$5:$D$852,$B59)</f>
        <v/>
      </c>
      <c r="F59" s="17">
        <f>SUMIFS('Raw Orders'!$F$5:$F$852,'Raw Orders'!$B$5:$B$852,$A59,'Raw Orders'!$I$5:$I$852,$B59,'Raw Orders'!$J$5:$J$852,FALSE)</f>
        <v/>
      </c>
      <c r="G59" s="17">
        <f>SUMIFS('Raw Orders'!$F$5:$F$852,'Raw Orders'!$B$5:$B$852,$A59,'Raw Orders'!$D$5:$D$852,"&lt;="&amp;$B59,'Raw Orders'!$J$5:$J$852,FALSE)-SUMIFS('Raw Orders'!$F$5:$F$852,'Raw Orders'!$B$5:$B$852,$A59,'Raw Orders'!$I$5:$I$852,"&lt;="&amp;$B59,'Raw Orders'!$J$5:$J$852,FALSE)</f>
        <v/>
      </c>
      <c r="H59" s="18">
        <f>IF(F59=0,"",E59/F59)</f>
        <v/>
      </c>
      <c r="I59" s="17">
        <f>G59*0.5</f>
        <v/>
      </c>
    </row>
    <row r="60">
      <c r="A60" s="5" t="inlineStr">
        <is>
          <t>APAC</t>
        </is>
      </c>
      <c r="B60" s="16" t="n">
        <v>45505</v>
      </c>
      <c r="C60" s="17">
        <f>COUNTIFS('Raw Orders'!$B$5:$B$852,$A60,'Raw Orders'!$D$5:$D$852,$B60)</f>
        <v/>
      </c>
      <c r="D60" s="17">
        <f>SUMIFS('Raw Orders'!$E$5:$E$852,'Raw Orders'!$B$5:$B$852,$A60,'Raw Orders'!$D$5:$D$852,$B60)</f>
        <v/>
      </c>
      <c r="E60" s="17">
        <f>SUMIFS('Raw Orders'!$F$5:$F$852,'Raw Orders'!$B$5:$B$852,$A60,'Raw Orders'!$D$5:$D$852,$B60)</f>
        <v/>
      </c>
      <c r="F60" s="17">
        <f>SUMIFS('Raw Orders'!$F$5:$F$852,'Raw Orders'!$B$5:$B$852,$A60,'Raw Orders'!$I$5:$I$852,$B60,'Raw Orders'!$J$5:$J$852,FALSE)</f>
        <v/>
      </c>
      <c r="G60" s="17">
        <f>SUMIFS('Raw Orders'!$F$5:$F$852,'Raw Orders'!$B$5:$B$852,$A60,'Raw Orders'!$D$5:$D$852,"&lt;="&amp;$B60,'Raw Orders'!$J$5:$J$852,FALSE)-SUMIFS('Raw Orders'!$F$5:$F$852,'Raw Orders'!$B$5:$B$852,$A60,'Raw Orders'!$I$5:$I$852,"&lt;="&amp;$B60,'Raw Orders'!$J$5:$J$852,FALSE)</f>
        <v/>
      </c>
      <c r="H60" s="18">
        <f>IF(F60=0,"",E60/F60)</f>
        <v/>
      </c>
      <c r="I60" s="17">
        <f>G60*0.5</f>
        <v/>
      </c>
    </row>
    <row r="61">
      <c r="A61" s="5" t="inlineStr">
        <is>
          <t>APAC</t>
        </is>
      </c>
      <c r="B61" s="16" t="n">
        <v>45536</v>
      </c>
      <c r="C61" s="17">
        <f>COUNTIFS('Raw Orders'!$B$5:$B$852,$A61,'Raw Orders'!$D$5:$D$852,$B61)</f>
        <v/>
      </c>
      <c r="D61" s="17">
        <f>SUMIFS('Raw Orders'!$E$5:$E$852,'Raw Orders'!$B$5:$B$852,$A61,'Raw Orders'!$D$5:$D$852,$B61)</f>
        <v/>
      </c>
      <c r="E61" s="17">
        <f>SUMIFS('Raw Orders'!$F$5:$F$852,'Raw Orders'!$B$5:$B$852,$A61,'Raw Orders'!$D$5:$D$852,$B61)</f>
        <v/>
      </c>
      <c r="F61" s="17">
        <f>SUMIFS('Raw Orders'!$F$5:$F$852,'Raw Orders'!$B$5:$B$852,$A61,'Raw Orders'!$I$5:$I$852,$B61,'Raw Orders'!$J$5:$J$852,FALSE)</f>
        <v/>
      </c>
      <c r="G61" s="17">
        <f>SUMIFS('Raw Orders'!$F$5:$F$852,'Raw Orders'!$B$5:$B$852,$A61,'Raw Orders'!$D$5:$D$852,"&lt;="&amp;$B61,'Raw Orders'!$J$5:$J$852,FALSE)-SUMIFS('Raw Orders'!$F$5:$F$852,'Raw Orders'!$B$5:$B$852,$A61,'Raw Orders'!$I$5:$I$852,"&lt;="&amp;$B61,'Raw Orders'!$J$5:$J$852,FALSE)</f>
        <v/>
      </c>
      <c r="H61" s="18">
        <f>IF(F61=0,"",E61/F61)</f>
        <v/>
      </c>
      <c r="I61" s="17">
        <f>G61*0.5</f>
        <v/>
      </c>
    </row>
    <row r="62">
      <c r="A62" s="5" t="inlineStr">
        <is>
          <t>APAC</t>
        </is>
      </c>
      <c r="B62" s="16" t="n">
        <v>45566</v>
      </c>
      <c r="C62" s="17">
        <f>COUNTIFS('Raw Orders'!$B$5:$B$852,$A62,'Raw Orders'!$D$5:$D$852,$B62)</f>
        <v/>
      </c>
      <c r="D62" s="17">
        <f>SUMIFS('Raw Orders'!$E$5:$E$852,'Raw Orders'!$B$5:$B$852,$A62,'Raw Orders'!$D$5:$D$852,$B62)</f>
        <v/>
      </c>
      <c r="E62" s="17">
        <f>SUMIFS('Raw Orders'!$F$5:$F$852,'Raw Orders'!$B$5:$B$852,$A62,'Raw Orders'!$D$5:$D$852,$B62)</f>
        <v/>
      </c>
      <c r="F62" s="17">
        <f>SUMIFS('Raw Orders'!$F$5:$F$852,'Raw Orders'!$B$5:$B$852,$A62,'Raw Orders'!$I$5:$I$852,$B62,'Raw Orders'!$J$5:$J$852,FALSE)</f>
        <v/>
      </c>
      <c r="G62" s="17">
        <f>SUMIFS('Raw Orders'!$F$5:$F$852,'Raw Orders'!$B$5:$B$852,$A62,'Raw Orders'!$D$5:$D$852,"&lt;="&amp;$B62,'Raw Orders'!$J$5:$J$852,FALSE)-SUMIFS('Raw Orders'!$F$5:$F$852,'Raw Orders'!$B$5:$B$852,$A62,'Raw Orders'!$I$5:$I$852,"&lt;="&amp;$B62,'Raw Orders'!$J$5:$J$852,FALSE)</f>
        <v/>
      </c>
      <c r="H62" s="18">
        <f>IF(F62=0,"",E62/F62)</f>
        <v/>
      </c>
      <c r="I62" s="17">
        <f>G62*0.5</f>
        <v/>
      </c>
    </row>
    <row r="63">
      <c r="A63" s="5" t="inlineStr">
        <is>
          <t>APAC</t>
        </is>
      </c>
      <c r="B63" s="16" t="n">
        <v>45597</v>
      </c>
      <c r="C63" s="17">
        <f>COUNTIFS('Raw Orders'!$B$5:$B$852,$A63,'Raw Orders'!$D$5:$D$852,$B63)</f>
        <v/>
      </c>
      <c r="D63" s="17">
        <f>SUMIFS('Raw Orders'!$E$5:$E$852,'Raw Orders'!$B$5:$B$852,$A63,'Raw Orders'!$D$5:$D$852,$B63)</f>
        <v/>
      </c>
      <c r="E63" s="17">
        <f>SUMIFS('Raw Orders'!$F$5:$F$852,'Raw Orders'!$B$5:$B$852,$A63,'Raw Orders'!$D$5:$D$852,$B63)</f>
        <v/>
      </c>
      <c r="F63" s="17">
        <f>SUMIFS('Raw Orders'!$F$5:$F$852,'Raw Orders'!$B$5:$B$852,$A63,'Raw Orders'!$I$5:$I$852,$B63,'Raw Orders'!$J$5:$J$852,FALSE)</f>
        <v/>
      </c>
      <c r="G63" s="17">
        <f>SUMIFS('Raw Orders'!$F$5:$F$852,'Raw Orders'!$B$5:$B$852,$A63,'Raw Orders'!$D$5:$D$852,"&lt;="&amp;$B63,'Raw Orders'!$J$5:$J$852,FALSE)-SUMIFS('Raw Orders'!$F$5:$F$852,'Raw Orders'!$B$5:$B$852,$A63,'Raw Orders'!$I$5:$I$852,"&lt;="&amp;$B63,'Raw Orders'!$J$5:$J$852,FALSE)</f>
        <v/>
      </c>
      <c r="H63" s="18">
        <f>IF(F63=0,"",E63/F63)</f>
        <v/>
      </c>
      <c r="I63" s="17">
        <f>G63*0.5</f>
        <v/>
      </c>
    </row>
    <row r="64">
      <c r="A64" s="5" t="inlineStr">
        <is>
          <t>APAC</t>
        </is>
      </c>
      <c r="B64" s="16" t="n">
        <v>45627</v>
      </c>
      <c r="C64" s="17">
        <f>COUNTIFS('Raw Orders'!$B$5:$B$852,$A64,'Raw Orders'!$D$5:$D$852,$B64)</f>
        <v/>
      </c>
      <c r="D64" s="17">
        <f>SUMIFS('Raw Orders'!$E$5:$E$852,'Raw Orders'!$B$5:$B$852,$A64,'Raw Orders'!$D$5:$D$852,$B64)</f>
        <v/>
      </c>
      <c r="E64" s="17">
        <f>SUMIFS('Raw Orders'!$F$5:$F$852,'Raw Orders'!$B$5:$B$852,$A64,'Raw Orders'!$D$5:$D$852,$B64)</f>
        <v/>
      </c>
      <c r="F64" s="17">
        <f>SUMIFS('Raw Orders'!$F$5:$F$852,'Raw Orders'!$B$5:$B$852,$A64,'Raw Orders'!$I$5:$I$852,$B64,'Raw Orders'!$J$5:$J$852,FALSE)</f>
        <v/>
      </c>
      <c r="G64" s="17">
        <f>SUMIFS('Raw Orders'!$F$5:$F$852,'Raw Orders'!$B$5:$B$852,$A64,'Raw Orders'!$D$5:$D$852,"&lt;="&amp;$B64,'Raw Orders'!$J$5:$J$852,FALSE)-SUMIFS('Raw Orders'!$F$5:$F$852,'Raw Orders'!$B$5:$B$852,$A64,'Raw Orders'!$I$5:$I$852,"&lt;="&amp;$B64,'Raw Orders'!$J$5:$J$852,FALSE)</f>
        <v/>
      </c>
      <c r="H64" s="18">
        <f>IF(F64=0,"",E64/F64)</f>
        <v/>
      </c>
      <c r="I64" s="17">
        <f>G64*0.5</f>
        <v/>
      </c>
    </row>
    <row r="65">
      <c r="A65" s="5" t="inlineStr">
        <is>
          <t>APAC</t>
        </is>
      </c>
      <c r="B65" s="16" t="n">
        <v>45658</v>
      </c>
      <c r="C65" s="17">
        <f>COUNTIFS('Raw Orders'!$B$5:$B$852,$A65,'Raw Orders'!$D$5:$D$852,$B65)</f>
        <v/>
      </c>
      <c r="D65" s="17">
        <f>SUMIFS('Raw Orders'!$E$5:$E$852,'Raw Orders'!$B$5:$B$852,$A65,'Raw Orders'!$D$5:$D$852,$B65)</f>
        <v/>
      </c>
      <c r="E65" s="17">
        <f>SUMIFS('Raw Orders'!$F$5:$F$852,'Raw Orders'!$B$5:$B$852,$A65,'Raw Orders'!$D$5:$D$852,$B65)</f>
        <v/>
      </c>
      <c r="F65" s="17">
        <f>SUMIFS('Raw Orders'!$F$5:$F$852,'Raw Orders'!$B$5:$B$852,$A65,'Raw Orders'!$I$5:$I$852,$B65,'Raw Orders'!$J$5:$J$852,FALSE)</f>
        <v/>
      </c>
      <c r="G65" s="17">
        <f>SUMIFS('Raw Orders'!$F$5:$F$852,'Raw Orders'!$B$5:$B$852,$A65,'Raw Orders'!$D$5:$D$852,"&lt;="&amp;$B65,'Raw Orders'!$J$5:$J$852,FALSE)-SUMIFS('Raw Orders'!$F$5:$F$852,'Raw Orders'!$B$5:$B$852,$A65,'Raw Orders'!$I$5:$I$852,"&lt;="&amp;$B65,'Raw Orders'!$J$5:$J$852,FALSE)</f>
        <v/>
      </c>
      <c r="H65" s="18">
        <f>IF(F65=0,"",E65/F65)</f>
        <v/>
      </c>
      <c r="I65" s="17">
        <f>G65*0.5</f>
        <v/>
      </c>
    </row>
    <row r="66">
      <c r="A66" s="5" t="inlineStr">
        <is>
          <t>APAC</t>
        </is>
      </c>
      <c r="B66" s="16" t="n">
        <v>45689</v>
      </c>
      <c r="C66" s="17">
        <f>COUNTIFS('Raw Orders'!$B$5:$B$852,$A66,'Raw Orders'!$D$5:$D$852,$B66)</f>
        <v/>
      </c>
      <c r="D66" s="17">
        <f>SUMIFS('Raw Orders'!$E$5:$E$852,'Raw Orders'!$B$5:$B$852,$A66,'Raw Orders'!$D$5:$D$852,$B66)</f>
        <v/>
      </c>
      <c r="E66" s="17">
        <f>SUMIFS('Raw Orders'!$F$5:$F$852,'Raw Orders'!$B$5:$B$852,$A66,'Raw Orders'!$D$5:$D$852,$B66)</f>
        <v/>
      </c>
      <c r="F66" s="17">
        <f>SUMIFS('Raw Orders'!$F$5:$F$852,'Raw Orders'!$B$5:$B$852,$A66,'Raw Orders'!$I$5:$I$852,$B66,'Raw Orders'!$J$5:$J$852,FALSE)</f>
        <v/>
      </c>
      <c r="G66" s="17">
        <f>SUMIFS('Raw Orders'!$F$5:$F$852,'Raw Orders'!$B$5:$B$852,$A66,'Raw Orders'!$D$5:$D$852,"&lt;="&amp;$B66,'Raw Orders'!$J$5:$J$852,FALSE)-SUMIFS('Raw Orders'!$F$5:$F$852,'Raw Orders'!$B$5:$B$852,$A66,'Raw Orders'!$I$5:$I$852,"&lt;="&amp;$B66,'Raw Orders'!$J$5:$J$852,FALSE)</f>
        <v/>
      </c>
      <c r="H66" s="18">
        <f>IF(F66=0,"",E66/F66)</f>
        <v/>
      </c>
      <c r="I66" s="17">
        <f>G66*0.5</f>
        <v/>
      </c>
    </row>
    <row r="67">
      <c r="A67" s="5" t="inlineStr">
        <is>
          <t>APAC</t>
        </is>
      </c>
      <c r="B67" s="16" t="n">
        <v>45717</v>
      </c>
      <c r="C67" s="17">
        <f>COUNTIFS('Raw Orders'!$B$5:$B$852,$A67,'Raw Orders'!$D$5:$D$852,$B67)</f>
        <v/>
      </c>
      <c r="D67" s="17">
        <f>SUMIFS('Raw Orders'!$E$5:$E$852,'Raw Orders'!$B$5:$B$852,$A67,'Raw Orders'!$D$5:$D$852,$B67)</f>
        <v/>
      </c>
      <c r="E67" s="17">
        <f>SUMIFS('Raw Orders'!$F$5:$F$852,'Raw Orders'!$B$5:$B$852,$A67,'Raw Orders'!$D$5:$D$852,$B67)</f>
        <v/>
      </c>
      <c r="F67" s="17">
        <f>SUMIFS('Raw Orders'!$F$5:$F$852,'Raw Orders'!$B$5:$B$852,$A67,'Raw Orders'!$I$5:$I$852,$B67,'Raw Orders'!$J$5:$J$852,FALSE)</f>
        <v/>
      </c>
      <c r="G67" s="17">
        <f>SUMIFS('Raw Orders'!$F$5:$F$852,'Raw Orders'!$B$5:$B$852,$A67,'Raw Orders'!$D$5:$D$852,"&lt;="&amp;$B67,'Raw Orders'!$J$5:$J$852,FALSE)-SUMIFS('Raw Orders'!$F$5:$F$852,'Raw Orders'!$B$5:$B$852,$A67,'Raw Orders'!$I$5:$I$852,"&lt;="&amp;$B67,'Raw Orders'!$J$5:$J$852,FALSE)</f>
        <v/>
      </c>
      <c r="H67" s="18">
        <f>IF(F67=0,"",E67/F67)</f>
        <v/>
      </c>
      <c r="I67" s="17">
        <f>G67*0.5</f>
        <v/>
      </c>
    </row>
    <row r="68">
      <c r="A68" s="5" t="inlineStr">
        <is>
          <t>APAC</t>
        </is>
      </c>
      <c r="B68" s="16" t="n">
        <v>45748</v>
      </c>
      <c r="C68" s="17">
        <f>COUNTIFS('Raw Orders'!$B$5:$B$852,$A68,'Raw Orders'!$D$5:$D$852,$B68)</f>
        <v/>
      </c>
      <c r="D68" s="17">
        <f>SUMIFS('Raw Orders'!$E$5:$E$852,'Raw Orders'!$B$5:$B$852,$A68,'Raw Orders'!$D$5:$D$852,$B68)</f>
        <v/>
      </c>
      <c r="E68" s="17">
        <f>SUMIFS('Raw Orders'!$F$5:$F$852,'Raw Orders'!$B$5:$B$852,$A68,'Raw Orders'!$D$5:$D$852,$B68)</f>
        <v/>
      </c>
      <c r="F68" s="17">
        <f>SUMIFS('Raw Orders'!$F$5:$F$852,'Raw Orders'!$B$5:$B$852,$A68,'Raw Orders'!$I$5:$I$852,$B68,'Raw Orders'!$J$5:$J$852,FALSE)</f>
        <v/>
      </c>
      <c r="G68" s="17">
        <f>SUMIFS('Raw Orders'!$F$5:$F$852,'Raw Orders'!$B$5:$B$852,$A68,'Raw Orders'!$D$5:$D$852,"&lt;="&amp;$B68,'Raw Orders'!$J$5:$J$852,FALSE)-SUMIFS('Raw Orders'!$F$5:$F$852,'Raw Orders'!$B$5:$B$852,$A68,'Raw Orders'!$I$5:$I$852,"&lt;="&amp;$B68,'Raw Orders'!$J$5:$J$852,FALSE)</f>
        <v/>
      </c>
      <c r="H68" s="18">
        <f>IF(F68=0,"",E68/F68)</f>
        <v/>
      </c>
      <c r="I68" s="17">
        <f>G68*0.5</f>
        <v/>
      </c>
    </row>
    <row r="69">
      <c r="A69" s="5" t="inlineStr">
        <is>
          <t>APAC</t>
        </is>
      </c>
      <c r="B69" s="16" t="n">
        <v>45778</v>
      </c>
      <c r="C69" s="17">
        <f>COUNTIFS('Raw Orders'!$B$5:$B$852,$A69,'Raw Orders'!$D$5:$D$852,$B69)</f>
        <v/>
      </c>
      <c r="D69" s="17">
        <f>SUMIFS('Raw Orders'!$E$5:$E$852,'Raw Orders'!$B$5:$B$852,$A69,'Raw Orders'!$D$5:$D$852,$B69)</f>
        <v/>
      </c>
      <c r="E69" s="17">
        <f>SUMIFS('Raw Orders'!$F$5:$F$852,'Raw Orders'!$B$5:$B$852,$A69,'Raw Orders'!$D$5:$D$852,$B69)</f>
        <v/>
      </c>
      <c r="F69" s="17">
        <f>SUMIFS('Raw Orders'!$F$5:$F$852,'Raw Orders'!$B$5:$B$852,$A69,'Raw Orders'!$I$5:$I$852,$B69,'Raw Orders'!$J$5:$J$852,FALSE)</f>
        <v/>
      </c>
      <c r="G69" s="17">
        <f>SUMIFS('Raw Orders'!$F$5:$F$852,'Raw Orders'!$B$5:$B$852,$A69,'Raw Orders'!$D$5:$D$852,"&lt;="&amp;$B69,'Raw Orders'!$J$5:$J$852,FALSE)-SUMIFS('Raw Orders'!$F$5:$F$852,'Raw Orders'!$B$5:$B$852,$A69,'Raw Orders'!$I$5:$I$852,"&lt;="&amp;$B69,'Raw Orders'!$J$5:$J$852,FALSE)</f>
        <v/>
      </c>
      <c r="H69" s="18">
        <f>IF(F69=0,"",E69/F69)</f>
        <v/>
      </c>
      <c r="I69" s="17">
        <f>G69*0.5</f>
        <v/>
      </c>
    </row>
    <row r="70">
      <c r="A70" s="5" t="inlineStr">
        <is>
          <t>APAC</t>
        </is>
      </c>
      <c r="B70" s="16" t="n">
        <v>45809</v>
      </c>
      <c r="C70" s="17">
        <f>COUNTIFS('Raw Orders'!$B$5:$B$852,$A70,'Raw Orders'!$D$5:$D$852,$B70)</f>
        <v/>
      </c>
      <c r="D70" s="17">
        <f>SUMIFS('Raw Orders'!$E$5:$E$852,'Raw Orders'!$B$5:$B$852,$A70,'Raw Orders'!$D$5:$D$852,$B70)</f>
        <v/>
      </c>
      <c r="E70" s="17">
        <f>SUMIFS('Raw Orders'!$F$5:$F$852,'Raw Orders'!$B$5:$B$852,$A70,'Raw Orders'!$D$5:$D$852,$B70)</f>
        <v/>
      </c>
      <c r="F70" s="17">
        <f>SUMIFS('Raw Orders'!$F$5:$F$852,'Raw Orders'!$B$5:$B$852,$A70,'Raw Orders'!$I$5:$I$852,$B70,'Raw Orders'!$J$5:$J$852,FALSE)</f>
        <v/>
      </c>
      <c r="G70" s="17">
        <f>SUMIFS('Raw Orders'!$F$5:$F$852,'Raw Orders'!$B$5:$B$852,$A70,'Raw Orders'!$D$5:$D$852,"&lt;="&amp;$B70,'Raw Orders'!$J$5:$J$852,FALSE)-SUMIFS('Raw Orders'!$F$5:$F$852,'Raw Orders'!$B$5:$B$852,$A70,'Raw Orders'!$I$5:$I$852,"&lt;="&amp;$B70,'Raw Orders'!$J$5:$J$852,FALSE)</f>
        <v/>
      </c>
      <c r="H70" s="18">
        <f>IF(F70=0,"",E70/F70)</f>
        <v/>
      </c>
      <c r="I70" s="17">
        <f>G70*0.5</f>
        <v/>
      </c>
    </row>
    <row r="71">
      <c r="A71" s="5" t="inlineStr">
        <is>
          <t>APAC</t>
        </is>
      </c>
      <c r="B71" s="16" t="n">
        <v>45839</v>
      </c>
      <c r="C71" s="17">
        <f>COUNTIFS('Raw Orders'!$B$5:$B$852,$A71,'Raw Orders'!$D$5:$D$852,$B71)</f>
        <v/>
      </c>
      <c r="D71" s="17">
        <f>SUMIFS('Raw Orders'!$E$5:$E$852,'Raw Orders'!$B$5:$B$852,$A71,'Raw Orders'!$D$5:$D$852,$B71)</f>
        <v/>
      </c>
      <c r="E71" s="17">
        <f>SUMIFS('Raw Orders'!$F$5:$F$852,'Raw Orders'!$B$5:$B$852,$A71,'Raw Orders'!$D$5:$D$852,$B71)</f>
        <v/>
      </c>
      <c r="F71" s="17">
        <f>SUMIFS('Raw Orders'!$F$5:$F$852,'Raw Orders'!$B$5:$B$852,$A71,'Raw Orders'!$I$5:$I$852,$B71,'Raw Orders'!$J$5:$J$852,FALSE)</f>
        <v/>
      </c>
      <c r="G71" s="17">
        <f>SUMIFS('Raw Orders'!$F$5:$F$852,'Raw Orders'!$B$5:$B$852,$A71,'Raw Orders'!$D$5:$D$852,"&lt;="&amp;$B71,'Raw Orders'!$J$5:$J$852,FALSE)-SUMIFS('Raw Orders'!$F$5:$F$852,'Raw Orders'!$B$5:$B$852,$A71,'Raw Orders'!$I$5:$I$852,"&lt;="&amp;$B71,'Raw Orders'!$J$5:$J$852,FALSE)</f>
        <v/>
      </c>
      <c r="H71" s="18">
        <f>IF(F71=0,"",E71/F71)</f>
        <v/>
      </c>
      <c r="I71" s="17">
        <f>G71*0.5</f>
        <v/>
      </c>
    </row>
    <row r="72">
      <c r="A72" s="5" t="inlineStr">
        <is>
          <t>APAC</t>
        </is>
      </c>
      <c r="B72" s="16" t="n">
        <v>45870</v>
      </c>
      <c r="C72" s="17">
        <f>COUNTIFS('Raw Orders'!$B$5:$B$852,$A72,'Raw Orders'!$D$5:$D$852,$B72)</f>
        <v/>
      </c>
      <c r="D72" s="17">
        <f>SUMIFS('Raw Orders'!$E$5:$E$852,'Raw Orders'!$B$5:$B$852,$A72,'Raw Orders'!$D$5:$D$852,$B72)</f>
        <v/>
      </c>
      <c r="E72" s="17">
        <f>SUMIFS('Raw Orders'!$F$5:$F$852,'Raw Orders'!$B$5:$B$852,$A72,'Raw Orders'!$D$5:$D$852,$B72)</f>
        <v/>
      </c>
      <c r="F72" s="17">
        <f>SUMIFS('Raw Orders'!$F$5:$F$852,'Raw Orders'!$B$5:$B$852,$A72,'Raw Orders'!$I$5:$I$852,$B72,'Raw Orders'!$J$5:$J$852,FALSE)</f>
        <v/>
      </c>
      <c r="G72" s="17">
        <f>SUMIFS('Raw Orders'!$F$5:$F$852,'Raw Orders'!$B$5:$B$852,$A72,'Raw Orders'!$D$5:$D$852,"&lt;="&amp;$B72,'Raw Orders'!$J$5:$J$852,FALSE)-SUMIFS('Raw Orders'!$F$5:$F$852,'Raw Orders'!$B$5:$B$852,$A72,'Raw Orders'!$I$5:$I$852,"&lt;="&amp;$B72,'Raw Orders'!$J$5:$J$852,FALSE)</f>
        <v/>
      </c>
      <c r="H72" s="18">
        <f>IF(F72=0,"",E72/F72)</f>
        <v/>
      </c>
      <c r="I72" s="17">
        <f>G72*0.5</f>
        <v/>
      </c>
    </row>
    <row r="73">
      <c r="A73" s="5" t="inlineStr">
        <is>
          <t>APAC</t>
        </is>
      </c>
      <c r="B73" s="16" t="n">
        <v>45901</v>
      </c>
      <c r="C73" s="17">
        <f>COUNTIFS('Raw Orders'!$B$5:$B$852,$A73,'Raw Orders'!$D$5:$D$852,$B73)</f>
        <v/>
      </c>
      <c r="D73" s="17">
        <f>SUMIFS('Raw Orders'!$E$5:$E$852,'Raw Orders'!$B$5:$B$852,$A73,'Raw Orders'!$D$5:$D$852,$B73)</f>
        <v/>
      </c>
      <c r="E73" s="17">
        <f>SUMIFS('Raw Orders'!$F$5:$F$852,'Raw Orders'!$B$5:$B$852,$A73,'Raw Orders'!$D$5:$D$852,$B73)</f>
        <v/>
      </c>
      <c r="F73" s="17">
        <f>SUMIFS('Raw Orders'!$F$5:$F$852,'Raw Orders'!$B$5:$B$852,$A73,'Raw Orders'!$I$5:$I$852,$B73,'Raw Orders'!$J$5:$J$852,FALSE)</f>
        <v/>
      </c>
      <c r="G73" s="17">
        <f>SUMIFS('Raw Orders'!$F$5:$F$852,'Raw Orders'!$B$5:$B$852,$A73,'Raw Orders'!$D$5:$D$852,"&lt;="&amp;$B73,'Raw Orders'!$J$5:$J$852,FALSE)-SUMIFS('Raw Orders'!$F$5:$F$852,'Raw Orders'!$B$5:$B$852,$A73,'Raw Orders'!$I$5:$I$852,"&lt;="&amp;$B73,'Raw Orders'!$J$5:$J$852,FALSE)</f>
        <v/>
      </c>
      <c r="H73" s="18">
        <f>IF(F73=0,"",E73/F73)</f>
        <v/>
      </c>
      <c r="I73" s="17">
        <f>G73*0.5</f>
        <v/>
      </c>
    </row>
    <row r="74">
      <c r="A74" s="5" t="inlineStr">
        <is>
          <t>APAC</t>
        </is>
      </c>
      <c r="B74" s="16" t="n">
        <v>45931</v>
      </c>
      <c r="C74" s="17">
        <f>COUNTIFS('Raw Orders'!$B$5:$B$852,$A74,'Raw Orders'!$D$5:$D$852,$B74)</f>
        <v/>
      </c>
      <c r="D74" s="17">
        <f>SUMIFS('Raw Orders'!$E$5:$E$852,'Raw Orders'!$B$5:$B$852,$A74,'Raw Orders'!$D$5:$D$852,$B74)</f>
        <v/>
      </c>
      <c r="E74" s="17">
        <f>SUMIFS('Raw Orders'!$F$5:$F$852,'Raw Orders'!$B$5:$B$852,$A74,'Raw Orders'!$D$5:$D$852,$B74)</f>
        <v/>
      </c>
      <c r="F74" s="17">
        <f>SUMIFS('Raw Orders'!$F$5:$F$852,'Raw Orders'!$B$5:$B$852,$A74,'Raw Orders'!$I$5:$I$852,$B74,'Raw Orders'!$J$5:$J$852,FALSE)</f>
        <v/>
      </c>
      <c r="G74" s="17">
        <f>SUMIFS('Raw Orders'!$F$5:$F$852,'Raw Orders'!$B$5:$B$852,$A74,'Raw Orders'!$D$5:$D$852,"&lt;="&amp;$B74,'Raw Orders'!$J$5:$J$852,FALSE)-SUMIFS('Raw Orders'!$F$5:$F$852,'Raw Orders'!$B$5:$B$852,$A74,'Raw Orders'!$I$5:$I$852,"&lt;="&amp;$B74,'Raw Orders'!$J$5:$J$852,FALSE)</f>
        <v/>
      </c>
      <c r="H74" s="18">
        <f>IF(F74=0,"",E74/F74)</f>
        <v/>
      </c>
      <c r="I74" s="17">
        <f>G74*0.5</f>
        <v/>
      </c>
    </row>
    <row r="75">
      <c r="A75" s="5" t="inlineStr">
        <is>
          <t>APAC</t>
        </is>
      </c>
      <c r="B75" s="16" t="n">
        <v>45962</v>
      </c>
      <c r="C75" s="17">
        <f>COUNTIFS('Raw Orders'!$B$5:$B$852,$A75,'Raw Orders'!$D$5:$D$852,$B75)</f>
        <v/>
      </c>
      <c r="D75" s="17">
        <f>SUMIFS('Raw Orders'!$E$5:$E$852,'Raw Orders'!$B$5:$B$852,$A75,'Raw Orders'!$D$5:$D$852,$B75)</f>
        <v/>
      </c>
      <c r="E75" s="17">
        <f>SUMIFS('Raw Orders'!$F$5:$F$852,'Raw Orders'!$B$5:$B$852,$A75,'Raw Orders'!$D$5:$D$852,$B75)</f>
        <v/>
      </c>
      <c r="F75" s="17">
        <f>SUMIFS('Raw Orders'!$F$5:$F$852,'Raw Orders'!$B$5:$B$852,$A75,'Raw Orders'!$I$5:$I$852,$B75,'Raw Orders'!$J$5:$J$852,FALSE)</f>
        <v/>
      </c>
      <c r="G75" s="17">
        <f>SUMIFS('Raw Orders'!$F$5:$F$852,'Raw Orders'!$B$5:$B$852,$A75,'Raw Orders'!$D$5:$D$852,"&lt;="&amp;$B75,'Raw Orders'!$J$5:$J$852,FALSE)-SUMIFS('Raw Orders'!$F$5:$F$852,'Raw Orders'!$B$5:$B$852,$A75,'Raw Orders'!$I$5:$I$852,"&lt;="&amp;$B75,'Raw Orders'!$J$5:$J$852,FALSE)</f>
        <v/>
      </c>
      <c r="H75" s="18">
        <f>IF(F75=0,"",E75/F75)</f>
        <v/>
      </c>
      <c r="I75" s="17">
        <f>G75*0.5</f>
        <v/>
      </c>
    </row>
    <row r="76">
      <c r="A76" s="5" t="inlineStr">
        <is>
          <t>APAC</t>
        </is>
      </c>
      <c r="B76" s="16" t="n">
        <v>45992</v>
      </c>
      <c r="C76" s="17">
        <f>COUNTIFS('Raw Orders'!$B$5:$B$852,$A76,'Raw Orders'!$D$5:$D$852,$B76)</f>
        <v/>
      </c>
      <c r="D76" s="17">
        <f>SUMIFS('Raw Orders'!$E$5:$E$852,'Raw Orders'!$B$5:$B$852,$A76,'Raw Orders'!$D$5:$D$852,$B76)</f>
        <v/>
      </c>
      <c r="E76" s="17">
        <f>SUMIFS('Raw Orders'!$F$5:$F$852,'Raw Orders'!$B$5:$B$852,$A76,'Raw Orders'!$D$5:$D$852,$B76)</f>
        <v/>
      </c>
      <c r="F76" s="17">
        <f>SUMIFS('Raw Orders'!$F$5:$F$852,'Raw Orders'!$B$5:$B$852,$A76,'Raw Orders'!$I$5:$I$852,$B76,'Raw Orders'!$J$5:$J$852,FALSE)</f>
        <v/>
      </c>
      <c r="G76" s="17">
        <f>SUMIFS('Raw Orders'!$F$5:$F$852,'Raw Orders'!$B$5:$B$852,$A76,'Raw Orders'!$D$5:$D$852,"&lt;="&amp;$B76,'Raw Orders'!$J$5:$J$852,FALSE)-SUMIFS('Raw Orders'!$F$5:$F$852,'Raw Orders'!$B$5:$B$852,$A76,'Raw Orders'!$I$5:$I$852,"&lt;="&amp;$B76,'Raw Orders'!$J$5:$J$852,FALSE)</f>
        <v/>
      </c>
      <c r="H76" s="18">
        <f>IF(F76=0,"",E76/F76)</f>
        <v/>
      </c>
      <c r="I76" s="17">
        <f>G76*0.5</f>
        <v/>
      </c>
    </row>
    <row r="77">
      <c r="A77" s="5" t="inlineStr">
        <is>
          <t>LATAM</t>
        </is>
      </c>
      <c r="B77" s="16" t="n">
        <v>45292</v>
      </c>
      <c r="C77" s="17">
        <f>COUNTIFS('Raw Orders'!$B$5:$B$852,$A77,'Raw Orders'!$D$5:$D$852,$B77)</f>
        <v/>
      </c>
      <c r="D77" s="17">
        <f>SUMIFS('Raw Orders'!$E$5:$E$852,'Raw Orders'!$B$5:$B$852,$A77,'Raw Orders'!$D$5:$D$852,$B77)</f>
        <v/>
      </c>
      <c r="E77" s="17">
        <f>SUMIFS('Raw Orders'!$F$5:$F$852,'Raw Orders'!$B$5:$B$852,$A77,'Raw Orders'!$D$5:$D$852,$B77)</f>
        <v/>
      </c>
      <c r="F77" s="17">
        <f>SUMIFS('Raw Orders'!$F$5:$F$852,'Raw Orders'!$B$5:$B$852,$A77,'Raw Orders'!$I$5:$I$852,$B77,'Raw Orders'!$J$5:$J$852,FALSE)</f>
        <v/>
      </c>
      <c r="G77" s="17">
        <f>SUMIFS('Raw Orders'!$F$5:$F$852,'Raw Orders'!$B$5:$B$852,$A77,'Raw Orders'!$D$5:$D$852,"&lt;="&amp;$B77,'Raw Orders'!$J$5:$J$852,FALSE)-SUMIFS('Raw Orders'!$F$5:$F$852,'Raw Orders'!$B$5:$B$852,$A77,'Raw Orders'!$I$5:$I$852,"&lt;="&amp;$B77,'Raw Orders'!$J$5:$J$852,FALSE)</f>
        <v/>
      </c>
      <c r="H77" s="18">
        <f>IF(F77=0,"",E77/F77)</f>
        <v/>
      </c>
      <c r="I77" s="17">
        <f>G77*0.5</f>
        <v/>
      </c>
    </row>
    <row r="78">
      <c r="A78" s="5" t="inlineStr">
        <is>
          <t>LATAM</t>
        </is>
      </c>
      <c r="B78" s="16" t="n">
        <v>45323</v>
      </c>
      <c r="C78" s="17">
        <f>COUNTIFS('Raw Orders'!$B$5:$B$852,$A78,'Raw Orders'!$D$5:$D$852,$B78)</f>
        <v/>
      </c>
      <c r="D78" s="17">
        <f>SUMIFS('Raw Orders'!$E$5:$E$852,'Raw Orders'!$B$5:$B$852,$A78,'Raw Orders'!$D$5:$D$852,$B78)</f>
        <v/>
      </c>
      <c r="E78" s="17">
        <f>SUMIFS('Raw Orders'!$F$5:$F$852,'Raw Orders'!$B$5:$B$852,$A78,'Raw Orders'!$D$5:$D$852,$B78)</f>
        <v/>
      </c>
      <c r="F78" s="17">
        <f>SUMIFS('Raw Orders'!$F$5:$F$852,'Raw Orders'!$B$5:$B$852,$A78,'Raw Orders'!$I$5:$I$852,$B78,'Raw Orders'!$J$5:$J$852,FALSE)</f>
        <v/>
      </c>
      <c r="G78" s="17">
        <f>SUMIFS('Raw Orders'!$F$5:$F$852,'Raw Orders'!$B$5:$B$852,$A78,'Raw Orders'!$D$5:$D$852,"&lt;="&amp;$B78,'Raw Orders'!$J$5:$J$852,FALSE)-SUMIFS('Raw Orders'!$F$5:$F$852,'Raw Orders'!$B$5:$B$852,$A78,'Raw Orders'!$I$5:$I$852,"&lt;="&amp;$B78,'Raw Orders'!$J$5:$J$852,FALSE)</f>
        <v/>
      </c>
      <c r="H78" s="18">
        <f>IF(F78=0,"",E78/F78)</f>
        <v/>
      </c>
      <c r="I78" s="17">
        <f>G78*0.5</f>
        <v/>
      </c>
    </row>
    <row r="79">
      <c r="A79" s="5" t="inlineStr">
        <is>
          <t>LATAM</t>
        </is>
      </c>
      <c r="B79" s="16" t="n">
        <v>45352</v>
      </c>
      <c r="C79" s="17">
        <f>COUNTIFS('Raw Orders'!$B$5:$B$852,$A79,'Raw Orders'!$D$5:$D$852,$B79)</f>
        <v/>
      </c>
      <c r="D79" s="17">
        <f>SUMIFS('Raw Orders'!$E$5:$E$852,'Raw Orders'!$B$5:$B$852,$A79,'Raw Orders'!$D$5:$D$852,$B79)</f>
        <v/>
      </c>
      <c r="E79" s="17">
        <f>SUMIFS('Raw Orders'!$F$5:$F$852,'Raw Orders'!$B$5:$B$852,$A79,'Raw Orders'!$D$5:$D$852,$B79)</f>
        <v/>
      </c>
      <c r="F79" s="17">
        <f>SUMIFS('Raw Orders'!$F$5:$F$852,'Raw Orders'!$B$5:$B$852,$A79,'Raw Orders'!$I$5:$I$852,$B79,'Raw Orders'!$J$5:$J$852,FALSE)</f>
        <v/>
      </c>
      <c r="G79" s="17">
        <f>SUMIFS('Raw Orders'!$F$5:$F$852,'Raw Orders'!$B$5:$B$852,$A79,'Raw Orders'!$D$5:$D$852,"&lt;="&amp;$B79,'Raw Orders'!$J$5:$J$852,FALSE)-SUMIFS('Raw Orders'!$F$5:$F$852,'Raw Orders'!$B$5:$B$852,$A79,'Raw Orders'!$I$5:$I$852,"&lt;="&amp;$B79,'Raw Orders'!$J$5:$J$852,FALSE)</f>
        <v/>
      </c>
      <c r="H79" s="18">
        <f>IF(F79=0,"",E79/F79)</f>
        <v/>
      </c>
      <c r="I79" s="17">
        <f>G79*0.5</f>
        <v/>
      </c>
    </row>
    <row r="80">
      <c r="A80" s="5" t="inlineStr">
        <is>
          <t>LATAM</t>
        </is>
      </c>
      <c r="B80" s="16" t="n">
        <v>45383</v>
      </c>
      <c r="C80" s="17">
        <f>COUNTIFS('Raw Orders'!$B$5:$B$852,$A80,'Raw Orders'!$D$5:$D$852,$B80)</f>
        <v/>
      </c>
      <c r="D80" s="17">
        <f>SUMIFS('Raw Orders'!$E$5:$E$852,'Raw Orders'!$B$5:$B$852,$A80,'Raw Orders'!$D$5:$D$852,$B80)</f>
        <v/>
      </c>
      <c r="E80" s="17">
        <f>SUMIFS('Raw Orders'!$F$5:$F$852,'Raw Orders'!$B$5:$B$852,$A80,'Raw Orders'!$D$5:$D$852,$B80)</f>
        <v/>
      </c>
      <c r="F80" s="17">
        <f>SUMIFS('Raw Orders'!$F$5:$F$852,'Raw Orders'!$B$5:$B$852,$A80,'Raw Orders'!$I$5:$I$852,$B80,'Raw Orders'!$J$5:$J$852,FALSE)</f>
        <v/>
      </c>
      <c r="G80" s="17">
        <f>SUMIFS('Raw Orders'!$F$5:$F$852,'Raw Orders'!$B$5:$B$852,$A80,'Raw Orders'!$D$5:$D$852,"&lt;="&amp;$B80,'Raw Orders'!$J$5:$J$852,FALSE)-SUMIFS('Raw Orders'!$F$5:$F$852,'Raw Orders'!$B$5:$B$852,$A80,'Raw Orders'!$I$5:$I$852,"&lt;="&amp;$B80,'Raw Orders'!$J$5:$J$852,FALSE)</f>
        <v/>
      </c>
      <c r="H80" s="18">
        <f>IF(F80=0,"",E80/F80)</f>
        <v/>
      </c>
      <c r="I80" s="17">
        <f>G80*0.5</f>
        <v/>
      </c>
    </row>
    <row r="81">
      <c r="A81" s="5" t="inlineStr">
        <is>
          <t>LATAM</t>
        </is>
      </c>
      <c r="B81" s="16" t="n">
        <v>45413</v>
      </c>
      <c r="C81" s="17">
        <f>COUNTIFS('Raw Orders'!$B$5:$B$852,$A81,'Raw Orders'!$D$5:$D$852,$B81)</f>
        <v/>
      </c>
      <c r="D81" s="17">
        <f>SUMIFS('Raw Orders'!$E$5:$E$852,'Raw Orders'!$B$5:$B$852,$A81,'Raw Orders'!$D$5:$D$852,$B81)</f>
        <v/>
      </c>
      <c r="E81" s="17">
        <f>SUMIFS('Raw Orders'!$F$5:$F$852,'Raw Orders'!$B$5:$B$852,$A81,'Raw Orders'!$D$5:$D$852,$B81)</f>
        <v/>
      </c>
      <c r="F81" s="17">
        <f>SUMIFS('Raw Orders'!$F$5:$F$852,'Raw Orders'!$B$5:$B$852,$A81,'Raw Orders'!$I$5:$I$852,$B81,'Raw Orders'!$J$5:$J$852,FALSE)</f>
        <v/>
      </c>
      <c r="G81" s="17">
        <f>SUMIFS('Raw Orders'!$F$5:$F$852,'Raw Orders'!$B$5:$B$852,$A81,'Raw Orders'!$D$5:$D$852,"&lt;="&amp;$B81,'Raw Orders'!$J$5:$J$852,FALSE)-SUMIFS('Raw Orders'!$F$5:$F$852,'Raw Orders'!$B$5:$B$852,$A81,'Raw Orders'!$I$5:$I$852,"&lt;="&amp;$B81,'Raw Orders'!$J$5:$J$852,FALSE)</f>
        <v/>
      </c>
      <c r="H81" s="18">
        <f>IF(F81=0,"",E81/F81)</f>
        <v/>
      </c>
      <c r="I81" s="17">
        <f>G81*0.5</f>
        <v/>
      </c>
    </row>
    <row r="82">
      <c r="A82" s="5" t="inlineStr">
        <is>
          <t>LATAM</t>
        </is>
      </c>
      <c r="B82" s="16" t="n">
        <v>45444</v>
      </c>
      <c r="C82" s="17">
        <f>COUNTIFS('Raw Orders'!$B$5:$B$852,$A82,'Raw Orders'!$D$5:$D$852,$B82)</f>
        <v/>
      </c>
      <c r="D82" s="17">
        <f>SUMIFS('Raw Orders'!$E$5:$E$852,'Raw Orders'!$B$5:$B$852,$A82,'Raw Orders'!$D$5:$D$852,$B82)</f>
        <v/>
      </c>
      <c r="E82" s="17">
        <f>SUMIFS('Raw Orders'!$F$5:$F$852,'Raw Orders'!$B$5:$B$852,$A82,'Raw Orders'!$D$5:$D$852,$B82)</f>
        <v/>
      </c>
      <c r="F82" s="17">
        <f>SUMIFS('Raw Orders'!$F$5:$F$852,'Raw Orders'!$B$5:$B$852,$A82,'Raw Orders'!$I$5:$I$852,$B82,'Raw Orders'!$J$5:$J$852,FALSE)</f>
        <v/>
      </c>
      <c r="G82" s="17">
        <f>SUMIFS('Raw Orders'!$F$5:$F$852,'Raw Orders'!$B$5:$B$852,$A82,'Raw Orders'!$D$5:$D$852,"&lt;="&amp;$B82,'Raw Orders'!$J$5:$J$852,FALSE)-SUMIFS('Raw Orders'!$F$5:$F$852,'Raw Orders'!$B$5:$B$852,$A82,'Raw Orders'!$I$5:$I$852,"&lt;="&amp;$B82,'Raw Orders'!$J$5:$J$852,FALSE)</f>
        <v/>
      </c>
      <c r="H82" s="18">
        <f>IF(F82=0,"",E82/F82)</f>
        <v/>
      </c>
      <c r="I82" s="17">
        <f>G82*0.5</f>
        <v/>
      </c>
    </row>
    <row r="83">
      <c r="A83" s="5" t="inlineStr">
        <is>
          <t>LATAM</t>
        </is>
      </c>
      <c r="B83" s="16" t="n">
        <v>45474</v>
      </c>
      <c r="C83" s="17">
        <f>COUNTIFS('Raw Orders'!$B$5:$B$852,$A83,'Raw Orders'!$D$5:$D$852,$B83)</f>
        <v/>
      </c>
      <c r="D83" s="17">
        <f>SUMIFS('Raw Orders'!$E$5:$E$852,'Raw Orders'!$B$5:$B$852,$A83,'Raw Orders'!$D$5:$D$852,$B83)</f>
        <v/>
      </c>
      <c r="E83" s="17">
        <f>SUMIFS('Raw Orders'!$F$5:$F$852,'Raw Orders'!$B$5:$B$852,$A83,'Raw Orders'!$D$5:$D$852,$B83)</f>
        <v/>
      </c>
      <c r="F83" s="17">
        <f>SUMIFS('Raw Orders'!$F$5:$F$852,'Raw Orders'!$B$5:$B$852,$A83,'Raw Orders'!$I$5:$I$852,$B83,'Raw Orders'!$J$5:$J$852,FALSE)</f>
        <v/>
      </c>
      <c r="G83" s="17">
        <f>SUMIFS('Raw Orders'!$F$5:$F$852,'Raw Orders'!$B$5:$B$852,$A83,'Raw Orders'!$D$5:$D$852,"&lt;="&amp;$B83,'Raw Orders'!$J$5:$J$852,FALSE)-SUMIFS('Raw Orders'!$F$5:$F$852,'Raw Orders'!$B$5:$B$852,$A83,'Raw Orders'!$I$5:$I$852,"&lt;="&amp;$B83,'Raw Orders'!$J$5:$J$852,FALSE)</f>
        <v/>
      </c>
      <c r="H83" s="18">
        <f>IF(F83=0,"",E83/F83)</f>
        <v/>
      </c>
      <c r="I83" s="17">
        <f>G83*0.5</f>
        <v/>
      </c>
    </row>
    <row r="84">
      <c r="A84" s="5" t="inlineStr">
        <is>
          <t>LATAM</t>
        </is>
      </c>
      <c r="B84" s="16" t="n">
        <v>45505</v>
      </c>
      <c r="C84" s="17">
        <f>COUNTIFS('Raw Orders'!$B$5:$B$852,$A84,'Raw Orders'!$D$5:$D$852,$B84)</f>
        <v/>
      </c>
      <c r="D84" s="17">
        <f>SUMIFS('Raw Orders'!$E$5:$E$852,'Raw Orders'!$B$5:$B$852,$A84,'Raw Orders'!$D$5:$D$852,$B84)</f>
        <v/>
      </c>
      <c r="E84" s="17">
        <f>SUMIFS('Raw Orders'!$F$5:$F$852,'Raw Orders'!$B$5:$B$852,$A84,'Raw Orders'!$D$5:$D$852,$B84)</f>
        <v/>
      </c>
      <c r="F84" s="17">
        <f>SUMIFS('Raw Orders'!$F$5:$F$852,'Raw Orders'!$B$5:$B$852,$A84,'Raw Orders'!$I$5:$I$852,$B84,'Raw Orders'!$J$5:$J$852,FALSE)</f>
        <v/>
      </c>
      <c r="G84" s="17">
        <f>SUMIFS('Raw Orders'!$F$5:$F$852,'Raw Orders'!$B$5:$B$852,$A84,'Raw Orders'!$D$5:$D$852,"&lt;="&amp;$B84,'Raw Orders'!$J$5:$J$852,FALSE)-SUMIFS('Raw Orders'!$F$5:$F$852,'Raw Orders'!$B$5:$B$852,$A84,'Raw Orders'!$I$5:$I$852,"&lt;="&amp;$B84,'Raw Orders'!$J$5:$J$852,FALSE)</f>
        <v/>
      </c>
      <c r="H84" s="18">
        <f>IF(F84=0,"",E84/F84)</f>
        <v/>
      </c>
      <c r="I84" s="17">
        <f>G84*0.5</f>
        <v/>
      </c>
    </row>
    <row r="85">
      <c r="A85" s="5" t="inlineStr">
        <is>
          <t>LATAM</t>
        </is>
      </c>
      <c r="B85" s="16" t="n">
        <v>45536</v>
      </c>
      <c r="C85" s="17">
        <f>COUNTIFS('Raw Orders'!$B$5:$B$852,$A85,'Raw Orders'!$D$5:$D$852,$B85)</f>
        <v/>
      </c>
      <c r="D85" s="17">
        <f>SUMIFS('Raw Orders'!$E$5:$E$852,'Raw Orders'!$B$5:$B$852,$A85,'Raw Orders'!$D$5:$D$852,$B85)</f>
        <v/>
      </c>
      <c r="E85" s="17">
        <f>SUMIFS('Raw Orders'!$F$5:$F$852,'Raw Orders'!$B$5:$B$852,$A85,'Raw Orders'!$D$5:$D$852,$B85)</f>
        <v/>
      </c>
      <c r="F85" s="17">
        <f>SUMIFS('Raw Orders'!$F$5:$F$852,'Raw Orders'!$B$5:$B$852,$A85,'Raw Orders'!$I$5:$I$852,$B85,'Raw Orders'!$J$5:$J$852,FALSE)</f>
        <v/>
      </c>
      <c r="G85" s="17">
        <f>SUMIFS('Raw Orders'!$F$5:$F$852,'Raw Orders'!$B$5:$B$852,$A85,'Raw Orders'!$D$5:$D$852,"&lt;="&amp;$B85,'Raw Orders'!$J$5:$J$852,FALSE)-SUMIFS('Raw Orders'!$F$5:$F$852,'Raw Orders'!$B$5:$B$852,$A85,'Raw Orders'!$I$5:$I$852,"&lt;="&amp;$B85,'Raw Orders'!$J$5:$J$852,FALSE)</f>
        <v/>
      </c>
      <c r="H85" s="18">
        <f>IF(F85=0,"",E85/F85)</f>
        <v/>
      </c>
      <c r="I85" s="17">
        <f>G85*0.5</f>
        <v/>
      </c>
    </row>
    <row r="86">
      <c r="A86" s="5" t="inlineStr">
        <is>
          <t>LATAM</t>
        </is>
      </c>
      <c r="B86" s="16" t="n">
        <v>45566</v>
      </c>
      <c r="C86" s="17">
        <f>COUNTIFS('Raw Orders'!$B$5:$B$852,$A86,'Raw Orders'!$D$5:$D$852,$B86)</f>
        <v/>
      </c>
      <c r="D86" s="17">
        <f>SUMIFS('Raw Orders'!$E$5:$E$852,'Raw Orders'!$B$5:$B$852,$A86,'Raw Orders'!$D$5:$D$852,$B86)</f>
        <v/>
      </c>
      <c r="E86" s="17">
        <f>SUMIFS('Raw Orders'!$F$5:$F$852,'Raw Orders'!$B$5:$B$852,$A86,'Raw Orders'!$D$5:$D$852,$B86)</f>
        <v/>
      </c>
      <c r="F86" s="17">
        <f>SUMIFS('Raw Orders'!$F$5:$F$852,'Raw Orders'!$B$5:$B$852,$A86,'Raw Orders'!$I$5:$I$852,$B86,'Raw Orders'!$J$5:$J$852,FALSE)</f>
        <v/>
      </c>
      <c r="G86" s="17">
        <f>SUMIFS('Raw Orders'!$F$5:$F$852,'Raw Orders'!$B$5:$B$852,$A86,'Raw Orders'!$D$5:$D$852,"&lt;="&amp;$B86,'Raw Orders'!$J$5:$J$852,FALSE)-SUMIFS('Raw Orders'!$F$5:$F$852,'Raw Orders'!$B$5:$B$852,$A86,'Raw Orders'!$I$5:$I$852,"&lt;="&amp;$B86,'Raw Orders'!$J$5:$J$852,FALSE)</f>
        <v/>
      </c>
      <c r="H86" s="18">
        <f>IF(F86=0,"",E86/F86)</f>
        <v/>
      </c>
      <c r="I86" s="17">
        <f>G86*0.5</f>
        <v/>
      </c>
    </row>
    <row r="87">
      <c r="A87" s="5" t="inlineStr">
        <is>
          <t>LATAM</t>
        </is>
      </c>
      <c r="B87" s="16" t="n">
        <v>45597</v>
      </c>
      <c r="C87" s="17">
        <f>COUNTIFS('Raw Orders'!$B$5:$B$852,$A87,'Raw Orders'!$D$5:$D$852,$B87)</f>
        <v/>
      </c>
      <c r="D87" s="17">
        <f>SUMIFS('Raw Orders'!$E$5:$E$852,'Raw Orders'!$B$5:$B$852,$A87,'Raw Orders'!$D$5:$D$852,$B87)</f>
        <v/>
      </c>
      <c r="E87" s="17">
        <f>SUMIFS('Raw Orders'!$F$5:$F$852,'Raw Orders'!$B$5:$B$852,$A87,'Raw Orders'!$D$5:$D$852,$B87)</f>
        <v/>
      </c>
      <c r="F87" s="17">
        <f>SUMIFS('Raw Orders'!$F$5:$F$852,'Raw Orders'!$B$5:$B$852,$A87,'Raw Orders'!$I$5:$I$852,$B87,'Raw Orders'!$J$5:$J$852,FALSE)</f>
        <v/>
      </c>
      <c r="G87" s="17">
        <f>SUMIFS('Raw Orders'!$F$5:$F$852,'Raw Orders'!$B$5:$B$852,$A87,'Raw Orders'!$D$5:$D$852,"&lt;="&amp;$B87,'Raw Orders'!$J$5:$J$852,FALSE)-SUMIFS('Raw Orders'!$F$5:$F$852,'Raw Orders'!$B$5:$B$852,$A87,'Raw Orders'!$I$5:$I$852,"&lt;="&amp;$B87,'Raw Orders'!$J$5:$J$852,FALSE)</f>
        <v/>
      </c>
      <c r="H87" s="18">
        <f>IF(F87=0,"",E87/F87)</f>
        <v/>
      </c>
      <c r="I87" s="17">
        <f>G87*0.5</f>
        <v/>
      </c>
    </row>
    <row r="88">
      <c r="A88" s="5" t="inlineStr">
        <is>
          <t>LATAM</t>
        </is>
      </c>
      <c r="B88" s="16" t="n">
        <v>45627</v>
      </c>
      <c r="C88" s="17">
        <f>COUNTIFS('Raw Orders'!$B$5:$B$852,$A88,'Raw Orders'!$D$5:$D$852,$B88)</f>
        <v/>
      </c>
      <c r="D88" s="17">
        <f>SUMIFS('Raw Orders'!$E$5:$E$852,'Raw Orders'!$B$5:$B$852,$A88,'Raw Orders'!$D$5:$D$852,$B88)</f>
        <v/>
      </c>
      <c r="E88" s="17">
        <f>SUMIFS('Raw Orders'!$F$5:$F$852,'Raw Orders'!$B$5:$B$852,$A88,'Raw Orders'!$D$5:$D$852,$B88)</f>
        <v/>
      </c>
      <c r="F88" s="17">
        <f>SUMIFS('Raw Orders'!$F$5:$F$852,'Raw Orders'!$B$5:$B$852,$A88,'Raw Orders'!$I$5:$I$852,$B88,'Raw Orders'!$J$5:$J$852,FALSE)</f>
        <v/>
      </c>
      <c r="G88" s="17">
        <f>SUMIFS('Raw Orders'!$F$5:$F$852,'Raw Orders'!$B$5:$B$852,$A88,'Raw Orders'!$D$5:$D$852,"&lt;="&amp;$B88,'Raw Orders'!$J$5:$J$852,FALSE)-SUMIFS('Raw Orders'!$F$5:$F$852,'Raw Orders'!$B$5:$B$852,$A88,'Raw Orders'!$I$5:$I$852,"&lt;="&amp;$B88,'Raw Orders'!$J$5:$J$852,FALSE)</f>
        <v/>
      </c>
      <c r="H88" s="18">
        <f>IF(F88=0,"",E88/F88)</f>
        <v/>
      </c>
      <c r="I88" s="17">
        <f>G88*0.5</f>
        <v/>
      </c>
    </row>
    <row r="89">
      <c r="A89" s="5" t="inlineStr">
        <is>
          <t>LATAM</t>
        </is>
      </c>
      <c r="B89" s="16" t="n">
        <v>45658</v>
      </c>
      <c r="C89" s="17">
        <f>COUNTIFS('Raw Orders'!$B$5:$B$852,$A89,'Raw Orders'!$D$5:$D$852,$B89)</f>
        <v/>
      </c>
      <c r="D89" s="17">
        <f>SUMIFS('Raw Orders'!$E$5:$E$852,'Raw Orders'!$B$5:$B$852,$A89,'Raw Orders'!$D$5:$D$852,$B89)</f>
        <v/>
      </c>
      <c r="E89" s="17">
        <f>SUMIFS('Raw Orders'!$F$5:$F$852,'Raw Orders'!$B$5:$B$852,$A89,'Raw Orders'!$D$5:$D$852,$B89)</f>
        <v/>
      </c>
      <c r="F89" s="17">
        <f>SUMIFS('Raw Orders'!$F$5:$F$852,'Raw Orders'!$B$5:$B$852,$A89,'Raw Orders'!$I$5:$I$852,$B89,'Raw Orders'!$J$5:$J$852,FALSE)</f>
        <v/>
      </c>
      <c r="G89" s="17">
        <f>SUMIFS('Raw Orders'!$F$5:$F$852,'Raw Orders'!$B$5:$B$852,$A89,'Raw Orders'!$D$5:$D$852,"&lt;="&amp;$B89,'Raw Orders'!$J$5:$J$852,FALSE)-SUMIFS('Raw Orders'!$F$5:$F$852,'Raw Orders'!$B$5:$B$852,$A89,'Raw Orders'!$I$5:$I$852,"&lt;="&amp;$B89,'Raw Orders'!$J$5:$J$852,FALSE)</f>
        <v/>
      </c>
      <c r="H89" s="18">
        <f>IF(F89=0,"",E89/F89)</f>
        <v/>
      </c>
      <c r="I89" s="17">
        <f>G89*0.5</f>
        <v/>
      </c>
    </row>
    <row r="90">
      <c r="A90" s="5" t="inlineStr">
        <is>
          <t>LATAM</t>
        </is>
      </c>
      <c r="B90" s="16" t="n">
        <v>45689</v>
      </c>
      <c r="C90" s="17">
        <f>COUNTIFS('Raw Orders'!$B$5:$B$852,$A90,'Raw Orders'!$D$5:$D$852,$B90)</f>
        <v/>
      </c>
      <c r="D90" s="17">
        <f>SUMIFS('Raw Orders'!$E$5:$E$852,'Raw Orders'!$B$5:$B$852,$A90,'Raw Orders'!$D$5:$D$852,$B90)</f>
        <v/>
      </c>
      <c r="E90" s="17">
        <f>SUMIFS('Raw Orders'!$F$5:$F$852,'Raw Orders'!$B$5:$B$852,$A90,'Raw Orders'!$D$5:$D$852,$B90)</f>
        <v/>
      </c>
      <c r="F90" s="17">
        <f>SUMIFS('Raw Orders'!$F$5:$F$852,'Raw Orders'!$B$5:$B$852,$A90,'Raw Orders'!$I$5:$I$852,$B90,'Raw Orders'!$J$5:$J$852,FALSE)</f>
        <v/>
      </c>
      <c r="G90" s="17">
        <f>SUMIFS('Raw Orders'!$F$5:$F$852,'Raw Orders'!$B$5:$B$852,$A90,'Raw Orders'!$D$5:$D$852,"&lt;="&amp;$B90,'Raw Orders'!$J$5:$J$852,FALSE)-SUMIFS('Raw Orders'!$F$5:$F$852,'Raw Orders'!$B$5:$B$852,$A90,'Raw Orders'!$I$5:$I$852,"&lt;="&amp;$B90,'Raw Orders'!$J$5:$J$852,FALSE)</f>
        <v/>
      </c>
      <c r="H90" s="18">
        <f>IF(F90=0,"",E90/F90)</f>
        <v/>
      </c>
      <c r="I90" s="17">
        <f>G90*0.5</f>
        <v/>
      </c>
    </row>
    <row r="91">
      <c r="A91" s="5" t="inlineStr">
        <is>
          <t>LATAM</t>
        </is>
      </c>
      <c r="B91" s="16" t="n">
        <v>45717</v>
      </c>
      <c r="C91" s="17">
        <f>COUNTIFS('Raw Orders'!$B$5:$B$852,$A91,'Raw Orders'!$D$5:$D$852,$B91)</f>
        <v/>
      </c>
      <c r="D91" s="17">
        <f>SUMIFS('Raw Orders'!$E$5:$E$852,'Raw Orders'!$B$5:$B$852,$A91,'Raw Orders'!$D$5:$D$852,$B91)</f>
        <v/>
      </c>
      <c r="E91" s="17">
        <f>SUMIFS('Raw Orders'!$F$5:$F$852,'Raw Orders'!$B$5:$B$852,$A91,'Raw Orders'!$D$5:$D$852,$B91)</f>
        <v/>
      </c>
      <c r="F91" s="17">
        <f>SUMIFS('Raw Orders'!$F$5:$F$852,'Raw Orders'!$B$5:$B$852,$A91,'Raw Orders'!$I$5:$I$852,$B91,'Raw Orders'!$J$5:$J$852,FALSE)</f>
        <v/>
      </c>
      <c r="G91" s="17">
        <f>SUMIFS('Raw Orders'!$F$5:$F$852,'Raw Orders'!$B$5:$B$852,$A91,'Raw Orders'!$D$5:$D$852,"&lt;="&amp;$B91,'Raw Orders'!$J$5:$J$852,FALSE)-SUMIFS('Raw Orders'!$F$5:$F$852,'Raw Orders'!$B$5:$B$852,$A91,'Raw Orders'!$I$5:$I$852,"&lt;="&amp;$B91,'Raw Orders'!$J$5:$J$852,FALSE)</f>
        <v/>
      </c>
      <c r="H91" s="18">
        <f>IF(F91=0,"",E91/F91)</f>
        <v/>
      </c>
      <c r="I91" s="17">
        <f>G91*0.5</f>
        <v/>
      </c>
    </row>
    <row r="92">
      <c r="A92" s="5" t="inlineStr">
        <is>
          <t>LATAM</t>
        </is>
      </c>
      <c r="B92" s="16" t="n">
        <v>45748</v>
      </c>
      <c r="C92" s="17">
        <f>COUNTIFS('Raw Orders'!$B$5:$B$852,$A92,'Raw Orders'!$D$5:$D$852,$B92)</f>
        <v/>
      </c>
      <c r="D92" s="17">
        <f>SUMIFS('Raw Orders'!$E$5:$E$852,'Raw Orders'!$B$5:$B$852,$A92,'Raw Orders'!$D$5:$D$852,$B92)</f>
        <v/>
      </c>
      <c r="E92" s="17">
        <f>SUMIFS('Raw Orders'!$F$5:$F$852,'Raw Orders'!$B$5:$B$852,$A92,'Raw Orders'!$D$5:$D$852,$B92)</f>
        <v/>
      </c>
      <c r="F92" s="17">
        <f>SUMIFS('Raw Orders'!$F$5:$F$852,'Raw Orders'!$B$5:$B$852,$A92,'Raw Orders'!$I$5:$I$852,$B92,'Raw Orders'!$J$5:$J$852,FALSE)</f>
        <v/>
      </c>
      <c r="G92" s="17">
        <f>SUMIFS('Raw Orders'!$F$5:$F$852,'Raw Orders'!$B$5:$B$852,$A92,'Raw Orders'!$D$5:$D$852,"&lt;="&amp;$B92,'Raw Orders'!$J$5:$J$852,FALSE)-SUMIFS('Raw Orders'!$F$5:$F$852,'Raw Orders'!$B$5:$B$852,$A92,'Raw Orders'!$I$5:$I$852,"&lt;="&amp;$B92,'Raw Orders'!$J$5:$J$852,FALSE)</f>
        <v/>
      </c>
      <c r="H92" s="18">
        <f>IF(F92=0,"",E92/F92)</f>
        <v/>
      </c>
      <c r="I92" s="17">
        <f>G92*0.5</f>
        <v/>
      </c>
    </row>
    <row r="93">
      <c r="A93" s="5" t="inlineStr">
        <is>
          <t>LATAM</t>
        </is>
      </c>
      <c r="B93" s="16" t="n">
        <v>45778</v>
      </c>
      <c r="C93" s="17">
        <f>COUNTIFS('Raw Orders'!$B$5:$B$852,$A93,'Raw Orders'!$D$5:$D$852,$B93)</f>
        <v/>
      </c>
      <c r="D93" s="17">
        <f>SUMIFS('Raw Orders'!$E$5:$E$852,'Raw Orders'!$B$5:$B$852,$A93,'Raw Orders'!$D$5:$D$852,$B93)</f>
        <v/>
      </c>
      <c r="E93" s="17">
        <f>SUMIFS('Raw Orders'!$F$5:$F$852,'Raw Orders'!$B$5:$B$852,$A93,'Raw Orders'!$D$5:$D$852,$B93)</f>
        <v/>
      </c>
      <c r="F93" s="17">
        <f>SUMIFS('Raw Orders'!$F$5:$F$852,'Raw Orders'!$B$5:$B$852,$A93,'Raw Orders'!$I$5:$I$852,$B93,'Raw Orders'!$J$5:$J$852,FALSE)</f>
        <v/>
      </c>
      <c r="G93" s="17">
        <f>SUMIFS('Raw Orders'!$F$5:$F$852,'Raw Orders'!$B$5:$B$852,$A93,'Raw Orders'!$D$5:$D$852,"&lt;="&amp;$B93,'Raw Orders'!$J$5:$J$852,FALSE)-SUMIFS('Raw Orders'!$F$5:$F$852,'Raw Orders'!$B$5:$B$852,$A93,'Raw Orders'!$I$5:$I$852,"&lt;="&amp;$B93,'Raw Orders'!$J$5:$J$852,FALSE)</f>
        <v/>
      </c>
      <c r="H93" s="18">
        <f>IF(F93=0,"",E93/F93)</f>
        <v/>
      </c>
      <c r="I93" s="17">
        <f>G93*0.5</f>
        <v/>
      </c>
    </row>
    <row r="94">
      <c r="A94" s="5" t="inlineStr">
        <is>
          <t>LATAM</t>
        </is>
      </c>
      <c r="B94" s="16" t="n">
        <v>45809</v>
      </c>
      <c r="C94" s="17">
        <f>COUNTIFS('Raw Orders'!$B$5:$B$852,$A94,'Raw Orders'!$D$5:$D$852,$B94)</f>
        <v/>
      </c>
      <c r="D94" s="17">
        <f>SUMIFS('Raw Orders'!$E$5:$E$852,'Raw Orders'!$B$5:$B$852,$A94,'Raw Orders'!$D$5:$D$852,$B94)</f>
        <v/>
      </c>
      <c r="E94" s="17">
        <f>SUMIFS('Raw Orders'!$F$5:$F$852,'Raw Orders'!$B$5:$B$852,$A94,'Raw Orders'!$D$5:$D$852,$B94)</f>
        <v/>
      </c>
      <c r="F94" s="17">
        <f>SUMIFS('Raw Orders'!$F$5:$F$852,'Raw Orders'!$B$5:$B$852,$A94,'Raw Orders'!$I$5:$I$852,$B94,'Raw Orders'!$J$5:$J$852,FALSE)</f>
        <v/>
      </c>
      <c r="G94" s="17">
        <f>SUMIFS('Raw Orders'!$F$5:$F$852,'Raw Orders'!$B$5:$B$852,$A94,'Raw Orders'!$D$5:$D$852,"&lt;="&amp;$B94,'Raw Orders'!$J$5:$J$852,FALSE)-SUMIFS('Raw Orders'!$F$5:$F$852,'Raw Orders'!$B$5:$B$852,$A94,'Raw Orders'!$I$5:$I$852,"&lt;="&amp;$B94,'Raw Orders'!$J$5:$J$852,FALSE)</f>
        <v/>
      </c>
      <c r="H94" s="18">
        <f>IF(F94=0,"",E94/F94)</f>
        <v/>
      </c>
      <c r="I94" s="17">
        <f>G94*0.5</f>
        <v/>
      </c>
    </row>
    <row r="95">
      <c r="A95" s="5" t="inlineStr">
        <is>
          <t>LATAM</t>
        </is>
      </c>
      <c r="B95" s="16" t="n">
        <v>45839</v>
      </c>
      <c r="C95" s="17">
        <f>COUNTIFS('Raw Orders'!$B$5:$B$852,$A95,'Raw Orders'!$D$5:$D$852,$B95)</f>
        <v/>
      </c>
      <c r="D95" s="17">
        <f>SUMIFS('Raw Orders'!$E$5:$E$852,'Raw Orders'!$B$5:$B$852,$A95,'Raw Orders'!$D$5:$D$852,$B95)</f>
        <v/>
      </c>
      <c r="E95" s="17">
        <f>SUMIFS('Raw Orders'!$F$5:$F$852,'Raw Orders'!$B$5:$B$852,$A95,'Raw Orders'!$D$5:$D$852,$B95)</f>
        <v/>
      </c>
      <c r="F95" s="17">
        <f>SUMIFS('Raw Orders'!$F$5:$F$852,'Raw Orders'!$B$5:$B$852,$A95,'Raw Orders'!$I$5:$I$852,$B95,'Raw Orders'!$J$5:$J$852,FALSE)</f>
        <v/>
      </c>
      <c r="G95" s="17">
        <f>SUMIFS('Raw Orders'!$F$5:$F$852,'Raw Orders'!$B$5:$B$852,$A95,'Raw Orders'!$D$5:$D$852,"&lt;="&amp;$B95,'Raw Orders'!$J$5:$J$852,FALSE)-SUMIFS('Raw Orders'!$F$5:$F$852,'Raw Orders'!$B$5:$B$852,$A95,'Raw Orders'!$I$5:$I$852,"&lt;="&amp;$B95,'Raw Orders'!$J$5:$J$852,FALSE)</f>
        <v/>
      </c>
      <c r="H95" s="18">
        <f>IF(F95=0,"",E95/F95)</f>
        <v/>
      </c>
      <c r="I95" s="17">
        <f>G95*0.5</f>
        <v/>
      </c>
    </row>
    <row r="96">
      <c r="A96" s="5" t="inlineStr">
        <is>
          <t>LATAM</t>
        </is>
      </c>
      <c r="B96" s="16" t="n">
        <v>45870</v>
      </c>
      <c r="C96" s="17">
        <f>COUNTIFS('Raw Orders'!$B$5:$B$852,$A96,'Raw Orders'!$D$5:$D$852,$B96)</f>
        <v/>
      </c>
      <c r="D96" s="17">
        <f>SUMIFS('Raw Orders'!$E$5:$E$852,'Raw Orders'!$B$5:$B$852,$A96,'Raw Orders'!$D$5:$D$852,$B96)</f>
        <v/>
      </c>
      <c r="E96" s="17">
        <f>SUMIFS('Raw Orders'!$F$5:$F$852,'Raw Orders'!$B$5:$B$852,$A96,'Raw Orders'!$D$5:$D$852,$B96)</f>
        <v/>
      </c>
      <c r="F96" s="17">
        <f>SUMIFS('Raw Orders'!$F$5:$F$852,'Raw Orders'!$B$5:$B$852,$A96,'Raw Orders'!$I$5:$I$852,$B96,'Raw Orders'!$J$5:$J$852,FALSE)</f>
        <v/>
      </c>
      <c r="G96" s="17">
        <f>SUMIFS('Raw Orders'!$F$5:$F$852,'Raw Orders'!$B$5:$B$852,$A96,'Raw Orders'!$D$5:$D$852,"&lt;="&amp;$B96,'Raw Orders'!$J$5:$J$852,FALSE)-SUMIFS('Raw Orders'!$F$5:$F$852,'Raw Orders'!$B$5:$B$852,$A96,'Raw Orders'!$I$5:$I$852,"&lt;="&amp;$B96,'Raw Orders'!$J$5:$J$852,FALSE)</f>
        <v/>
      </c>
      <c r="H96" s="18">
        <f>IF(F96=0,"",E96/F96)</f>
        <v/>
      </c>
      <c r="I96" s="17">
        <f>G96*0.5</f>
        <v/>
      </c>
    </row>
    <row r="97">
      <c r="A97" s="5" t="inlineStr">
        <is>
          <t>LATAM</t>
        </is>
      </c>
      <c r="B97" s="16" t="n">
        <v>45901</v>
      </c>
      <c r="C97" s="17">
        <f>COUNTIFS('Raw Orders'!$B$5:$B$852,$A97,'Raw Orders'!$D$5:$D$852,$B97)</f>
        <v/>
      </c>
      <c r="D97" s="17">
        <f>SUMIFS('Raw Orders'!$E$5:$E$852,'Raw Orders'!$B$5:$B$852,$A97,'Raw Orders'!$D$5:$D$852,$B97)</f>
        <v/>
      </c>
      <c r="E97" s="17">
        <f>SUMIFS('Raw Orders'!$F$5:$F$852,'Raw Orders'!$B$5:$B$852,$A97,'Raw Orders'!$D$5:$D$852,$B97)</f>
        <v/>
      </c>
      <c r="F97" s="17">
        <f>SUMIFS('Raw Orders'!$F$5:$F$852,'Raw Orders'!$B$5:$B$852,$A97,'Raw Orders'!$I$5:$I$852,$B97,'Raw Orders'!$J$5:$J$852,FALSE)</f>
        <v/>
      </c>
      <c r="G97" s="17">
        <f>SUMIFS('Raw Orders'!$F$5:$F$852,'Raw Orders'!$B$5:$B$852,$A97,'Raw Orders'!$D$5:$D$852,"&lt;="&amp;$B97,'Raw Orders'!$J$5:$J$852,FALSE)-SUMIFS('Raw Orders'!$F$5:$F$852,'Raw Orders'!$B$5:$B$852,$A97,'Raw Orders'!$I$5:$I$852,"&lt;="&amp;$B97,'Raw Orders'!$J$5:$J$852,FALSE)</f>
        <v/>
      </c>
      <c r="H97" s="18">
        <f>IF(F97=0,"",E97/F97)</f>
        <v/>
      </c>
      <c r="I97" s="17">
        <f>G97*0.5</f>
        <v/>
      </c>
    </row>
    <row r="98">
      <c r="A98" s="5" t="inlineStr">
        <is>
          <t>LATAM</t>
        </is>
      </c>
      <c r="B98" s="16" t="n">
        <v>45931</v>
      </c>
      <c r="C98" s="17">
        <f>COUNTIFS('Raw Orders'!$B$5:$B$852,$A98,'Raw Orders'!$D$5:$D$852,$B98)</f>
        <v/>
      </c>
      <c r="D98" s="17">
        <f>SUMIFS('Raw Orders'!$E$5:$E$852,'Raw Orders'!$B$5:$B$852,$A98,'Raw Orders'!$D$5:$D$852,$B98)</f>
        <v/>
      </c>
      <c r="E98" s="17">
        <f>SUMIFS('Raw Orders'!$F$5:$F$852,'Raw Orders'!$B$5:$B$852,$A98,'Raw Orders'!$D$5:$D$852,$B98)</f>
        <v/>
      </c>
      <c r="F98" s="17">
        <f>SUMIFS('Raw Orders'!$F$5:$F$852,'Raw Orders'!$B$5:$B$852,$A98,'Raw Orders'!$I$5:$I$852,$B98,'Raw Orders'!$J$5:$J$852,FALSE)</f>
        <v/>
      </c>
      <c r="G98" s="17">
        <f>SUMIFS('Raw Orders'!$F$5:$F$852,'Raw Orders'!$B$5:$B$852,$A98,'Raw Orders'!$D$5:$D$852,"&lt;="&amp;$B98,'Raw Orders'!$J$5:$J$852,FALSE)-SUMIFS('Raw Orders'!$F$5:$F$852,'Raw Orders'!$B$5:$B$852,$A98,'Raw Orders'!$I$5:$I$852,"&lt;="&amp;$B98,'Raw Orders'!$J$5:$J$852,FALSE)</f>
        <v/>
      </c>
      <c r="H98" s="18">
        <f>IF(F98=0,"",E98/F98)</f>
        <v/>
      </c>
      <c r="I98" s="17">
        <f>G98*0.5</f>
        <v/>
      </c>
    </row>
    <row r="99">
      <c r="A99" s="5" t="inlineStr">
        <is>
          <t>LATAM</t>
        </is>
      </c>
      <c r="B99" s="16" t="n">
        <v>45962</v>
      </c>
      <c r="C99" s="17">
        <f>COUNTIFS('Raw Orders'!$B$5:$B$852,$A99,'Raw Orders'!$D$5:$D$852,$B99)</f>
        <v/>
      </c>
      <c r="D99" s="17">
        <f>SUMIFS('Raw Orders'!$E$5:$E$852,'Raw Orders'!$B$5:$B$852,$A99,'Raw Orders'!$D$5:$D$852,$B99)</f>
        <v/>
      </c>
      <c r="E99" s="17">
        <f>SUMIFS('Raw Orders'!$F$5:$F$852,'Raw Orders'!$B$5:$B$852,$A99,'Raw Orders'!$D$5:$D$852,$B99)</f>
        <v/>
      </c>
      <c r="F99" s="17">
        <f>SUMIFS('Raw Orders'!$F$5:$F$852,'Raw Orders'!$B$5:$B$852,$A99,'Raw Orders'!$I$5:$I$852,$B99,'Raw Orders'!$J$5:$J$852,FALSE)</f>
        <v/>
      </c>
      <c r="G99" s="17">
        <f>SUMIFS('Raw Orders'!$F$5:$F$852,'Raw Orders'!$B$5:$B$852,$A99,'Raw Orders'!$D$5:$D$852,"&lt;="&amp;$B99,'Raw Orders'!$J$5:$J$852,FALSE)-SUMIFS('Raw Orders'!$F$5:$F$852,'Raw Orders'!$B$5:$B$852,$A99,'Raw Orders'!$I$5:$I$852,"&lt;="&amp;$B99,'Raw Orders'!$J$5:$J$852,FALSE)</f>
        <v/>
      </c>
      <c r="H99" s="18">
        <f>IF(F99=0,"",E99/F99)</f>
        <v/>
      </c>
      <c r="I99" s="17">
        <f>G99*0.5</f>
        <v/>
      </c>
    </row>
    <row r="100">
      <c r="A100" s="5" t="inlineStr">
        <is>
          <t>LATAM</t>
        </is>
      </c>
      <c r="B100" s="16" t="n">
        <v>45992</v>
      </c>
      <c r="C100" s="17">
        <f>COUNTIFS('Raw Orders'!$B$5:$B$852,$A100,'Raw Orders'!$D$5:$D$852,$B100)</f>
        <v/>
      </c>
      <c r="D100" s="17">
        <f>SUMIFS('Raw Orders'!$E$5:$E$852,'Raw Orders'!$B$5:$B$852,$A100,'Raw Orders'!$D$5:$D$852,$B100)</f>
        <v/>
      </c>
      <c r="E100" s="17">
        <f>SUMIFS('Raw Orders'!$F$5:$F$852,'Raw Orders'!$B$5:$B$852,$A100,'Raw Orders'!$D$5:$D$852,$B100)</f>
        <v/>
      </c>
      <c r="F100" s="17">
        <f>SUMIFS('Raw Orders'!$F$5:$F$852,'Raw Orders'!$B$5:$B$852,$A100,'Raw Orders'!$I$5:$I$852,$B100,'Raw Orders'!$J$5:$J$852,FALSE)</f>
        <v/>
      </c>
      <c r="G100" s="17">
        <f>SUMIFS('Raw Orders'!$F$5:$F$852,'Raw Orders'!$B$5:$B$852,$A100,'Raw Orders'!$D$5:$D$852,"&lt;="&amp;$B100,'Raw Orders'!$J$5:$J$852,FALSE)-SUMIFS('Raw Orders'!$F$5:$F$852,'Raw Orders'!$B$5:$B$852,$A100,'Raw Orders'!$I$5:$I$852,"&lt;="&amp;$B100,'Raw Orders'!$J$5:$J$852,FALSE)</f>
        <v/>
      </c>
      <c r="H100" s="18">
        <f>IF(F100=0,"",E100/F100)</f>
        <v/>
      </c>
      <c r="I100" s="17">
        <f>G100*0.5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showGridLines="0" workbookViewId="0">
      <selection activeCell="A1" sqref="A1"/>
    </sheetView>
  </sheetViews>
  <sheetFormatPr baseColWidth="8" defaultRowHeight="15"/>
  <cols>
    <col width="16" customWidth="1" min="1" max="1"/>
    <col width="16" customWidth="1" min="2" max="2"/>
    <col width="10" customWidth="1" min="3" max="3"/>
    <col width="10" customWidth="1" min="4" max="4"/>
    <col width="10" customWidth="1" min="5" max="5"/>
    <col width="10" customWidth="1" min="6" max="6"/>
    <col width="10" customWidth="1" min="7" max="7"/>
  </cols>
  <sheetData>
    <row r="1">
      <c r="A1" s="1" t="inlineStr">
        <is>
          <t>Schedule slip distribution by market</t>
        </is>
      </c>
    </row>
    <row r="4" ht="30" customHeight="1">
      <c r="A4" s="3" t="inlineStr">
        <is>
          <t>market</t>
        </is>
      </c>
      <c r="B4" s="3" t="inlineStr">
        <is>
          <t>region</t>
        </is>
      </c>
      <c r="C4" s="3" t="inlineStr">
        <is>
          <t>orders</t>
        </is>
      </c>
      <c r="D4" s="3" t="inlineStr">
        <is>
          <t>P10</t>
        </is>
      </c>
      <c r="E4" s="3" t="inlineStr">
        <is>
          <t>median</t>
        </is>
      </c>
      <c r="F4" s="3" t="inlineStr">
        <is>
          <t>P90</t>
        </is>
      </c>
      <c r="G4" s="3" t="inlineStr">
        <is>
          <t>mean</t>
        </is>
      </c>
    </row>
    <row r="5">
      <c r="A5" s="4" t="inlineStr">
        <is>
          <t>US / Canada</t>
        </is>
      </c>
      <c r="B5" s="5" t="inlineStr">
        <is>
          <t>North America</t>
        </is>
      </c>
      <c r="C5" s="17">
        <f>COUNTIFS('Raw Orders'!$C$5:$C$852,$A5,'Raw Orders'!$J$5:$J$852,FALSE)</f>
        <v/>
      </c>
      <c r="D5" s="18">
        <f t="array" ref="D5">PERCENTILE(IF(('Raw Orders'!$C$5:$C$852=$A5)*('Raw Orders'!$J$5:$J$852=FALSE),'Raw Orders'!$K$5:$K$852),0.1)</f>
        <v/>
      </c>
      <c r="E5" s="18">
        <f t="array" ref="E5">PERCENTILE(IF(('Raw Orders'!$C$5:$C$852=$A5)*('Raw Orders'!$J$5:$J$852=FALSE),'Raw Orders'!$K$5:$K$852),0.5)</f>
        <v/>
      </c>
      <c r="F5" s="18">
        <f t="array" ref="F5">PERCENTILE(IF(('Raw Orders'!$C$5:$C$852=$A5)*('Raw Orders'!$J$5:$J$852=FALSE),'Raw Orders'!$K$5:$K$852),0.9)</f>
        <v/>
      </c>
      <c r="G5" s="18">
        <f>AVERAGEIFS('Raw Orders'!$K$5:$K$852,'Raw Orders'!$C$5:$C$852,$A5,'Raw Orders'!$J$5:$J$852,FALSE)</f>
        <v/>
      </c>
    </row>
    <row r="6">
      <c r="A6" s="4" t="inlineStr">
        <is>
          <t>Europe</t>
        </is>
      </c>
      <c r="B6" s="5" t="inlineStr">
        <is>
          <t>EMEA</t>
        </is>
      </c>
      <c r="C6" s="17">
        <f>COUNTIFS('Raw Orders'!$C$5:$C$852,$A6,'Raw Orders'!$J$5:$J$852,FALSE)</f>
        <v/>
      </c>
      <c r="D6" s="18">
        <f t="array" ref="D6">PERCENTILE(IF(('Raw Orders'!$C$5:$C$852=$A6)*('Raw Orders'!$J$5:$J$852=FALSE),'Raw Orders'!$K$5:$K$852),0.1)</f>
        <v/>
      </c>
      <c r="E6" s="18">
        <f t="array" ref="E6">PERCENTILE(IF(('Raw Orders'!$C$5:$C$852=$A6)*('Raw Orders'!$J$5:$J$852=FALSE),'Raw Orders'!$K$5:$K$852),0.5)</f>
        <v/>
      </c>
      <c r="F6" s="18">
        <f t="array" ref="F6">PERCENTILE(IF(('Raw Orders'!$C$5:$C$852=$A6)*('Raw Orders'!$J$5:$J$852=FALSE),'Raw Orders'!$K$5:$K$852),0.9)</f>
        <v/>
      </c>
      <c r="G6" s="18">
        <f>AVERAGEIFS('Raw Orders'!$K$5:$K$852,'Raw Orders'!$C$5:$C$852,$A6,'Raw Orders'!$J$5:$J$852,FALSE)</f>
        <v/>
      </c>
    </row>
    <row r="7">
      <c r="A7" s="4" t="inlineStr">
        <is>
          <t>MENA</t>
        </is>
      </c>
      <c r="B7" s="5" t="inlineStr">
        <is>
          <t>EMEA</t>
        </is>
      </c>
      <c r="C7" s="17">
        <f>COUNTIFS('Raw Orders'!$C$5:$C$852,$A7,'Raw Orders'!$J$5:$J$852,FALSE)</f>
        <v/>
      </c>
      <c r="D7" s="18">
        <f t="array" ref="D7">PERCENTILE(IF(('Raw Orders'!$C$5:$C$852=$A7)*('Raw Orders'!$J$5:$J$852=FALSE),'Raw Orders'!$K$5:$K$852),0.1)</f>
        <v/>
      </c>
      <c r="E7" s="18">
        <f t="array" ref="E7">PERCENTILE(IF(('Raw Orders'!$C$5:$C$852=$A7)*('Raw Orders'!$J$5:$J$852=FALSE),'Raw Orders'!$K$5:$K$852),0.5)</f>
        <v/>
      </c>
      <c r="F7" s="18">
        <f t="array" ref="F7">PERCENTILE(IF(('Raw Orders'!$C$5:$C$852=$A7)*('Raw Orders'!$J$5:$J$852=FALSE),'Raw Orders'!$K$5:$K$852),0.9)</f>
        <v/>
      </c>
      <c r="G7" s="18">
        <f>AVERAGEIFS('Raw Orders'!$K$5:$K$852,'Raw Orders'!$C$5:$C$852,$A7,'Raw Orders'!$J$5:$J$852,FALSE)</f>
        <v/>
      </c>
    </row>
    <row r="8">
      <c r="A8" s="4" t="inlineStr">
        <is>
          <t>Australia/SEA</t>
        </is>
      </c>
      <c r="B8" s="5" t="inlineStr">
        <is>
          <t>APAC</t>
        </is>
      </c>
      <c r="C8" s="17">
        <f>COUNTIFS('Raw Orders'!$C$5:$C$852,$A8,'Raw Orders'!$J$5:$J$852,FALSE)</f>
        <v/>
      </c>
      <c r="D8" s="18">
        <f t="array" ref="D8">PERCENTILE(IF(('Raw Orders'!$C$5:$C$852=$A8)*('Raw Orders'!$J$5:$J$852=FALSE),'Raw Orders'!$K$5:$K$852),0.1)</f>
        <v/>
      </c>
      <c r="E8" s="18">
        <f t="array" ref="E8">PERCENTILE(IF(('Raw Orders'!$C$5:$C$852=$A8)*('Raw Orders'!$J$5:$J$852=FALSE),'Raw Orders'!$K$5:$K$852),0.5)</f>
        <v/>
      </c>
      <c r="F8" s="18">
        <f t="array" ref="F8">PERCENTILE(IF(('Raw Orders'!$C$5:$C$852=$A8)*('Raw Orders'!$J$5:$J$852=FALSE),'Raw Orders'!$K$5:$K$852),0.9)</f>
        <v/>
      </c>
      <c r="G8" s="18">
        <f>AVERAGEIFS('Raw Orders'!$K$5:$K$852,'Raw Orders'!$C$5:$C$852,$A8,'Raw Orders'!$J$5:$J$852,FALSE)</f>
        <v/>
      </c>
    </row>
    <row r="9">
      <c r="A9" s="4" t="inlineStr">
        <is>
          <t>India</t>
        </is>
      </c>
      <c r="B9" s="5" t="inlineStr">
        <is>
          <t>APAC</t>
        </is>
      </c>
      <c r="C9" s="17">
        <f>COUNTIFS('Raw Orders'!$C$5:$C$852,$A9,'Raw Orders'!$J$5:$J$852,FALSE)</f>
        <v/>
      </c>
      <c r="D9" s="18">
        <f t="array" ref="D9">PERCENTILE(IF(('Raw Orders'!$C$5:$C$852=$A9)*('Raw Orders'!$J$5:$J$852=FALSE),'Raw Orders'!$K$5:$K$852),0.1)</f>
        <v/>
      </c>
      <c r="E9" s="18">
        <f t="array" ref="E9">PERCENTILE(IF(('Raw Orders'!$C$5:$C$852=$A9)*('Raw Orders'!$J$5:$J$852=FALSE),'Raw Orders'!$K$5:$K$852),0.5)</f>
        <v/>
      </c>
      <c r="F9" s="18">
        <f t="array" ref="F9">PERCENTILE(IF(('Raw Orders'!$C$5:$C$852=$A9)*('Raw Orders'!$J$5:$J$852=FALSE),'Raw Orders'!$K$5:$K$852),0.9)</f>
        <v/>
      </c>
      <c r="G9" s="18">
        <f>AVERAGEIFS('Raw Orders'!$K$5:$K$852,'Raw Orders'!$C$5:$C$852,$A9,'Raw Orders'!$J$5:$J$852,FALSE)</f>
        <v/>
      </c>
    </row>
    <row r="10">
      <c r="A10" s="4" t="inlineStr">
        <is>
          <t>LATAM</t>
        </is>
      </c>
      <c r="B10" s="5" t="inlineStr">
        <is>
          <t>LATAM</t>
        </is>
      </c>
      <c r="C10" s="17">
        <f>COUNTIFS('Raw Orders'!$C$5:$C$852,$A10,'Raw Orders'!$J$5:$J$852,FALSE)</f>
        <v/>
      </c>
      <c r="D10" s="18">
        <f t="array" ref="D10">PERCENTILE(IF(('Raw Orders'!$C$5:$C$852=$A10)*('Raw Orders'!$J$5:$J$852=FALSE),'Raw Orders'!$K$5:$K$852),0.1)</f>
        <v/>
      </c>
      <c r="E10" s="18">
        <f t="array" ref="E10">PERCENTILE(IF(('Raw Orders'!$C$5:$C$852=$A10)*('Raw Orders'!$J$5:$J$852=FALSE),'Raw Orders'!$K$5:$K$852),0.5)</f>
        <v/>
      </c>
      <c r="F10" s="18">
        <f t="array" ref="F10">PERCENTILE(IF(('Raw Orders'!$C$5:$C$852=$A10)*('Raw Orders'!$J$5:$J$852=FALSE),'Raw Orders'!$K$5:$K$852),0.9)</f>
        <v/>
      </c>
      <c r="G10" s="18">
        <f>AVERAGEIFS('Raw Orders'!$K$5:$K$852,'Raw Orders'!$C$5:$C$852,$A10,'Raw Orders'!$J$5:$J$852,FALSE)</f>
        <v/>
      </c>
    </row>
    <row r="13">
      <c r="A13" s="15" t="inlineStr">
        <is>
          <t>The percentile columns are array formulas over the raw slip column, filtered to the market. Written as CSE arrays so they evaluate in any Excel version.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showGridLines="0" workbookViewId="0">
      <selection activeCell="A1" sqref="A1"/>
    </sheetView>
  </sheetViews>
  <sheetFormatPr baseColWidth="8" defaultRowHeight="15"/>
  <cols>
    <col width="16" customWidth="1" min="1" max="1"/>
    <col width="12" customWidth="1" min="2" max="2"/>
    <col width="16" customWidth="1" min="3" max="3"/>
    <col width="12" customWidth="1" min="4" max="4"/>
    <col width="14" customWidth="1" min="5" max="5"/>
  </cols>
  <sheetData>
    <row r="1">
      <c r="A1" s="1" t="inlineStr">
        <is>
          <t>Market against regional blend</t>
        </is>
      </c>
    </row>
    <row r="4" ht="30" customHeight="1">
      <c r="A4" s="3" t="inlineStr">
        <is>
          <t>region</t>
        </is>
      </c>
      <c r="B4" s="3" t="inlineStr">
        <is>
          <t>region P90</t>
        </is>
      </c>
      <c r="C4" s="3" t="inlineStr">
        <is>
          <t>market</t>
        </is>
      </c>
      <c r="D4" s="3" t="inlineStr">
        <is>
          <t>market P90</t>
        </is>
      </c>
      <c r="E4" s="3" t="inlineStr">
        <is>
          <t>gap vs region</t>
        </is>
      </c>
    </row>
    <row r="5">
      <c r="A5" s="5" t="inlineStr">
        <is>
          <t>North America</t>
        </is>
      </c>
      <c r="B5" s="18">
        <f t="array" ref="B5">PERCENTILE(IF(('Raw Orders'!$B$5:$B$852=$A5)*('Raw Orders'!$J$5:$J$852=FALSE),'Raw Orders'!$K$5:$K$852),0.9)</f>
        <v/>
      </c>
      <c r="C5" s="5" t="inlineStr">
        <is>
          <t>US / Canada</t>
        </is>
      </c>
      <c r="D5" s="18">
        <f t="array" ref="D5">PERCENTILE(IF(('Raw Orders'!$C$5:$C$852=$C5)*('Raw Orders'!$J$5:$J$852=FALSE),'Raw Orders'!$K$5:$K$852),0.9)</f>
        <v/>
      </c>
      <c r="E5" s="19">
        <f>D5-B5</f>
        <v/>
      </c>
    </row>
    <row r="6">
      <c r="A6" s="5" t="inlineStr">
        <is>
          <t>EMEA</t>
        </is>
      </c>
      <c r="B6" s="18">
        <f t="array" ref="B6">PERCENTILE(IF(('Raw Orders'!$B$5:$B$852=$A6)*('Raw Orders'!$J$5:$J$852=FALSE),'Raw Orders'!$K$5:$K$852),0.9)</f>
        <v/>
      </c>
      <c r="C6" s="5" t="inlineStr">
        <is>
          <t>Europe</t>
        </is>
      </c>
      <c r="D6" s="18">
        <f t="array" ref="D6">PERCENTILE(IF(('Raw Orders'!$C$5:$C$852=$C6)*('Raw Orders'!$J$5:$J$852=FALSE),'Raw Orders'!$K$5:$K$852),0.9)</f>
        <v/>
      </c>
      <c r="E6" s="19">
        <f>D6-B6</f>
        <v/>
      </c>
    </row>
    <row r="7">
      <c r="A7" s="5" t="inlineStr">
        <is>
          <t>EMEA</t>
        </is>
      </c>
      <c r="B7" s="18">
        <f t="array" ref="B7">PERCENTILE(IF(('Raw Orders'!$B$5:$B$852=$A7)*('Raw Orders'!$J$5:$J$852=FALSE),'Raw Orders'!$K$5:$K$852),0.9)</f>
        <v/>
      </c>
      <c r="C7" s="5" t="inlineStr">
        <is>
          <t>MENA</t>
        </is>
      </c>
      <c r="D7" s="18">
        <f t="array" ref="D7">PERCENTILE(IF(('Raw Orders'!$C$5:$C$852=$C7)*('Raw Orders'!$J$5:$J$852=FALSE),'Raw Orders'!$K$5:$K$852),0.9)</f>
        <v/>
      </c>
      <c r="E7" s="19">
        <f>D7-B7</f>
        <v/>
      </c>
    </row>
    <row r="8">
      <c r="A8" s="5" t="inlineStr">
        <is>
          <t>APAC</t>
        </is>
      </c>
      <c r="B8" s="18">
        <f t="array" ref="B8">PERCENTILE(IF(('Raw Orders'!$B$5:$B$852=$A8)*('Raw Orders'!$J$5:$J$852=FALSE),'Raw Orders'!$K$5:$K$852),0.9)</f>
        <v/>
      </c>
      <c r="C8" s="5" t="inlineStr">
        <is>
          <t>Australia/SEA</t>
        </is>
      </c>
      <c r="D8" s="18">
        <f t="array" ref="D8">PERCENTILE(IF(('Raw Orders'!$C$5:$C$852=$C8)*('Raw Orders'!$J$5:$J$852=FALSE),'Raw Orders'!$K$5:$K$852),0.9)</f>
        <v/>
      </c>
      <c r="E8" s="19">
        <f>D8-B8</f>
        <v/>
      </c>
    </row>
    <row r="9">
      <c r="A9" s="5" t="inlineStr">
        <is>
          <t>APAC</t>
        </is>
      </c>
      <c r="B9" s="18">
        <f t="array" ref="B9">PERCENTILE(IF(('Raw Orders'!$B$5:$B$852=$A9)*('Raw Orders'!$J$5:$J$852=FALSE),'Raw Orders'!$K$5:$K$852),0.9)</f>
        <v/>
      </c>
      <c r="C9" s="5" t="inlineStr">
        <is>
          <t>India</t>
        </is>
      </c>
      <c r="D9" s="18">
        <f t="array" ref="D9">PERCENTILE(IF(('Raw Orders'!$C$5:$C$852=$C9)*('Raw Orders'!$J$5:$J$852=FALSE),'Raw Orders'!$K$5:$K$852),0.9)</f>
        <v/>
      </c>
      <c r="E9" s="19">
        <f>D9-B9</f>
        <v/>
      </c>
    </row>
    <row r="10">
      <c r="A10" s="5" t="inlineStr">
        <is>
          <t>LATAM</t>
        </is>
      </c>
      <c r="B10" s="18">
        <f t="array" ref="B10">PERCENTILE(IF(('Raw Orders'!$B$5:$B$852=$A10)*('Raw Orders'!$J$5:$J$852=FALSE),'Raw Orders'!$K$5:$K$852),0.9)</f>
        <v/>
      </c>
      <c r="C10" s="5" t="inlineStr">
        <is>
          <t>LATAM</t>
        </is>
      </c>
      <c r="D10" s="18">
        <f t="array" ref="D10">PERCENTILE(IF(('Raw Orders'!$C$5:$C$852=$C10)*('Raw Orders'!$J$5:$J$852=FALSE),'Raw Orders'!$K$5:$K$852),0.9)</f>
        <v/>
      </c>
      <c r="E10" s="19">
        <f>D10-B10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0"/>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13" customWidth="1" min="3" max="3"/>
    <col width="12" customWidth="1" min="4" max="4"/>
    <col width="12" customWidth="1" min="5" max="5"/>
    <col width="12" customWidth="1" min="6" max="6"/>
    <col width="18" customWidth="1" min="7" max="7"/>
  </cols>
  <sheetData>
    <row r="1">
      <c r="A1" s="1" t="inlineStr">
        <is>
          <t>Conversion lookback</t>
        </is>
      </c>
    </row>
    <row r="4" ht="30" customHeight="1">
      <c r="A4" s="3" t="inlineStr">
        <is>
          <t>region</t>
        </is>
      </c>
      <c r="B4" s="3" t="inlineStr">
        <is>
          <t>month</t>
        </is>
      </c>
      <c r="C4" s="3" t="inlineStr">
        <is>
          <t>expected MW</t>
        </is>
      </c>
      <c r="D4" s="3" t="inlineStr">
        <is>
          <t>actual MW</t>
        </is>
      </c>
      <c r="E4" s="3" t="inlineStr">
        <is>
          <t>realization</t>
        </is>
      </c>
      <c r="F4" s="3" t="inlineStr">
        <is>
          <t>bias MW</t>
        </is>
      </c>
      <c r="G4" s="3" t="inlineStr">
        <is>
          <t>cumulative bias MW</t>
        </is>
      </c>
    </row>
    <row r="5">
      <c r="A5" s="5" t="inlineStr">
        <is>
          <t>North America</t>
        </is>
      </c>
      <c r="B5" s="16" t="n">
        <v>45292</v>
      </c>
      <c r="C5" s="17">
        <f>SUMIFS('Raw Orders'!$E$5:$E$852,'Raw Orders'!$B$5:$B$852,$A5,'Raw Orders'!$H$5:$H$852,$B5)</f>
        <v/>
      </c>
      <c r="D5" s="17">
        <f>SUMIFS('Raw Orders'!$E$5:$E$852,'Raw Orders'!$B$5:$B$852,$A5,'Raw Orders'!$I$5:$I$852,$B5,'Raw Orders'!$J$5:$J$852,FALSE)</f>
        <v/>
      </c>
      <c r="E5" s="20">
        <f>IF(C5=0,"",D5/C5)</f>
        <v/>
      </c>
      <c r="F5" s="17">
        <f>D5-C5</f>
        <v/>
      </c>
      <c r="G5" s="17">
        <f>SUM($F$5:$F5)</f>
        <v/>
      </c>
    </row>
    <row r="6">
      <c r="A6" s="5" t="inlineStr">
        <is>
          <t>North America</t>
        </is>
      </c>
      <c r="B6" s="16" t="n">
        <v>45323</v>
      </c>
      <c r="C6" s="17">
        <f>SUMIFS('Raw Orders'!$E$5:$E$852,'Raw Orders'!$B$5:$B$852,$A6,'Raw Orders'!$H$5:$H$852,$B6)</f>
        <v/>
      </c>
      <c r="D6" s="17">
        <f>SUMIFS('Raw Orders'!$E$5:$E$852,'Raw Orders'!$B$5:$B$852,$A6,'Raw Orders'!$I$5:$I$852,$B6,'Raw Orders'!$J$5:$J$852,FALSE)</f>
        <v/>
      </c>
      <c r="E6" s="20">
        <f>IF(C6=0,"",D6/C6)</f>
        <v/>
      </c>
      <c r="F6" s="17">
        <f>D6-C6</f>
        <v/>
      </c>
      <c r="G6" s="17">
        <f>SUM($F$5:$F6)</f>
        <v/>
      </c>
    </row>
    <row r="7">
      <c r="A7" s="5" t="inlineStr">
        <is>
          <t>North America</t>
        </is>
      </c>
      <c r="B7" s="16" t="n">
        <v>45352</v>
      </c>
      <c r="C7" s="17">
        <f>SUMIFS('Raw Orders'!$E$5:$E$852,'Raw Orders'!$B$5:$B$852,$A7,'Raw Orders'!$H$5:$H$852,$B7)</f>
        <v/>
      </c>
      <c r="D7" s="17">
        <f>SUMIFS('Raw Orders'!$E$5:$E$852,'Raw Orders'!$B$5:$B$852,$A7,'Raw Orders'!$I$5:$I$852,$B7,'Raw Orders'!$J$5:$J$852,FALSE)</f>
        <v/>
      </c>
      <c r="E7" s="20">
        <f>IF(C7=0,"",D7/C7)</f>
        <v/>
      </c>
      <c r="F7" s="17">
        <f>D7-C7</f>
        <v/>
      </c>
      <c r="G7" s="17">
        <f>SUM($F$5:$F7)</f>
        <v/>
      </c>
    </row>
    <row r="8">
      <c r="A8" s="5" t="inlineStr">
        <is>
          <t>North America</t>
        </is>
      </c>
      <c r="B8" s="16" t="n">
        <v>45383</v>
      </c>
      <c r="C8" s="17">
        <f>SUMIFS('Raw Orders'!$E$5:$E$852,'Raw Orders'!$B$5:$B$852,$A8,'Raw Orders'!$H$5:$H$852,$B8)</f>
        <v/>
      </c>
      <c r="D8" s="17">
        <f>SUMIFS('Raw Orders'!$E$5:$E$852,'Raw Orders'!$B$5:$B$852,$A8,'Raw Orders'!$I$5:$I$852,$B8,'Raw Orders'!$J$5:$J$852,FALSE)</f>
        <v/>
      </c>
      <c r="E8" s="20">
        <f>IF(C8=0,"",D8/C8)</f>
        <v/>
      </c>
      <c r="F8" s="17">
        <f>D8-C8</f>
        <v/>
      </c>
      <c r="G8" s="17">
        <f>SUM($F$5:$F8)</f>
        <v/>
      </c>
    </row>
    <row r="9">
      <c r="A9" s="5" t="inlineStr">
        <is>
          <t>North America</t>
        </is>
      </c>
      <c r="B9" s="16" t="n">
        <v>45413</v>
      </c>
      <c r="C9" s="17">
        <f>SUMIFS('Raw Orders'!$E$5:$E$852,'Raw Orders'!$B$5:$B$852,$A9,'Raw Orders'!$H$5:$H$852,$B9)</f>
        <v/>
      </c>
      <c r="D9" s="17">
        <f>SUMIFS('Raw Orders'!$E$5:$E$852,'Raw Orders'!$B$5:$B$852,$A9,'Raw Orders'!$I$5:$I$852,$B9,'Raw Orders'!$J$5:$J$852,FALSE)</f>
        <v/>
      </c>
      <c r="E9" s="20">
        <f>IF(C9=0,"",D9/C9)</f>
        <v/>
      </c>
      <c r="F9" s="17">
        <f>D9-C9</f>
        <v/>
      </c>
      <c r="G9" s="17">
        <f>SUM($F$5:$F9)</f>
        <v/>
      </c>
    </row>
    <row r="10">
      <c r="A10" s="5" t="inlineStr">
        <is>
          <t>North America</t>
        </is>
      </c>
      <c r="B10" s="16" t="n">
        <v>45444</v>
      </c>
      <c r="C10" s="17">
        <f>SUMIFS('Raw Orders'!$E$5:$E$852,'Raw Orders'!$B$5:$B$852,$A10,'Raw Orders'!$H$5:$H$852,$B10)</f>
        <v/>
      </c>
      <c r="D10" s="17">
        <f>SUMIFS('Raw Orders'!$E$5:$E$852,'Raw Orders'!$B$5:$B$852,$A10,'Raw Orders'!$I$5:$I$852,$B10,'Raw Orders'!$J$5:$J$852,FALSE)</f>
        <v/>
      </c>
      <c r="E10" s="20">
        <f>IF(C10=0,"",D10/C10)</f>
        <v/>
      </c>
      <c r="F10" s="17">
        <f>D10-C10</f>
        <v/>
      </c>
      <c r="G10" s="17">
        <f>SUM($F$5:$F10)</f>
        <v/>
      </c>
    </row>
    <row r="11">
      <c r="A11" s="5" t="inlineStr">
        <is>
          <t>North America</t>
        </is>
      </c>
      <c r="B11" s="16" t="n">
        <v>45474</v>
      </c>
      <c r="C11" s="17">
        <f>SUMIFS('Raw Orders'!$E$5:$E$852,'Raw Orders'!$B$5:$B$852,$A11,'Raw Orders'!$H$5:$H$852,$B11)</f>
        <v/>
      </c>
      <c r="D11" s="17">
        <f>SUMIFS('Raw Orders'!$E$5:$E$852,'Raw Orders'!$B$5:$B$852,$A11,'Raw Orders'!$I$5:$I$852,$B11,'Raw Orders'!$J$5:$J$852,FALSE)</f>
        <v/>
      </c>
      <c r="E11" s="20">
        <f>IF(C11=0,"",D11/C11)</f>
        <v/>
      </c>
      <c r="F11" s="17">
        <f>D11-C11</f>
        <v/>
      </c>
      <c r="G11" s="17">
        <f>SUM($F$5:$F11)</f>
        <v/>
      </c>
    </row>
    <row r="12">
      <c r="A12" s="5" t="inlineStr">
        <is>
          <t>North America</t>
        </is>
      </c>
      <c r="B12" s="16" t="n">
        <v>45505</v>
      </c>
      <c r="C12" s="17">
        <f>SUMIFS('Raw Orders'!$E$5:$E$852,'Raw Orders'!$B$5:$B$852,$A12,'Raw Orders'!$H$5:$H$852,$B12)</f>
        <v/>
      </c>
      <c r="D12" s="17">
        <f>SUMIFS('Raw Orders'!$E$5:$E$852,'Raw Orders'!$B$5:$B$852,$A12,'Raw Orders'!$I$5:$I$852,$B12,'Raw Orders'!$J$5:$J$852,FALSE)</f>
        <v/>
      </c>
      <c r="E12" s="20">
        <f>IF(C12=0,"",D12/C12)</f>
        <v/>
      </c>
      <c r="F12" s="17">
        <f>D12-C12</f>
        <v/>
      </c>
      <c r="G12" s="17">
        <f>SUM($F$5:$F12)</f>
        <v/>
      </c>
    </row>
    <row r="13">
      <c r="A13" s="5" t="inlineStr">
        <is>
          <t>North America</t>
        </is>
      </c>
      <c r="B13" s="16" t="n">
        <v>45536</v>
      </c>
      <c r="C13" s="17">
        <f>SUMIFS('Raw Orders'!$E$5:$E$852,'Raw Orders'!$B$5:$B$852,$A13,'Raw Orders'!$H$5:$H$852,$B13)</f>
        <v/>
      </c>
      <c r="D13" s="17">
        <f>SUMIFS('Raw Orders'!$E$5:$E$852,'Raw Orders'!$B$5:$B$852,$A13,'Raw Orders'!$I$5:$I$852,$B13,'Raw Orders'!$J$5:$J$852,FALSE)</f>
        <v/>
      </c>
      <c r="E13" s="20">
        <f>IF(C13=0,"",D13/C13)</f>
        <v/>
      </c>
      <c r="F13" s="17">
        <f>D13-C13</f>
        <v/>
      </c>
      <c r="G13" s="17">
        <f>SUM($F$5:$F13)</f>
        <v/>
      </c>
    </row>
    <row r="14">
      <c r="A14" s="5" t="inlineStr">
        <is>
          <t>North America</t>
        </is>
      </c>
      <c r="B14" s="16" t="n">
        <v>45566</v>
      </c>
      <c r="C14" s="17">
        <f>SUMIFS('Raw Orders'!$E$5:$E$852,'Raw Orders'!$B$5:$B$852,$A14,'Raw Orders'!$H$5:$H$852,$B14)</f>
        <v/>
      </c>
      <c r="D14" s="17">
        <f>SUMIFS('Raw Orders'!$E$5:$E$852,'Raw Orders'!$B$5:$B$852,$A14,'Raw Orders'!$I$5:$I$852,$B14,'Raw Orders'!$J$5:$J$852,FALSE)</f>
        <v/>
      </c>
      <c r="E14" s="20">
        <f>IF(C14=0,"",D14/C14)</f>
        <v/>
      </c>
      <c r="F14" s="17">
        <f>D14-C14</f>
        <v/>
      </c>
      <c r="G14" s="17">
        <f>SUM($F$5:$F14)</f>
        <v/>
      </c>
    </row>
    <row r="15">
      <c r="A15" s="5" t="inlineStr">
        <is>
          <t>North America</t>
        </is>
      </c>
      <c r="B15" s="16" t="n">
        <v>45597</v>
      </c>
      <c r="C15" s="17">
        <f>SUMIFS('Raw Orders'!$E$5:$E$852,'Raw Orders'!$B$5:$B$852,$A15,'Raw Orders'!$H$5:$H$852,$B15)</f>
        <v/>
      </c>
      <c r="D15" s="17">
        <f>SUMIFS('Raw Orders'!$E$5:$E$852,'Raw Orders'!$B$5:$B$852,$A15,'Raw Orders'!$I$5:$I$852,$B15,'Raw Orders'!$J$5:$J$852,FALSE)</f>
        <v/>
      </c>
      <c r="E15" s="20">
        <f>IF(C15=0,"",D15/C15)</f>
        <v/>
      </c>
      <c r="F15" s="17">
        <f>D15-C15</f>
        <v/>
      </c>
      <c r="G15" s="17">
        <f>SUM($F$5:$F15)</f>
        <v/>
      </c>
    </row>
    <row r="16">
      <c r="A16" s="5" t="inlineStr">
        <is>
          <t>North America</t>
        </is>
      </c>
      <c r="B16" s="16" t="n">
        <v>45627</v>
      </c>
      <c r="C16" s="17">
        <f>SUMIFS('Raw Orders'!$E$5:$E$852,'Raw Orders'!$B$5:$B$852,$A16,'Raw Orders'!$H$5:$H$852,$B16)</f>
        <v/>
      </c>
      <c r="D16" s="17">
        <f>SUMIFS('Raw Orders'!$E$5:$E$852,'Raw Orders'!$B$5:$B$852,$A16,'Raw Orders'!$I$5:$I$852,$B16,'Raw Orders'!$J$5:$J$852,FALSE)</f>
        <v/>
      </c>
      <c r="E16" s="20">
        <f>IF(C16=0,"",D16/C16)</f>
        <v/>
      </c>
      <c r="F16" s="17">
        <f>D16-C16</f>
        <v/>
      </c>
      <c r="G16" s="17">
        <f>SUM($F$5:$F16)</f>
        <v/>
      </c>
    </row>
    <row r="17">
      <c r="A17" s="5" t="inlineStr">
        <is>
          <t>North America</t>
        </is>
      </c>
      <c r="B17" s="16" t="n">
        <v>45658</v>
      </c>
      <c r="C17" s="17">
        <f>SUMIFS('Raw Orders'!$E$5:$E$852,'Raw Orders'!$B$5:$B$852,$A17,'Raw Orders'!$H$5:$H$852,$B17)</f>
        <v/>
      </c>
      <c r="D17" s="17">
        <f>SUMIFS('Raw Orders'!$E$5:$E$852,'Raw Orders'!$B$5:$B$852,$A17,'Raw Orders'!$I$5:$I$852,$B17,'Raw Orders'!$J$5:$J$852,FALSE)</f>
        <v/>
      </c>
      <c r="E17" s="20">
        <f>IF(C17=0,"",D17/C17)</f>
        <v/>
      </c>
      <c r="F17" s="17">
        <f>D17-C17</f>
        <v/>
      </c>
      <c r="G17" s="17">
        <f>SUM($F$5:$F17)</f>
        <v/>
      </c>
    </row>
    <row r="18">
      <c r="A18" s="5" t="inlineStr">
        <is>
          <t>North America</t>
        </is>
      </c>
      <c r="B18" s="16" t="n">
        <v>45689</v>
      </c>
      <c r="C18" s="17">
        <f>SUMIFS('Raw Orders'!$E$5:$E$852,'Raw Orders'!$B$5:$B$852,$A18,'Raw Orders'!$H$5:$H$852,$B18)</f>
        <v/>
      </c>
      <c r="D18" s="17">
        <f>SUMIFS('Raw Orders'!$E$5:$E$852,'Raw Orders'!$B$5:$B$852,$A18,'Raw Orders'!$I$5:$I$852,$B18,'Raw Orders'!$J$5:$J$852,FALSE)</f>
        <v/>
      </c>
      <c r="E18" s="20">
        <f>IF(C18=0,"",D18/C18)</f>
        <v/>
      </c>
      <c r="F18" s="17">
        <f>D18-C18</f>
        <v/>
      </c>
      <c r="G18" s="17">
        <f>SUM($F$5:$F18)</f>
        <v/>
      </c>
    </row>
    <row r="19">
      <c r="A19" s="5" t="inlineStr">
        <is>
          <t>North America</t>
        </is>
      </c>
      <c r="B19" s="16" t="n">
        <v>45717</v>
      </c>
      <c r="C19" s="17">
        <f>SUMIFS('Raw Orders'!$E$5:$E$852,'Raw Orders'!$B$5:$B$852,$A19,'Raw Orders'!$H$5:$H$852,$B19)</f>
        <v/>
      </c>
      <c r="D19" s="17">
        <f>SUMIFS('Raw Orders'!$E$5:$E$852,'Raw Orders'!$B$5:$B$852,$A19,'Raw Orders'!$I$5:$I$852,$B19,'Raw Orders'!$J$5:$J$852,FALSE)</f>
        <v/>
      </c>
      <c r="E19" s="20">
        <f>IF(C19=0,"",D19/C19)</f>
        <v/>
      </c>
      <c r="F19" s="17">
        <f>D19-C19</f>
        <v/>
      </c>
      <c r="G19" s="17">
        <f>SUM($F$5:$F19)</f>
        <v/>
      </c>
    </row>
    <row r="20">
      <c r="A20" s="5" t="inlineStr">
        <is>
          <t>North America</t>
        </is>
      </c>
      <c r="B20" s="16" t="n">
        <v>45748</v>
      </c>
      <c r="C20" s="17">
        <f>SUMIFS('Raw Orders'!$E$5:$E$852,'Raw Orders'!$B$5:$B$852,$A20,'Raw Orders'!$H$5:$H$852,$B20)</f>
        <v/>
      </c>
      <c r="D20" s="17">
        <f>SUMIFS('Raw Orders'!$E$5:$E$852,'Raw Orders'!$B$5:$B$852,$A20,'Raw Orders'!$I$5:$I$852,$B20,'Raw Orders'!$J$5:$J$852,FALSE)</f>
        <v/>
      </c>
      <c r="E20" s="20">
        <f>IF(C20=0,"",D20/C20)</f>
        <v/>
      </c>
      <c r="F20" s="17">
        <f>D20-C20</f>
        <v/>
      </c>
      <c r="G20" s="17">
        <f>SUM($F$5:$F20)</f>
        <v/>
      </c>
    </row>
    <row r="21">
      <c r="A21" s="5" t="inlineStr">
        <is>
          <t>North America</t>
        </is>
      </c>
      <c r="B21" s="16" t="n">
        <v>45778</v>
      </c>
      <c r="C21" s="17">
        <f>SUMIFS('Raw Orders'!$E$5:$E$852,'Raw Orders'!$B$5:$B$852,$A21,'Raw Orders'!$H$5:$H$852,$B21)</f>
        <v/>
      </c>
      <c r="D21" s="17">
        <f>SUMIFS('Raw Orders'!$E$5:$E$852,'Raw Orders'!$B$5:$B$852,$A21,'Raw Orders'!$I$5:$I$852,$B21,'Raw Orders'!$J$5:$J$852,FALSE)</f>
        <v/>
      </c>
      <c r="E21" s="20">
        <f>IF(C21=0,"",D21/C21)</f>
        <v/>
      </c>
      <c r="F21" s="17">
        <f>D21-C21</f>
        <v/>
      </c>
      <c r="G21" s="17">
        <f>SUM($F$5:$F21)</f>
        <v/>
      </c>
    </row>
    <row r="22">
      <c r="A22" s="5" t="inlineStr">
        <is>
          <t>North America</t>
        </is>
      </c>
      <c r="B22" s="16" t="n">
        <v>45809</v>
      </c>
      <c r="C22" s="17">
        <f>SUMIFS('Raw Orders'!$E$5:$E$852,'Raw Orders'!$B$5:$B$852,$A22,'Raw Orders'!$H$5:$H$852,$B22)</f>
        <v/>
      </c>
      <c r="D22" s="17">
        <f>SUMIFS('Raw Orders'!$E$5:$E$852,'Raw Orders'!$B$5:$B$852,$A22,'Raw Orders'!$I$5:$I$852,$B22,'Raw Orders'!$J$5:$J$852,FALSE)</f>
        <v/>
      </c>
      <c r="E22" s="20">
        <f>IF(C22=0,"",D22/C22)</f>
        <v/>
      </c>
      <c r="F22" s="17">
        <f>D22-C22</f>
        <v/>
      </c>
      <c r="G22" s="17">
        <f>SUM($F$5:$F22)</f>
        <v/>
      </c>
    </row>
    <row r="23">
      <c r="A23" s="5" t="inlineStr">
        <is>
          <t>North America</t>
        </is>
      </c>
      <c r="B23" s="16" t="n">
        <v>45839</v>
      </c>
      <c r="C23" s="17">
        <f>SUMIFS('Raw Orders'!$E$5:$E$852,'Raw Orders'!$B$5:$B$852,$A23,'Raw Orders'!$H$5:$H$852,$B23)</f>
        <v/>
      </c>
      <c r="D23" s="17">
        <f>SUMIFS('Raw Orders'!$E$5:$E$852,'Raw Orders'!$B$5:$B$852,$A23,'Raw Orders'!$I$5:$I$852,$B23,'Raw Orders'!$J$5:$J$852,FALSE)</f>
        <v/>
      </c>
      <c r="E23" s="20">
        <f>IF(C23=0,"",D23/C23)</f>
        <v/>
      </c>
      <c r="F23" s="17">
        <f>D23-C23</f>
        <v/>
      </c>
      <c r="G23" s="17">
        <f>SUM($F$5:$F23)</f>
        <v/>
      </c>
    </row>
    <row r="24">
      <c r="A24" s="5" t="inlineStr">
        <is>
          <t>North America</t>
        </is>
      </c>
      <c r="B24" s="16" t="n">
        <v>45870</v>
      </c>
      <c r="C24" s="17">
        <f>SUMIFS('Raw Orders'!$E$5:$E$852,'Raw Orders'!$B$5:$B$852,$A24,'Raw Orders'!$H$5:$H$852,$B24)</f>
        <v/>
      </c>
      <c r="D24" s="17">
        <f>SUMIFS('Raw Orders'!$E$5:$E$852,'Raw Orders'!$B$5:$B$852,$A24,'Raw Orders'!$I$5:$I$852,$B24,'Raw Orders'!$J$5:$J$852,FALSE)</f>
        <v/>
      </c>
      <c r="E24" s="20">
        <f>IF(C24=0,"",D24/C24)</f>
        <v/>
      </c>
      <c r="F24" s="17">
        <f>D24-C24</f>
        <v/>
      </c>
      <c r="G24" s="17">
        <f>SUM($F$5:$F24)</f>
        <v/>
      </c>
    </row>
    <row r="25">
      <c r="A25" s="5" t="inlineStr">
        <is>
          <t>North America</t>
        </is>
      </c>
      <c r="B25" s="16" t="n">
        <v>45901</v>
      </c>
      <c r="C25" s="17">
        <f>SUMIFS('Raw Orders'!$E$5:$E$852,'Raw Orders'!$B$5:$B$852,$A25,'Raw Orders'!$H$5:$H$852,$B25)</f>
        <v/>
      </c>
      <c r="D25" s="17">
        <f>SUMIFS('Raw Orders'!$E$5:$E$852,'Raw Orders'!$B$5:$B$852,$A25,'Raw Orders'!$I$5:$I$852,$B25,'Raw Orders'!$J$5:$J$852,FALSE)</f>
        <v/>
      </c>
      <c r="E25" s="20">
        <f>IF(C25=0,"",D25/C25)</f>
        <v/>
      </c>
      <c r="F25" s="17">
        <f>D25-C25</f>
        <v/>
      </c>
      <c r="G25" s="17">
        <f>SUM($F$5:$F25)</f>
        <v/>
      </c>
    </row>
    <row r="26">
      <c r="A26" s="5" t="inlineStr">
        <is>
          <t>North America</t>
        </is>
      </c>
      <c r="B26" s="16" t="n">
        <v>45931</v>
      </c>
      <c r="C26" s="17">
        <f>SUMIFS('Raw Orders'!$E$5:$E$852,'Raw Orders'!$B$5:$B$852,$A26,'Raw Orders'!$H$5:$H$852,$B26)</f>
        <v/>
      </c>
      <c r="D26" s="17">
        <f>SUMIFS('Raw Orders'!$E$5:$E$852,'Raw Orders'!$B$5:$B$852,$A26,'Raw Orders'!$I$5:$I$852,$B26,'Raw Orders'!$J$5:$J$852,FALSE)</f>
        <v/>
      </c>
      <c r="E26" s="20">
        <f>IF(C26=0,"",D26/C26)</f>
        <v/>
      </c>
      <c r="F26" s="17">
        <f>D26-C26</f>
        <v/>
      </c>
      <c r="G26" s="17">
        <f>SUM($F$5:$F26)</f>
        <v/>
      </c>
    </row>
    <row r="27">
      <c r="A27" s="5" t="inlineStr">
        <is>
          <t>North America</t>
        </is>
      </c>
      <c r="B27" s="16" t="n">
        <v>45962</v>
      </c>
      <c r="C27" s="17">
        <f>SUMIFS('Raw Orders'!$E$5:$E$852,'Raw Orders'!$B$5:$B$852,$A27,'Raw Orders'!$H$5:$H$852,$B27)</f>
        <v/>
      </c>
      <c r="D27" s="17">
        <f>SUMIFS('Raw Orders'!$E$5:$E$852,'Raw Orders'!$B$5:$B$852,$A27,'Raw Orders'!$I$5:$I$852,$B27,'Raw Orders'!$J$5:$J$852,FALSE)</f>
        <v/>
      </c>
      <c r="E27" s="20">
        <f>IF(C27=0,"",D27/C27)</f>
        <v/>
      </c>
      <c r="F27" s="17">
        <f>D27-C27</f>
        <v/>
      </c>
      <c r="G27" s="17">
        <f>SUM($F$5:$F27)</f>
        <v/>
      </c>
    </row>
    <row r="28">
      <c r="A28" s="5" t="inlineStr">
        <is>
          <t>North America</t>
        </is>
      </c>
      <c r="B28" s="16" t="n">
        <v>45992</v>
      </c>
      <c r="C28" s="17">
        <f>SUMIFS('Raw Orders'!$E$5:$E$852,'Raw Orders'!$B$5:$B$852,$A28,'Raw Orders'!$H$5:$H$852,$B28)</f>
        <v/>
      </c>
      <c r="D28" s="17">
        <f>SUMIFS('Raw Orders'!$E$5:$E$852,'Raw Orders'!$B$5:$B$852,$A28,'Raw Orders'!$I$5:$I$852,$B28,'Raw Orders'!$J$5:$J$852,FALSE)</f>
        <v/>
      </c>
      <c r="E28" s="20">
        <f>IF(C28=0,"",D28/C28)</f>
        <v/>
      </c>
      <c r="F28" s="17">
        <f>D28-C28</f>
        <v/>
      </c>
      <c r="G28" s="17">
        <f>SUM($F$5:$F28)</f>
        <v/>
      </c>
    </row>
    <row r="29">
      <c r="A29" s="5" t="inlineStr">
        <is>
          <t>EMEA</t>
        </is>
      </c>
      <c r="B29" s="16" t="n">
        <v>45292</v>
      </c>
      <c r="C29" s="17">
        <f>SUMIFS('Raw Orders'!$E$5:$E$852,'Raw Orders'!$B$5:$B$852,$A29,'Raw Orders'!$H$5:$H$852,$B29)</f>
        <v/>
      </c>
      <c r="D29" s="17">
        <f>SUMIFS('Raw Orders'!$E$5:$E$852,'Raw Orders'!$B$5:$B$852,$A29,'Raw Orders'!$I$5:$I$852,$B29,'Raw Orders'!$J$5:$J$852,FALSE)</f>
        <v/>
      </c>
      <c r="E29" s="20">
        <f>IF(C29=0,"",D29/C29)</f>
        <v/>
      </c>
      <c r="F29" s="17">
        <f>D29-C29</f>
        <v/>
      </c>
      <c r="G29" s="17">
        <f>SUM($F$29:$F29)</f>
        <v/>
      </c>
    </row>
    <row r="30">
      <c r="A30" s="5" t="inlineStr">
        <is>
          <t>EMEA</t>
        </is>
      </c>
      <c r="B30" s="16" t="n">
        <v>45323</v>
      </c>
      <c r="C30" s="17">
        <f>SUMIFS('Raw Orders'!$E$5:$E$852,'Raw Orders'!$B$5:$B$852,$A30,'Raw Orders'!$H$5:$H$852,$B30)</f>
        <v/>
      </c>
      <c r="D30" s="17">
        <f>SUMIFS('Raw Orders'!$E$5:$E$852,'Raw Orders'!$B$5:$B$852,$A30,'Raw Orders'!$I$5:$I$852,$B30,'Raw Orders'!$J$5:$J$852,FALSE)</f>
        <v/>
      </c>
      <c r="E30" s="20">
        <f>IF(C30=0,"",D30/C30)</f>
        <v/>
      </c>
      <c r="F30" s="17">
        <f>D30-C30</f>
        <v/>
      </c>
      <c r="G30" s="17">
        <f>SUM($F$29:$F30)</f>
        <v/>
      </c>
    </row>
    <row r="31">
      <c r="A31" s="5" t="inlineStr">
        <is>
          <t>EMEA</t>
        </is>
      </c>
      <c r="B31" s="16" t="n">
        <v>45352</v>
      </c>
      <c r="C31" s="17">
        <f>SUMIFS('Raw Orders'!$E$5:$E$852,'Raw Orders'!$B$5:$B$852,$A31,'Raw Orders'!$H$5:$H$852,$B31)</f>
        <v/>
      </c>
      <c r="D31" s="17">
        <f>SUMIFS('Raw Orders'!$E$5:$E$852,'Raw Orders'!$B$5:$B$852,$A31,'Raw Orders'!$I$5:$I$852,$B31,'Raw Orders'!$J$5:$J$852,FALSE)</f>
        <v/>
      </c>
      <c r="E31" s="20">
        <f>IF(C31=0,"",D31/C31)</f>
        <v/>
      </c>
      <c r="F31" s="17">
        <f>D31-C31</f>
        <v/>
      </c>
      <c r="G31" s="17">
        <f>SUM($F$29:$F31)</f>
        <v/>
      </c>
    </row>
    <row r="32">
      <c r="A32" s="5" t="inlineStr">
        <is>
          <t>EMEA</t>
        </is>
      </c>
      <c r="B32" s="16" t="n">
        <v>45383</v>
      </c>
      <c r="C32" s="17">
        <f>SUMIFS('Raw Orders'!$E$5:$E$852,'Raw Orders'!$B$5:$B$852,$A32,'Raw Orders'!$H$5:$H$852,$B32)</f>
        <v/>
      </c>
      <c r="D32" s="17">
        <f>SUMIFS('Raw Orders'!$E$5:$E$852,'Raw Orders'!$B$5:$B$852,$A32,'Raw Orders'!$I$5:$I$852,$B32,'Raw Orders'!$J$5:$J$852,FALSE)</f>
        <v/>
      </c>
      <c r="E32" s="20">
        <f>IF(C32=0,"",D32/C32)</f>
        <v/>
      </c>
      <c r="F32" s="17">
        <f>D32-C32</f>
        <v/>
      </c>
      <c r="G32" s="17">
        <f>SUM($F$29:$F32)</f>
        <v/>
      </c>
    </row>
    <row r="33">
      <c r="A33" s="5" t="inlineStr">
        <is>
          <t>EMEA</t>
        </is>
      </c>
      <c r="B33" s="16" t="n">
        <v>45413</v>
      </c>
      <c r="C33" s="17">
        <f>SUMIFS('Raw Orders'!$E$5:$E$852,'Raw Orders'!$B$5:$B$852,$A33,'Raw Orders'!$H$5:$H$852,$B33)</f>
        <v/>
      </c>
      <c r="D33" s="17">
        <f>SUMIFS('Raw Orders'!$E$5:$E$852,'Raw Orders'!$B$5:$B$852,$A33,'Raw Orders'!$I$5:$I$852,$B33,'Raw Orders'!$J$5:$J$852,FALSE)</f>
        <v/>
      </c>
      <c r="E33" s="20">
        <f>IF(C33=0,"",D33/C33)</f>
        <v/>
      </c>
      <c r="F33" s="17">
        <f>D33-C33</f>
        <v/>
      </c>
      <c r="G33" s="17">
        <f>SUM($F$29:$F33)</f>
        <v/>
      </c>
    </row>
    <row r="34">
      <c r="A34" s="5" t="inlineStr">
        <is>
          <t>EMEA</t>
        </is>
      </c>
      <c r="B34" s="16" t="n">
        <v>45444</v>
      </c>
      <c r="C34" s="17">
        <f>SUMIFS('Raw Orders'!$E$5:$E$852,'Raw Orders'!$B$5:$B$852,$A34,'Raw Orders'!$H$5:$H$852,$B34)</f>
        <v/>
      </c>
      <c r="D34" s="17">
        <f>SUMIFS('Raw Orders'!$E$5:$E$852,'Raw Orders'!$B$5:$B$852,$A34,'Raw Orders'!$I$5:$I$852,$B34,'Raw Orders'!$J$5:$J$852,FALSE)</f>
        <v/>
      </c>
      <c r="E34" s="20">
        <f>IF(C34=0,"",D34/C34)</f>
        <v/>
      </c>
      <c r="F34" s="17">
        <f>D34-C34</f>
        <v/>
      </c>
      <c r="G34" s="17">
        <f>SUM($F$29:$F34)</f>
        <v/>
      </c>
    </row>
    <row r="35">
      <c r="A35" s="5" t="inlineStr">
        <is>
          <t>EMEA</t>
        </is>
      </c>
      <c r="B35" s="16" t="n">
        <v>45474</v>
      </c>
      <c r="C35" s="17">
        <f>SUMIFS('Raw Orders'!$E$5:$E$852,'Raw Orders'!$B$5:$B$852,$A35,'Raw Orders'!$H$5:$H$852,$B35)</f>
        <v/>
      </c>
      <c r="D35" s="17">
        <f>SUMIFS('Raw Orders'!$E$5:$E$852,'Raw Orders'!$B$5:$B$852,$A35,'Raw Orders'!$I$5:$I$852,$B35,'Raw Orders'!$J$5:$J$852,FALSE)</f>
        <v/>
      </c>
      <c r="E35" s="20">
        <f>IF(C35=0,"",D35/C35)</f>
        <v/>
      </c>
      <c r="F35" s="17">
        <f>D35-C35</f>
        <v/>
      </c>
      <c r="G35" s="17">
        <f>SUM($F$29:$F35)</f>
        <v/>
      </c>
    </row>
    <row r="36">
      <c r="A36" s="5" t="inlineStr">
        <is>
          <t>EMEA</t>
        </is>
      </c>
      <c r="B36" s="16" t="n">
        <v>45505</v>
      </c>
      <c r="C36" s="17">
        <f>SUMIFS('Raw Orders'!$E$5:$E$852,'Raw Orders'!$B$5:$B$852,$A36,'Raw Orders'!$H$5:$H$852,$B36)</f>
        <v/>
      </c>
      <c r="D36" s="17">
        <f>SUMIFS('Raw Orders'!$E$5:$E$852,'Raw Orders'!$B$5:$B$852,$A36,'Raw Orders'!$I$5:$I$852,$B36,'Raw Orders'!$J$5:$J$852,FALSE)</f>
        <v/>
      </c>
      <c r="E36" s="20">
        <f>IF(C36=0,"",D36/C36)</f>
        <v/>
      </c>
      <c r="F36" s="17">
        <f>D36-C36</f>
        <v/>
      </c>
      <c r="G36" s="17">
        <f>SUM($F$29:$F36)</f>
        <v/>
      </c>
    </row>
    <row r="37">
      <c r="A37" s="5" t="inlineStr">
        <is>
          <t>EMEA</t>
        </is>
      </c>
      <c r="B37" s="16" t="n">
        <v>45536</v>
      </c>
      <c r="C37" s="17">
        <f>SUMIFS('Raw Orders'!$E$5:$E$852,'Raw Orders'!$B$5:$B$852,$A37,'Raw Orders'!$H$5:$H$852,$B37)</f>
        <v/>
      </c>
      <c r="D37" s="17">
        <f>SUMIFS('Raw Orders'!$E$5:$E$852,'Raw Orders'!$B$5:$B$852,$A37,'Raw Orders'!$I$5:$I$852,$B37,'Raw Orders'!$J$5:$J$852,FALSE)</f>
        <v/>
      </c>
      <c r="E37" s="20">
        <f>IF(C37=0,"",D37/C37)</f>
        <v/>
      </c>
      <c r="F37" s="17">
        <f>D37-C37</f>
        <v/>
      </c>
      <c r="G37" s="17">
        <f>SUM($F$29:$F37)</f>
        <v/>
      </c>
    </row>
    <row r="38">
      <c r="A38" s="5" t="inlineStr">
        <is>
          <t>EMEA</t>
        </is>
      </c>
      <c r="B38" s="16" t="n">
        <v>45566</v>
      </c>
      <c r="C38" s="17">
        <f>SUMIFS('Raw Orders'!$E$5:$E$852,'Raw Orders'!$B$5:$B$852,$A38,'Raw Orders'!$H$5:$H$852,$B38)</f>
        <v/>
      </c>
      <c r="D38" s="17">
        <f>SUMIFS('Raw Orders'!$E$5:$E$852,'Raw Orders'!$B$5:$B$852,$A38,'Raw Orders'!$I$5:$I$852,$B38,'Raw Orders'!$J$5:$J$852,FALSE)</f>
        <v/>
      </c>
      <c r="E38" s="20">
        <f>IF(C38=0,"",D38/C38)</f>
        <v/>
      </c>
      <c r="F38" s="17">
        <f>D38-C38</f>
        <v/>
      </c>
      <c r="G38" s="17">
        <f>SUM($F$29:$F38)</f>
        <v/>
      </c>
    </row>
    <row r="39">
      <c r="A39" s="5" t="inlineStr">
        <is>
          <t>EMEA</t>
        </is>
      </c>
      <c r="B39" s="16" t="n">
        <v>45597</v>
      </c>
      <c r="C39" s="17">
        <f>SUMIFS('Raw Orders'!$E$5:$E$852,'Raw Orders'!$B$5:$B$852,$A39,'Raw Orders'!$H$5:$H$852,$B39)</f>
        <v/>
      </c>
      <c r="D39" s="17">
        <f>SUMIFS('Raw Orders'!$E$5:$E$852,'Raw Orders'!$B$5:$B$852,$A39,'Raw Orders'!$I$5:$I$852,$B39,'Raw Orders'!$J$5:$J$852,FALSE)</f>
        <v/>
      </c>
      <c r="E39" s="20">
        <f>IF(C39=0,"",D39/C39)</f>
        <v/>
      </c>
      <c r="F39" s="17">
        <f>D39-C39</f>
        <v/>
      </c>
      <c r="G39" s="17">
        <f>SUM($F$29:$F39)</f>
        <v/>
      </c>
    </row>
    <row r="40">
      <c r="A40" s="5" t="inlineStr">
        <is>
          <t>EMEA</t>
        </is>
      </c>
      <c r="B40" s="16" t="n">
        <v>45627</v>
      </c>
      <c r="C40" s="17">
        <f>SUMIFS('Raw Orders'!$E$5:$E$852,'Raw Orders'!$B$5:$B$852,$A40,'Raw Orders'!$H$5:$H$852,$B40)</f>
        <v/>
      </c>
      <c r="D40" s="17">
        <f>SUMIFS('Raw Orders'!$E$5:$E$852,'Raw Orders'!$B$5:$B$852,$A40,'Raw Orders'!$I$5:$I$852,$B40,'Raw Orders'!$J$5:$J$852,FALSE)</f>
        <v/>
      </c>
      <c r="E40" s="20">
        <f>IF(C40=0,"",D40/C40)</f>
        <v/>
      </c>
      <c r="F40" s="17">
        <f>D40-C40</f>
        <v/>
      </c>
      <c r="G40" s="17">
        <f>SUM($F$29:$F40)</f>
        <v/>
      </c>
    </row>
    <row r="41">
      <c r="A41" s="5" t="inlineStr">
        <is>
          <t>EMEA</t>
        </is>
      </c>
      <c r="B41" s="16" t="n">
        <v>45658</v>
      </c>
      <c r="C41" s="17">
        <f>SUMIFS('Raw Orders'!$E$5:$E$852,'Raw Orders'!$B$5:$B$852,$A41,'Raw Orders'!$H$5:$H$852,$B41)</f>
        <v/>
      </c>
      <c r="D41" s="17">
        <f>SUMIFS('Raw Orders'!$E$5:$E$852,'Raw Orders'!$B$5:$B$852,$A41,'Raw Orders'!$I$5:$I$852,$B41,'Raw Orders'!$J$5:$J$852,FALSE)</f>
        <v/>
      </c>
      <c r="E41" s="20">
        <f>IF(C41=0,"",D41/C41)</f>
        <v/>
      </c>
      <c r="F41" s="17">
        <f>D41-C41</f>
        <v/>
      </c>
      <c r="G41" s="17">
        <f>SUM($F$29:$F41)</f>
        <v/>
      </c>
    </row>
    <row r="42">
      <c r="A42" s="5" t="inlineStr">
        <is>
          <t>EMEA</t>
        </is>
      </c>
      <c r="B42" s="16" t="n">
        <v>45689</v>
      </c>
      <c r="C42" s="17">
        <f>SUMIFS('Raw Orders'!$E$5:$E$852,'Raw Orders'!$B$5:$B$852,$A42,'Raw Orders'!$H$5:$H$852,$B42)</f>
        <v/>
      </c>
      <c r="D42" s="17">
        <f>SUMIFS('Raw Orders'!$E$5:$E$852,'Raw Orders'!$B$5:$B$852,$A42,'Raw Orders'!$I$5:$I$852,$B42,'Raw Orders'!$J$5:$J$852,FALSE)</f>
        <v/>
      </c>
      <c r="E42" s="20">
        <f>IF(C42=0,"",D42/C42)</f>
        <v/>
      </c>
      <c r="F42" s="17">
        <f>D42-C42</f>
        <v/>
      </c>
      <c r="G42" s="17">
        <f>SUM($F$29:$F42)</f>
        <v/>
      </c>
    </row>
    <row r="43">
      <c r="A43" s="5" t="inlineStr">
        <is>
          <t>EMEA</t>
        </is>
      </c>
      <c r="B43" s="16" t="n">
        <v>45717</v>
      </c>
      <c r="C43" s="17">
        <f>SUMIFS('Raw Orders'!$E$5:$E$852,'Raw Orders'!$B$5:$B$852,$A43,'Raw Orders'!$H$5:$H$852,$B43)</f>
        <v/>
      </c>
      <c r="D43" s="17">
        <f>SUMIFS('Raw Orders'!$E$5:$E$852,'Raw Orders'!$B$5:$B$852,$A43,'Raw Orders'!$I$5:$I$852,$B43,'Raw Orders'!$J$5:$J$852,FALSE)</f>
        <v/>
      </c>
      <c r="E43" s="20">
        <f>IF(C43=0,"",D43/C43)</f>
        <v/>
      </c>
      <c r="F43" s="17">
        <f>D43-C43</f>
        <v/>
      </c>
      <c r="G43" s="17">
        <f>SUM($F$29:$F43)</f>
        <v/>
      </c>
    </row>
    <row r="44">
      <c r="A44" s="5" t="inlineStr">
        <is>
          <t>EMEA</t>
        </is>
      </c>
      <c r="B44" s="16" t="n">
        <v>45748</v>
      </c>
      <c r="C44" s="17">
        <f>SUMIFS('Raw Orders'!$E$5:$E$852,'Raw Orders'!$B$5:$B$852,$A44,'Raw Orders'!$H$5:$H$852,$B44)</f>
        <v/>
      </c>
      <c r="D44" s="17">
        <f>SUMIFS('Raw Orders'!$E$5:$E$852,'Raw Orders'!$B$5:$B$852,$A44,'Raw Orders'!$I$5:$I$852,$B44,'Raw Orders'!$J$5:$J$852,FALSE)</f>
        <v/>
      </c>
      <c r="E44" s="20">
        <f>IF(C44=0,"",D44/C44)</f>
        <v/>
      </c>
      <c r="F44" s="17">
        <f>D44-C44</f>
        <v/>
      </c>
      <c r="G44" s="17">
        <f>SUM($F$29:$F44)</f>
        <v/>
      </c>
    </row>
    <row r="45">
      <c r="A45" s="5" t="inlineStr">
        <is>
          <t>EMEA</t>
        </is>
      </c>
      <c r="B45" s="16" t="n">
        <v>45778</v>
      </c>
      <c r="C45" s="17">
        <f>SUMIFS('Raw Orders'!$E$5:$E$852,'Raw Orders'!$B$5:$B$852,$A45,'Raw Orders'!$H$5:$H$852,$B45)</f>
        <v/>
      </c>
      <c r="D45" s="17">
        <f>SUMIFS('Raw Orders'!$E$5:$E$852,'Raw Orders'!$B$5:$B$852,$A45,'Raw Orders'!$I$5:$I$852,$B45,'Raw Orders'!$J$5:$J$852,FALSE)</f>
        <v/>
      </c>
      <c r="E45" s="20">
        <f>IF(C45=0,"",D45/C45)</f>
        <v/>
      </c>
      <c r="F45" s="17">
        <f>D45-C45</f>
        <v/>
      </c>
      <c r="G45" s="17">
        <f>SUM($F$29:$F45)</f>
        <v/>
      </c>
    </row>
    <row r="46">
      <c r="A46" s="5" t="inlineStr">
        <is>
          <t>EMEA</t>
        </is>
      </c>
      <c r="B46" s="16" t="n">
        <v>45809</v>
      </c>
      <c r="C46" s="17">
        <f>SUMIFS('Raw Orders'!$E$5:$E$852,'Raw Orders'!$B$5:$B$852,$A46,'Raw Orders'!$H$5:$H$852,$B46)</f>
        <v/>
      </c>
      <c r="D46" s="17">
        <f>SUMIFS('Raw Orders'!$E$5:$E$852,'Raw Orders'!$B$5:$B$852,$A46,'Raw Orders'!$I$5:$I$852,$B46,'Raw Orders'!$J$5:$J$852,FALSE)</f>
        <v/>
      </c>
      <c r="E46" s="20">
        <f>IF(C46=0,"",D46/C46)</f>
        <v/>
      </c>
      <c r="F46" s="17">
        <f>D46-C46</f>
        <v/>
      </c>
      <c r="G46" s="17">
        <f>SUM($F$29:$F46)</f>
        <v/>
      </c>
    </row>
    <row r="47">
      <c r="A47" s="5" t="inlineStr">
        <is>
          <t>EMEA</t>
        </is>
      </c>
      <c r="B47" s="16" t="n">
        <v>45839</v>
      </c>
      <c r="C47" s="17">
        <f>SUMIFS('Raw Orders'!$E$5:$E$852,'Raw Orders'!$B$5:$B$852,$A47,'Raw Orders'!$H$5:$H$852,$B47)</f>
        <v/>
      </c>
      <c r="D47" s="17">
        <f>SUMIFS('Raw Orders'!$E$5:$E$852,'Raw Orders'!$B$5:$B$852,$A47,'Raw Orders'!$I$5:$I$852,$B47,'Raw Orders'!$J$5:$J$852,FALSE)</f>
        <v/>
      </c>
      <c r="E47" s="20">
        <f>IF(C47=0,"",D47/C47)</f>
        <v/>
      </c>
      <c r="F47" s="17">
        <f>D47-C47</f>
        <v/>
      </c>
      <c r="G47" s="17">
        <f>SUM($F$29:$F47)</f>
        <v/>
      </c>
    </row>
    <row r="48">
      <c r="A48" s="5" t="inlineStr">
        <is>
          <t>EMEA</t>
        </is>
      </c>
      <c r="B48" s="16" t="n">
        <v>45870</v>
      </c>
      <c r="C48" s="17">
        <f>SUMIFS('Raw Orders'!$E$5:$E$852,'Raw Orders'!$B$5:$B$852,$A48,'Raw Orders'!$H$5:$H$852,$B48)</f>
        <v/>
      </c>
      <c r="D48" s="17">
        <f>SUMIFS('Raw Orders'!$E$5:$E$852,'Raw Orders'!$B$5:$B$852,$A48,'Raw Orders'!$I$5:$I$852,$B48,'Raw Orders'!$J$5:$J$852,FALSE)</f>
        <v/>
      </c>
      <c r="E48" s="20">
        <f>IF(C48=0,"",D48/C48)</f>
        <v/>
      </c>
      <c r="F48" s="17">
        <f>D48-C48</f>
        <v/>
      </c>
      <c r="G48" s="17">
        <f>SUM($F$29:$F48)</f>
        <v/>
      </c>
    </row>
    <row r="49">
      <c r="A49" s="5" t="inlineStr">
        <is>
          <t>EMEA</t>
        </is>
      </c>
      <c r="B49" s="16" t="n">
        <v>45901</v>
      </c>
      <c r="C49" s="17">
        <f>SUMIFS('Raw Orders'!$E$5:$E$852,'Raw Orders'!$B$5:$B$852,$A49,'Raw Orders'!$H$5:$H$852,$B49)</f>
        <v/>
      </c>
      <c r="D49" s="17">
        <f>SUMIFS('Raw Orders'!$E$5:$E$852,'Raw Orders'!$B$5:$B$852,$A49,'Raw Orders'!$I$5:$I$852,$B49,'Raw Orders'!$J$5:$J$852,FALSE)</f>
        <v/>
      </c>
      <c r="E49" s="20">
        <f>IF(C49=0,"",D49/C49)</f>
        <v/>
      </c>
      <c r="F49" s="17">
        <f>D49-C49</f>
        <v/>
      </c>
      <c r="G49" s="17">
        <f>SUM($F$29:$F49)</f>
        <v/>
      </c>
    </row>
    <row r="50">
      <c r="A50" s="5" t="inlineStr">
        <is>
          <t>EMEA</t>
        </is>
      </c>
      <c r="B50" s="16" t="n">
        <v>45931</v>
      </c>
      <c r="C50" s="17">
        <f>SUMIFS('Raw Orders'!$E$5:$E$852,'Raw Orders'!$B$5:$B$852,$A50,'Raw Orders'!$H$5:$H$852,$B50)</f>
        <v/>
      </c>
      <c r="D50" s="17">
        <f>SUMIFS('Raw Orders'!$E$5:$E$852,'Raw Orders'!$B$5:$B$852,$A50,'Raw Orders'!$I$5:$I$852,$B50,'Raw Orders'!$J$5:$J$852,FALSE)</f>
        <v/>
      </c>
      <c r="E50" s="20">
        <f>IF(C50=0,"",D50/C50)</f>
        <v/>
      </c>
      <c r="F50" s="17">
        <f>D50-C50</f>
        <v/>
      </c>
      <c r="G50" s="17">
        <f>SUM($F$29:$F50)</f>
        <v/>
      </c>
    </row>
    <row r="51">
      <c r="A51" s="5" t="inlineStr">
        <is>
          <t>EMEA</t>
        </is>
      </c>
      <c r="B51" s="16" t="n">
        <v>45962</v>
      </c>
      <c r="C51" s="17">
        <f>SUMIFS('Raw Orders'!$E$5:$E$852,'Raw Orders'!$B$5:$B$852,$A51,'Raw Orders'!$H$5:$H$852,$B51)</f>
        <v/>
      </c>
      <c r="D51" s="17">
        <f>SUMIFS('Raw Orders'!$E$5:$E$852,'Raw Orders'!$B$5:$B$852,$A51,'Raw Orders'!$I$5:$I$852,$B51,'Raw Orders'!$J$5:$J$852,FALSE)</f>
        <v/>
      </c>
      <c r="E51" s="20">
        <f>IF(C51=0,"",D51/C51)</f>
        <v/>
      </c>
      <c r="F51" s="17">
        <f>D51-C51</f>
        <v/>
      </c>
      <c r="G51" s="17">
        <f>SUM($F$29:$F51)</f>
        <v/>
      </c>
    </row>
    <row r="52">
      <c r="A52" s="5" t="inlineStr">
        <is>
          <t>EMEA</t>
        </is>
      </c>
      <c r="B52" s="16" t="n">
        <v>45992</v>
      </c>
      <c r="C52" s="17">
        <f>SUMIFS('Raw Orders'!$E$5:$E$852,'Raw Orders'!$B$5:$B$852,$A52,'Raw Orders'!$H$5:$H$852,$B52)</f>
        <v/>
      </c>
      <c r="D52" s="17">
        <f>SUMIFS('Raw Orders'!$E$5:$E$852,'Raw Orders'!$B$5:$B$852,$A52,'Raw Orders'!$I$5:$I$852,$B52,'Raw Orders'!$J$5:$J$852,FALSE)</f>
        <v/>
      </c>
      <c r="E52" s="20">
        <f>IF(C52=0,"",D52/C52)</f>
        <v/>
      </c>
      <c r="F52" s="17">
        <f>D52-C52</f>
        <v/>
      </c>
      <c r="G52" s="17">
        <f>SUM($F$29:$F52)</f>
        <v/>
      </c>
    </row>
    <row r="53">
      <c r="A53" s="5" t="inlineStr">
        <is>
          <t>APAC</t>
        </is>
      </c>
      <c r="B53" s="16" t="n">
        <v>45292</v>
      </c>
      <c r="C53" s="17">
        <f>SUMIFS('Raw Orders'!$E$5:$E$852,'Raw Orders'!$B$5:$B$852,$A53,'Raw Orders'!$H$5:$H$852,$B53)</f>
        <v/>
      </c>
      <c r="D53" s="17">
        <f>SUMIFS('Raw Orders'!$E$5:$E$852,'Raw Orders'!$B$5:$B$852,$A53,'Raw Orders'!$I$5:$I$852,$B53,'Raw Orders'!$J$5:$J$852,FALSE)</f>
        <v/>
      </c>
      <c r="E53" s="20">
        <f>IF(C53=0,"",D53/C53)</f>
        <v/>
      </c>
      <c r="F53" s="17">
        <f>D53-C53</f>
        <v/>
      </c>
      <c r="G53" s="17">
        <f>SUM($F$53:$F53)</f>
        <v/>
      </c>
    </row>
    <row r="54">
      <c r="A54" s="5" t="inlineStr">
        <is>
          <t>APAC</t>
        </is>
      </c>
      <c r="B54" s="16" t="n">
        <v>45323</v>
      </c>
      <c r="C54" s="17">
        <f>SUMIFS('Raw Orders'!$E$5:$E$852,'Raw Orders'!$B$5:$B$852,$A54,'Raw Orders'!$H$5:$H$852,$B54)</f>
        <v/>
      </c>
      <c r="D54" s="17">
        <f>SUMIFS('Raw Orders'!$E$5:$E$852,'Raw Orders'!$B$5:$B$852,$A54,'Raw Orders'!$I$5:$I$852,$B54,'Raw Orders'!$J$5:$J$852,FALSE)</f>
        <v/>
      </c>
      <c r="E54" s="20">
        <f>IF(C54=0,"",D54/C54)</f>
        <v/>
      </c>
      <c r="F54" s="17">
        <f>D54-C54</f>
        <v/>
      </c>
      <c r="G54" s="17">
        <f>SUM($F$53:$F54)</f>
        <v/>
      </c>
    </row>
    <row r="55">
      <c r="A55" s="5" t="inlineStr">
        <is>
          <t>APAC</t>
        </is>
      </c>
      <c r="B55" s="16" t="n">
        <v>45352</v>
      </c>
      <c r="C55" s="17">
        <f>SUMIFS('Raw Orders'!$E$5:$E$852,'Raw Orders'!$B$5:$B$852,$A55,'Raw Orders'!$H$5:$H$852,$B55)</f>
        <v/>
      </c>
      <c r="D55" s="17">
        <f>SUMIFS('Raw Orders'!$E$5:$E$852,'Raw Orders'!$B$5:$B$852,$A55,'Raw Orders'!$I$5:$I$852,$B55,'Raw Orders'!$J$5:$J$852,FALSE)</f>
        <v/>
      </c>
      <c r="E55" s="20">
        <f>IF(C55=0,"",D55/C55)</f>
        <v/>
      </c>
      <c r="F55" s="17">
        <f>D55-C55</f>
        <v/>
      </c>
      <c r="G55" s="17">
        <f>SUM($F$53:$F55)</f>
        <v/>
      </c>
    </row>
    <row r="56">
      <c r="A56" s="5" t="inlineStr">
        <is>
          <t>APAC</t>
        </is>
      </c>
      <c r="B56" s="16" t="n">
        <v>45383</v>
      </c>
      <c r="C56" s="17">
        <f>SUMIFS('Raw Orders'!$E$5:$E$852,'Raw Orders'!$B$5:$B$852,$A56,'Raw Orders'!$H$5:$H$852,$B56)</f>
        <v/>
      </c>
      <c r="D56" s="17">
        <f>SUMIFS('Raw Orders'!$E$5:$E$852,'Raw Orders'!$B$5:$B$852,$A56,'Raw Orders'!$I$5:$I$852,$B56,'Raw Orders'!$J$5:$J$852,FALSE)</f>
        <v/>
      </c>
      <c r="E56" s="20">
        <f>IF(C56=0,"",D56/C56)</f>
        <v/>
      </c>
      <c r="F56" s="17">
        <f>D56-C56</f>
        <v/>
      </c>
      <c r="G56" s="17">
        <f>SUM($F$53:$F56)</f>
        <v/>
      </c>
    </row>
    <row r="57">
      <c r="A57" s="5" t="inlineStr">
        <is>
          <t>APAC</t>
        </is>
      </c>
      <c r="B57" s="16" t="n">
        <v>45413</v>
      </c>
      <c r="C57" s="17">
        <f>SUMIFS('Raw Orders'!$E$5:$E$852,'Raw Orders'!$B$5:$B$852,$A57,'Raw Orders'!$H$5:$H$852,$B57)</f>
        <v/>
      </c>
      <c r="D57" s="17">
        <f>SUMIFS('Raw Orders'!$E$5:$E$852,'Raw Orders'!$B$5:$B$852,$A57,'Raw Orders'!$I$5:$I$852,$B57,'Raw Orders'!$J$5:$J$852,FALSE)</f>
        <v/>
      </c>
      <c r="E57" s="20">
        <f>IF(C57=0,"",D57/C57)</f>
        <v/>
      </c>
      <c r="F57" s="17">
        <f>D57-C57</f>
        <v/>
      </c>
      <c r="G57" s="17">
        <f>SUM($F$53:$F57)</f>
        <v/>
      </c>
    </row>
    <row r="58">
      <c r="A58" s="5" t="inlineStr">
        <is>
          <t>APAC</t>
        </is>
      </c>
      <c r="B58" s="16" t="n">
        <v>45444</v>
      </c>
      <c r="C58" s="17">
        <f>SUMIFS('Raw Orders'!$E$5:$E$852,'Raw Orders'!$B$5:$B$852,$A58,'Raw Orders'!$H$5:$H$852,$B58)</f>
        <v/>
      </c>
      <c r="D58" s="17">
        <f>SUMIFS('Raw Orders'!$E$5:$E$852,'Raw Orders'!$B$5:$B$852,$A58,'Raw Orders'!$I$5:$I$852,$B58,'Raw Orders'!$J$5:$J$852,FALSE)</f>
        <v/>
      </c>
      <c r="E58" s="20">
        <f>IF(C58=0,"",D58/C58)</f>
        <v/>
      </c>
      <c r="F58" s="17">
        <f>D58-C58</f>
        <v/>
      </c>
      <c r="G58" s="17">
        <f>SUM($F$53:$F58)</f>
        <v/>
      </c>
    </row>
    <row r="59">
      <c r="A59" s="5" t="inlineStr">
        <is>
          <t>APAC</t>
        </is>
      </c>
      <c r="B59" s="16" t="n">
        <v>45474</v>
      </c>
      <c r="C59" s="17">
        <f>SUMIFS('Raw Orders'!$E$5:$E$852,'Raw Orders'!$B$5:$B$852,$A59,'Raw Orders'!$H$5:$H$852,$B59)</f>
        <v/>
      </c>
      <c r="D59" s="17">
        <f>SUMIFS('Raw Orders'!$E$5:$E$852,'Raw Orders'!$B$5:$B$852,$A59,'Raw Orders'!$I$5:$I$852,$B59,'Raw Orders'!$J$5:$J$852,FALSE)</f>
        <v/>
      </c>
      <c r="E59" s="20">
        <f>IF(C59=0,"",D59/C59)</f>
        <v/>
      </c>
      <c r="F59" s="17">
        <f>D59-C59</f>
        <v/>
      </c>
      <c r="G59" s="17">
        <f>SUM($F$53:$F59)</f>
        <v/>
      </c>
    </row>
    <row r="60">
      <c r="A60" s="5" t="inlineStr">
        <is>
          <t>APAC</t>
        </is>
      </c>
      <c r="B60" s="16" t="n">
        <v>45505</v>
      </c>
      <c r="C60" s="17">
        <f>SUMIFS('Raw Orders'!$E$5:$E$852,'Raw Orders'!$B$5:$B$852,$A60,'Raw Orders'!$H$5:$H$852,$B60)</f>
        <v/>
      </c>
      <c r="D60" s="17">
        <f>SUMIFS('Raw Orders'!$E$5:$E$852,'Raw Orders'!$B$5:$B$852,$A60,'Raw Orders'!$I$5:$I$852,$B60,'Raw Orders'!$J$5:$J$852,FALSE)</f>
        <v/>
      </c>
      <c r="E60" s="20">
        <f>IF(C60=0,"",D60/C60)</f>
        <v/>
      </c>
      <c r="F60" s="17">
        <f>D60-C60</f>
        <v/>
      </c>
      <c r="G60" s="17">
        <f>SUM($F$53:$F60)</f>
        <v/>
      </c>
    </row>
    <row r="61">
      <c r="A61" s="5" t="inlineStr">
        <is>
          <t>APAC</t>
        </is>
      </c>
      <c r="B61" s="16" t="n">
        <v>45536</v>
      </c>
      <c r="C61" s="17">
        <f>SUMIFS('Raw Orders'!$E$5:$E$852,'Raw Orders'!$B$5:$B$852,$A61,'Raw Orders'!$H$5:$H$852,$B61)</f>
        <v/>
      </c>
      <c r="D61" s="17">
        <f>SUMIFS('Raw Orders'!$E$5:$E$852,'Raw Orders'!$B$5:$B$852,$A61,'Raw Orders'!$I$5:$I$852,$B61,'Raw Orders'!$J$5:$J$852,FALSE)</f>
        <v/>
      </c>
      <c r="E61" s="20">
        <f>IF(C61=0,"",D61/C61)</f>
        <v/>
      </c>
      <c r="F61" s="17">
        <f>D61-C61</f>
        <v/>
      </c>
      <c r="G61" s="17">
        <f>SUM($F$53:$F61)</f>
        <v/>
      </c>
    </row>
    <row r="62">
      <c r="A62" s="5" t="inlineStr">
        <is>
          <t>APAC</t>
        </is>
      </c>
      <c r="B62" s="16" t="n">
        <v>45566</v>
      </c>
      <c r="C62" s="17">
        <f>SUMIFS('Raw Orders'!$E$5:$E$852,'Raw Orders'!$B$5:$B$852,$A62,'Raw Orders'!$H$5:$H$852,$B62)</f>
        <v/>
      </c>
      <c r="D62" s="17">
        <f>SUMIFS('Raw Orders'!$E$5:$E$852,'Raw Orders'!$B$5:$B$852,$A62,'Raw Orders'!$I$5:$I$852,$B62,'Raw Orders'!$J$5:$J$852,FALSE)</f>
        <v/>
      </c>
      <c r="E62" s="20">
        <f>IF(C62=0,"",D62/C62)</f>
        <v/>
      </c>
      <c r="F62" s="17">
        <f>D62-C62</f>
        <v/>
      </c>
      <c r="G62" s="17">
        <f>SUM($F$53:$F62)</f>
        <v/>
      </c>
    </row>
    <row r="63">
      <c r="A63" s="5" t="inlineStr">
        <is>
          <t>APAC</t>
        </is>
      </c>
      <c r="B63" s="16" t="n">
        <v>45597</v>
      </c>
      <c r="C63" s="17">
        <f>SUMIFS('Raw Orders'!$E$5:$E$852,'Raw Orders'!$B$5:$B$852,$A63,'Raw Orders'!$H$5:$H$852,$B63)</f>
        <v/>
      </c>
      <c r="D63" s="17">
        <f>SUMIFS('Raw Orders'!$E$5:$E$852,'Raw Orders'!$B$5:$B$852,$A63,'Raw Orders'!$I$5:$I$852,$B63,'Raw Orders'!$J$5:$J$852,FALSE)</f>
        <v/>
      </c>
      <c r="E63" s="20">
        <f>IF(C63=0,"",D63/C63)</f>
        <v/>
      </c>
      <c r="F63" s="17">
        <f>D63-C63</f>
        <v/>
      </c>
      <c r="G63" s="17">
        <f>SUM($F$53:$F63)</f>
        <v/>
      </c>
    </row>
    <row r="64">
      <c r="A64" s="5" t="inlineStr">
        <is>
          <t>APAC</t>
        </is>
      </c>
      <c r="B64" s="16" t="n">
        <v>45627</v>
      </c>
      <c r="C64" s="17">
        <f>SUMIFS('Raw Orders'!$E$5:$E$852,'Raw Orders'!$B$5:$B$852,$A64,'Raw Orders'!$H$5:$H$852,$B64)</f>
        <v/>
      </c>
      <c r="D64" s="17">
        <f>SUMIFS('Raw Orders'!$E$5:$E$852,'Raw Orders'!$B$5:$B$852,$A64,'Raw Orders'!$I$5:$I$852,$B64,'Raw Orders'!$J$5:$J$852,FALSE)</f>
        <v/>
      </c>
      <c r="E64" s="20">
        <f>IF(C64=0,"",D64/C64)</f>
        <v/>
      </c>
      <c r="F64" s="17">
        <f>D64-C64</f>
        <v/>
      </c>
      <c r="G64" s="17">
        <f>SUM($F$53:$F64)</f>
        <v/>
      </c>
    </row>
    <row r="65">
      <c r="A65" s="5" t="inlineStr">
        <is>
          <t>APAC</t>
        </is>
      </c>
      <c r="B65" s="16" t="n">
        <v>45658</v>
      </c>
      <c r="C65" s="17">
        <f>SUMIFS('Raw Orders'!$E$5:$E$852,'Raw Orders'!$B$5:$B$852,$A65,'Raw Orders'!$H$5:$H$852,$B65)</f>
        <v/>
      </c>
      <c r="D65" s="17">
        <f>SUMIFS('Raw Orders'!$E$5:$E$852,'Raw Orders'!$B$5:$B$852,$A65,'Raw Orders'!$I$5:$I$852,$B65,'Raw Orders'!$J$5:$J$852,FALSE)</f>
        <v/>
      </c>
      <c r="E65" s="20">
        <f>IF(C65=0,"",D65/C65)</f>
        <v/>
      </c>
      <c r="F65" s="17">
        <f>D65-C65</f>
        <v/>
      </c>
      <c r="G65" s="17">
        <f>SUM($F$53:$F65)</f>
        <v/>
      </c>
    </row>
    <row r="66">
      <c r="A66" s="5" t="inlineStr">
        <is>
          <t>APAC</t>
        </is>
      </c>
      <c r="B66" s="16" t="n">
        <v>45689</v>
      </c>
      <c r="C66" s="17">
        <f>SUMIFS('Raw Orders'!$E$5:$E$852,'Raw Orders'!$B$5:$B$852,$A66,'Raw Orders'!$H$5:$H$852,$B66)</f>
        <v/>
      </c>
      <c r="D66" s="17">
        <f>SUMIFS('Raw Orders'!$E$5:$E$852,'Raw Orders'!$B$5:$B$852,$A66,'Raw Orders'!$I$5:$I$852,$B66,'Raw Orders'!$J$5:$J$852,FALSE)</f>
        <v/>
      </c>
      <c r="E66" s="20">
        <f>IF(C66=0,"",D66/C66)</f>
        <v/>
      </c>
      <c r="F66" s="17">
        <f>D66-C66</f>
        <v/>
      </c>
      <c r="G66" s="17">
        <f>SUM($F$53:$F66)</f>
        <v/>
      </c>
    </row>
    <row r="67">
      <c r="A67" s="5" t="inlineStr">
        <is>
          <t>APAC</t>
        </is>
      </c>
      <c r="B67" s="16" t="n">
        <v>45717</v>
      </c>
      <c r="C67" s="17">
        <f>SUMIFS('Raw Orders'!$E$5:$E$852,'Raw Orders'!$B$5:$B$852,$A67,'Raw Orders'!$H$5:$H$852,$B67)</f>
        <v/>
      </c>
      <c r="D67" s="17">
        <f>SUMIFS('Raw Orders'!$E$5:$E$852,'Raw Orders'!$B$5:$B$852,$A67,'Raw Orders'!$I$5:$I$852,$B67,'Raw Orders'!$J$5:$J$852,FALSE)</f>
        <v/>
      </c>
      <c r="E67" s="20">
        <f>IF(C67=0,"",D67/C67)</f>
        <v/>
      </c>
      <c r="F67" s="17">
        <f>D67-C67</f>
        <v/>
      </c>
      <c r="G67" s="17">
        <f>SUM($F$53:$F67)</f>
        <v/>
      </c>
    </row>
    <row r="68">
      <c r="A68" s="5" t="inlineStr">
        <is>
          <t>APAC</t>
        </is>
      </c>
      <c r="B68" s="16" t="n">
        <v>45748</v>
      </c>
      <c r="C68" s="17">
        <f>SUMIFS('Raw Orders'!$E$5:$E$852,'Raw Orders'!$B$5:$B$852,$A68,'Raw Orders'!$H$5:$H$852,$B68)</f>
        <v/>
      </c>
      <c r="D68" s="17">
        <f>SUMIFS('Raw Orders'!$E$5:$E$852,'Raw Orders'!$B$5:$B$852,$A68,'Raw Orders'!$I$5:$I$852,$B68,'Raw Orders'!$J$5:$J$852,FALSE)</f>
        <v/>
      </c>
      <c r="E68" s="20">
        <f>IF(C68=0,"",D68/C68)</f>
        <v/>
      </c>
      <c r="F68" s="17">
        <f>D68-C68</f>
        <v/>
      </c>
      <c r="G68" s="17">
        <f>SUM($F$53:$F68)</f>
        <v/>
      </c>
    </row>
    <row r="69">
      <c r="A69" s="5" t="inlineStr">
        <is>
          <t>APAC</t>
        </is>
      </c>
      <c r="B69" s="16" t="n">
        <v>45778</v>
      </c>
      <c r="C69" s="17">
        <f>SUMIFS('Raw Orders'!$E$5:$E$852,'Raw Orders'!$B$5:$B$852,$A69,'Raw Orders'!$H$5:$H$852,$B69)</f>
        <v/>
      </c>
      <c r="D69" s="17">
        <f>SUMIFS('Raw Orders'!$E$5:$E$852,'Raw Orders'!$B$5:$B$852,$A69,'Raw Orders'!$I$5:$I$852,$B69,'Raw Orders'!$J$5:$J$852,FALSE)</f>
        <v/>
      </c>
      <c r="E69" s="20">
        <f>IF(C69=0,"",D69/C69)</f>
        <v/>
      </c>
      <c r="F69" s="17">
        <f>D69-C69</f>
        <v/>
      </c>
      <c r="G69" s="17">
        <f>SUM($F$53:$F69)</f>
        <v/>
      </c>
    </row>
    <row r="70">
      <c r="A70" s="5" t="inlineStr">
        <is>
          <t>APAC</t>
        </is>
      </c>
      <c r="B70" s="16" t="n">
        <v>45809</v>
      </c>
      <c r="C70" s="17">
        <f>SUMIFS('Raw Orders'!$E$5:$E$852,'Raw Orders'!$B$5:$B$852,$A70,'Raw Orders'!$H$5:$H$852,$B70)</f>
        <v/>
      </c>
      <c r="D70" s="17">
        <f>SUMIFS('Raw Orders'!$E$5:$E$852,'Raw Orders'!$B$5:$B$852,$A70,'Raw Orders'!$I$5:$I$852,$B70,'Raw Orders'!$J$5:$J$852,FALSE)</f>
        <v/>
      </c>
      <c r="E70" s="20">
        <f>IF(C70=0,"",D70/C70)</f>
        <v/>
      </c>
      <c r="F70" s="17">
        <f>D70-C70</f>
        <v/>
      </c>
      <c r="G70" s="17">
        <f>SUM($F$53:$F70)</f>
        <v/>
      </c>
    </row>
    <row r="71">
      <c r="A71" s="5" t="inlineStr">
        <is>
          <t>APAC</t>
        </is>
      </c>
      <c r="B71" s="16" t="n">
        <v>45839</v>
      </c>
      <c r="C71" s="17">
        <f>SUMIFS('Raw Orders'!$E$5:$E$852,'Raw Orders'!$B$5:$B$852,$A71,'Raw Orders'!$H$5:$H$852,$B71)</f>
        <v/>
      </c>
      <c r="D71" s="17">
        <f>SUMIFS('Raw Orders'!$E$5:$E$852,'Raw Orders'!$B$5:$B$852,$A71,'Raw Orders'!$I$5:$I$852,$B71,'Raw Orders'!$J$5:$J$852,FALSE)</f>
        <v/>
      </c>
      <c r="E71" s="20">
        <f>IF(C71=0,"",D71/C71)</f>
        <v/>
      </c>
      <c r="F71" s="17">
        <f>D71-C71</f>
        <v/>
      </c>
      <c r="G71" s="17">
        <f>SUM($F$53:$F71)</f>
        <v/>
      </c>
    </row>
    <row r="72">
      <c r="A72" s="5" t="inlineStr">
        <is>
          <t>APAC</t>
        </is>
      </c>
      <c r="B72" s="16" t="n">
        <v>45870</v>
      </c>
      <c r="C72" s="17">
        <f>SUMIFS('Raw Orders'!$E$5:$E$852,'Raw Orders'!$B$5:$B$852,$A72,'Raw Orders'!$H$5:$H$852,$B72)</f>
        <v/>
      </c>
      <c r="D72" s="17">
        <f>SUMIFS('Raw Orders'!$E$5:$E$852,'Raw Orders'!$B$5:$B$852,$A72,'Raw Orders'!$I$5:$I$852,$B72,'Raw Orders'!$J$5:$J$852,FALSE)</f>
        <v/>
      </c>
      <c r="E72" s="20">
        <f>IF(C72=0,"",D72/C72)</f>
        <v/>
      </c>
      <c r="F72" s="17">
        <f>D72-C72</f>
        <v/>
      </c>
      <c r="G72" s="17">
        <f>SUM($F$53:$F72)</f>
        <v/>
      </c>
    </row>
    <row r="73">
      <c r="A73" s="5" t="inlineStr">
        <is>
          <t>APAC</t>
        </is>
      </c>
      <c r="B73" s="16" t="n">
        <v>45901</v>
      </c>
      <c r="C73" s="17">
        <f>SUMIFS('Raw Orders'!$E$5:$E$852,'Raw Orders'!$B$5:$B$852,$A73,'Raw Orders'!$H$5:$H$852,$B73)</f>
        <v/>
      </c>
      <c r="D73" s="17">
        <f>SUMIFS('Raw Orders'!$E$5:$E$852,'Raw Orders'!$B$5:$B$852,$A73,'Raw Orders'!$I$5:$I$852,$B73,'Raw Orders'!$J$5:$J$852,FALSE)</f>
        <v/>
      </c>
      <c r="E73" s="20">
        <f>IF(C73=0,"",D73/C73)</f>
        <v/>
      </c>
      <c r="F73" s="17">
        <f>D73-C73</f>
        <v/>
      </c>
      <c r="G73" s="17">
        <f>SUM($F$53:$F73)</f>
        <v/>
      </c>
    </row>
    <row r="74">
      <c r="A74" s="5" t="inlineStr">
        <is>
          <t>APAC</t>
        </is>
      </c>
      <c r="B74" s="16" t="n">
        <v>45931</v>
      </c>
      <c r="C74" s="17">
        <f>SUMIFS('Raw Orders'!$E$5:$E$852,'Raw Orders'!$B$5:$B$852,$A74,'Raw Orders'!$H$5:$H$852,$B74)</f>
        <v/>
      </c>
      <c r="D74" s="17">
        <f>SUMIFS('Raw Orders'!$E$5:$E$852,'Raw Orders'!$B$5:$B$852,$A74,'Raw Orders'!$I$5:$I$852,$B74,'Raw Orders'!$J$5:$J$852,FALSE)</f>
        <v/>
      </c>
      <c r="E74" s="20">
        <f>IF(C74=0,"",D74/C74)</f>
        <v/>
      </c>
      <c r="F74" s="17">
        <f>D74-C74</f>
        <v/>
      </c>
      <c r="G74" s="17">
        <f>SUM($F$53:$F74)</f>
        <v/>
      </c>
    </row>
    <row r="75">
      <c r="A75" s="5" t="inlineStr">
        <is>
          <t>APAC</t>
        </is>
      </c>
      <c r="B75" s="16" t="n">
        <v>45962</v>
      </c>
      <c r="C75" s="17">
        <f>SUMIFS('Raw Orders'!$E$5:$E$852,'Raw Orders'!$B$5:$B$852,$A75,'Raw Orders'!$H$5:$H$852,$B75)</f>
        <v/>
      </c>
      <c r="D75" s="17">
        <f>SUMIFS('Raw Orders'!$E$5:$E$852,'Raw Orders'!$B$5:$B$852,$A75,'Raw Orders'!$I$5:$I$852,$B75,'Raw Orders'!$J$5:$J$852,FALSE)</f>
        <v/>
      </c>
      <c r="E75" s="20">
        <f>IF(C75=0,"",D75/C75)</f>
        <v/>
      </c>
      <c r="F75" s="17">
        <f>D75-C75</f>
        <v/>
      </c>
      <c r="G75" s="17">
        <f>SUM($F$53:$F75)</f>
        <v/>
      </c>
    </row>
    <row r="76">
      <c r="A76" s="5" t="inlineStr">
        <is>
          <t>APAC</t>
        </is>
      </c>
      <c r="B76" s="16" t="n">
        <v>45992</v>
      </c>
      <c r="C76" s="17">
        <f>SUMIFS('Raw Orders'!$E$5:$E$852,'Raw Orders'!$B$5:$B$852,$A76,'Raw Orders'!$H$5:$H$852,$B76)</f>
        <v/>
      </c>
      <c r="D76" s="17">
        <f>SUMIFS('Raw Orders'!$E$5:$E$852,'Raw Orders'!$B$5:$B$852,$A76,'Raw Orders'!$I$5:$I$852,$B76,'Raw Orders'!$J$5:$J$852,FALSE)</f>
        <v/>
      </c>
      <c r="E76" s="20">
        <f>IF(C76=0,"",D76/C76)</f>
        <v/>
      </c>
      <c r="F76" s="17">
        <f>D76-C76</f>
        <v/>
      </c>
      <c r="G76" s="17">
        <f>SUM($F$53:$F76)</f>
        <v/>
      </c>
    </row>
    <row r="77">
      <c r="A77" s="5" t="inlineStr">
        <is>
          <t>LATAM</t>
        </is>
      </c>
      <c r="B77" s="16" t="n">
        <v>45292</v>
      </c>
      <c r="C77" s="17">
        <f>SUMIFS('Raw Orders'!$E$5:$E$852,'Raw Orders'!$B$5:$B$852,$A77,'Raw Orders'!$H$5:$H$852,$B77)</f>
        <v/>
      </c>
      <c r="D77" s="17">
        <f>SUMIFS('Raw Orders'!$E$5:$E$852,'Raw Orders'!$B$5:$B$852,$A77,'Raw Orders'!$I$5:$I$852,$B77,'Raw Orders'!$J$5:$J$852,FALSE)</f>
        <v/>
      </c>
      <c r="E77" s="20">
        <f>IF(C77=0,"",D77/C77)</f>
        <v/>
      </c>
      <c r="F77" s="17">
        <f>D77-C77</f>
        <v/>
      </c>
      <c r="G77" s="17">
        <f>SUM($F$77:$F77)</f>
        <v/>
      </c>
    </row>
    <row r="78">
      <c r="A78" s="5" t="inlineStr">
        <is>
          <t>LATAM</t>
        </is>
      </c>
      <c r="B78" s="16" t="n">
        <v>45323</v>
      </c>
      <c r="C78" s="17">
        <f>SUMIFS('Raw Orders'!$E$5:$E$852,'Raw Orders'!$B$5:$B$852,$A78,'Raw Orders'!$H$5:$H$852,$B78)</f>
        <v/>
      </c>
      <c r="D78" s="17">
        <f>SUMIFS('Raw Orders'!$E$5:$E$852,'Raw Orders'!$B$5:$B$852,$A78,'Raw Orders'!$I$5:$I$852,$B78,'Raw Orders'!$J$5:$J$852,FALSE)</f>
        <v/>
      </c>
      <c r="E78" s="20">
        <f>IF(C78=0,"",D78/C78)</f>
        <v/>
      </c>
      <c r="F78" s="17">
        <f>D78-C78</f>
        <v/>
      </c>
      <c r="G78" s="17">
        <f>SUM($F$77:$F78)</f>
        <v/>
      </c>
    </row>
    <row r="79">
      <c r="A79" s="5" t="inlineStr">
        <is>
          <t>LATAM</t>
        </is>
      </c>
      <c r="B79" s="16" t="n">
        <v>45352</v>
      </c>
      <c r="C79" s="17">
        <f>SUMIFS('Raw Orders'!$E$5:$E$852,'Raw Orders'!$B$5:$B$852,$A79,'Raw Orders'!$H$5:$H$852,$B79)</f>
        <v/>
      </c>
      <c r="D79" s="17">
        <f>SUMIFS('Raw Orders'!$E$5:$E$852,'Raw Orders'!$B$5:$B$852,$A79,'Raw Orders'!$I$5:$I$852,$B79,'Raw Orders'!$J$5:$J$852,FALSE)</f>
        <v/>
      </c>
      <c r="E79" s="20">
        <f>IF(C79=0,"",D79/C79)</f>
        <v/>
      </c>
      <c r="F79" s="17">
        <f>D79-C79</f>
        <v/>
      </c>
      <c r="G79" s="17">
        <f>SUM($F$77:$F79)</f>
        <v/>
      </c>
    </row>
    <row r="80">
      <c r="A80" s="5" t="inlineStr">
        <is>
          <t>LATAM</t>
        </is>
      </c>
      <c r="B80" s="16" t="n">
        <v>45383</v>
      </c>
      <c r="C80" s="17">
        <f>SUMIFS('Raw Orders'!$E$5:$E$852,'Raw Orders'!$B$5:$B$852,$A80,'Raw Orders'!$H$5:$H$852,$B80)</f>
        <v/>
      </c>
      <c r="D80" s="17">
        <f>SUMIFS('Raw Orders'!$E$5:$E$852,'Raw Orders'!$B$5:$B$852,$A80,'Raw Orders'!$I$5:$I$852,$B80,'Raw Orders'!$J$5:$J$852,FALSE)</f>
        <v/>
      </c>
      <c r="E80" s="20">
        <f>IF(C80=0,"",D80/C80)</f>
        <v/>
      </c>
      <c r="F80" s="17">
        <f>D80-C80</f>
        <v/>
      </c>
      <c r="G80" s="17">
        <f>SUM($F$77:$F80)</f>
        <v/>
      </c>
    </row>
    <row r="81">
      <c r="A81" s="5" t="inlineStr">
        <is>
          <t>LATAM</t>
        </is>
      </c>
      <c r="B81" s="16" t="n">
        <v>45413</v>
      </c>
      <c r="C81" s="17">
        <f>SUMIFS('Raw Orders'!$E$5:$E$852,'Raw Orders'!$B$5:$B$852,$A81,'Raw Orders'!$H$5:$H$852,$B81)</f>
        <v/>
      </c>
      <c r="D81" s="17">
        <f>SUMIFS('Raw Orders'!$E$5:$E$852,'Raw Orders'!$B$5:$B$852,$A81,'Raw Orders'!$I$5:$I$852,$B81,'Raw Orders'!$J$5:$J$852,FALSE)</f>
        <v/>
      </c>
      <c r="E81" s="20">
        <f>IF(C81=0,"",D81/C81)</f>
        <v/>
      </c>
      <c r="F81" s="17">
        <f>D81-C81</f>
        <v/>
      </c>
      <c r="G81" s="17">
        <f>SUM($F$77:$F81)</f>
        <v/>
      </c>
    </row>
    <row r="82">
      <c r="A82" s="5" t="inlineStr">
        <is>
          <t>LATAM</t>
        </is>
      </c>
      <c r="B82" s="16" t="n">
        <v>45444</v>
      </c>
      <c r="C82" s="17">
        <f>SUMIFS('Raw Orders'!$E$5:$E$852,'Raw Orders'!$B$5:$B$852,$A82,'Raw Orders'!$H$5:$H$852,$B82)</f>
        <v/>
      </c>
      <c r="D82" s="17">
        <f>SUMIFS('Raw Orders'!$E$5:$E$852,'Raw Orders'!$B$5:$B$852,$A82,'Raw Orders'!$I$5:$I$852,$B82,'Raw Orders'!$J$5:$J$852,FALSE)</f>
        <v/>
      </c>
      <c r="E82" s="20">
        <f>IF(C82=0,"",D82/C82)</f>
        <v/>
      </c>
      <c r="F82" s="17">
        <f>D82-C82</f>
        <v/>
      </c>
      <c r="G82" s="17">
        <f>SUM($F$77:$F82)</f>
        <v/>
      </c>
    </row>
    <row r="83">
      <c r="A83" s="5" t="inlineStr">
        <is>
          <t>LATAM</t>
        </is>
      </c>
      <c r="B83" s="16" t="n">
        <v>45474</v>
      </c>
      <c r="C83" s="17">
        <f>SUMIFS('Raw Orders'!$E$5:$E$852,'Raw Orders'!$B$5:$B$852,$A83,'Raw Orders'!$H$5:$H$852,$B83)</f>
        <v/>
      </c>
      <c r="D83" s="17">
        <f>SUMIFS('Raw Orders'!$E$5:$E$852,'Raw Orders'!$B$5:$B$852,$A83,'Raw Orders'!$I$5:$I$852,$B83,'Raw Orders'!$J$5:$J$852,FALSE)</f>
        <v/>
      </c>
      <c r="E83" s="20">
        <f>IF(C83=0,"",D83/C83)</f>
        <v/>
      </c>
      <c r="F83" s="17">
        <f>D83-C83</f>
        <v/>
      </c>
      <c r="G83" s="17">
        <f>SUM($F$77:$F83)</f>
        <v/>
      </c>
    </row>
    <row r="84">
      <c r="A84" s="5" t="inlineStr">
        <is>
          <t>LATAM</t>
        </is>
      </c>
      <c r="B84" s="16" t="n">
        <v>45505</v>
      </c>
      <c r="C84" s="17">
        <f>SUMIFS('Raw Orders'!$E$5:$E$852,'Raw Orders'!$B$5:$B$852,$A84,'Raw Orders'!$H$5:$H$852,$B84)</f>
        <v/>
      </c>
      <c r="D84" s="17">
        <f>SUMIFS('Raw Orders'!$E$5:$E$852,'Raw Orders'!$B$5:$B$852,$A84,'Raw Orders'!$I$5:$I$852,$B84,'Raw Orders'!$J$5:$J$852,FALSE)</f>
        <v/>
      </c>
      <c r="E84" s="20">
        <f>IF(C84=0,"",D84/C84)</f>
        <v/>
      </c>
      <c r="F84" s="17">
        <f>D84-C84</f>
        <v/>
      </c>
      <c r="G84" s="17">
        <f>SUM($F$77:$F84)</f>
        <v/>
      </c>
    </row>
    <row r="85">
      <c r="A85" s="5" t="inlineStr">
        <is>
          <t>LATAM</t>
        </is>
      </c>
      <c r="B85" s="16" t="n">
        <v>45536</v>
      </c>
      <c r="C85" s="17">
        <f>SUMIFS('Raw Orders'!$E$5:$E$852,'Raw Orders'!$B$5:$B$852,$A85,'Raw Orders'!$H$5:$H$852,$B85)</f>
        <v/>
      </c>
      <c r="D85" s="17">
        <f>SUMIFS('Raw Orders'!$E$5:$E$852,'Raw Orders'!$B$5:$B$852,$A85,'Raw Orders'!$I$5:$I$852,$B85,'Raw Orders'!$J$5:$J$852,FALSE)</f>
        <v/>
      </c>
      <c r="E85" s="20">
        <f>IF(C85=0,"",D85/C85)</f>
        <v/>
      </c>
      <c r="F85" s="17">
        <f>D85-C85</f>
        <v/>
      </c>
      <c r="G85" s="17">
        <f>SUM($F$77:$F85)</f>
        <v/>
      </c>
    </row>
    <row r="86">
      <c r="A86" s="5" t="inlineStr">
        <is>
          <t>LATAM</t>
        </is>
      </c>
      <c r="B86" s="16" t="n">
        <v>45566</v>
      </c>
      <c r="C86" s="17">
        <f>SUMIFS('Raw Orders'!$E$5:$E$852,'Raw Orders'!$B$5:$B$852,$A86,'Raw Orders'!$H$5:$H$852,$B86)</f>
        <v/>
      </c>
      <c r="D86" s="17">
        <f>SUMIFS('Raw Orders'!$E$5:$E$852,'Raw Orders'!$B$5:$B$852,$A86,'Raw Orders'!$I$5:$I$852,$B86,'Raw Orders'!$J$5:$J$852,FALSE)</f>
        <v/>
      </c>
      <c r="E86" s="20">
        <f>IF(C86=0,"",D86/C86)</f>
        <v/>
      </c>
      <c r="F86" s="17">
        <f>D86-C86</f>
        <v/>
      </c>
      <c r="G86" s="17">
        <f>SUM($F$77:$F86)</f>
        <v/>
      </c>
    </row>
    <row r="87">
      <c r="A87" s="5" t="inlineStr">
        <is>
          <t>LATAM</t>
        </is>
      </c>
      <c r="B87" s="16" t="n">
        <v>45597</v>
      </c>
      <c r="C87" s="17">
        <f>SUMIFS('Raw Orders'!$E$5:$E$852,'Raw Orders'!$B$5:$B$852,$A87,'Raw Orders'!$H$5:$H$852,$B87)</f>
        <v/>
      </c>
      <c r="D87" s="17">
        <f>SUMIFS('Raw Orders'!$E$5:$E$852,'Raw Orders'!$B$5:$B$852,$A87,'Raw Orders'!$I$5:$I$852,$B87,'Raw Orders'!$J$5:$J$852,FALSE)</f>
        <v/>
      </c>
      <c r="E87" s="20">
        <f>IF(C87=0,"",D87/C87)</f>
        <v/>
      </c>
      <c r="F87" s="17">
        <f>D87-C87</f>
        <v/>
      </c>
      <c r="G87" s="17">
        <f>SUM($F$77:$F87)</f>
        <v/>
      </c>
    </row>
    <row r="88">
      <c r="A88" s="5" t="inlineStr">
        <is>
          <t>LATAM</t>
        </is>
      </c>
      <c r="B88" s="16" t="n">
        <v>45627</v>
      </c>
      <c r="C88" s="17">
        <f>SUMIFS('Raw Orders'!$E$5:$E$852,'Raw Orders'!$B$5:$B$852,$A88,'Raw Orders'!$H$5:$H$852,$B88)</f>
        <v/>
      </c>
      <c r="D88" s="17">
        <f>SUMIFS('Raw Orders'!$E$5:$E$852,'Raw Orders'!$B$5:$B$852,$A88,'Raw Orders'!$I$5:$I$852,$B88,'Raw Orders'!$J$5:$J$852,FALSE)</f>
        <v/>
      </c>
      <c r="E88" s="20">
        <f>IF(C88=0,"",D88/C88)</f>
        <v/>
      </c>
      <c r="F88" s="17">
        <f>D88-C88</f>
        <v/>
      </c>
      <c r="G88" s="17">
        <f>SUM($F$77:$F88)</f>
        <v/>
      </c>
    </row>
    <row r="89">
      <c r="A89" s="5" t="inlineStr">
        <is>
          <t>LATAM</t>
        </is>
      </c>
      <c r="B89" s="16" t="n">
        <v>45658</v>
      </c>
      <c r="C89" s="17">
        <f>SUMIFS('Raw Orders'!$E$5:$E$852,'Raw Orders'!$B$5:$B$852,$A89,'Raw Orders'!$H$5:$H$852,$B89)</f>
        <v/>
      </c>
      <c r="D89" s="17">
        <f>SUMIFS('Raw Orders'!$E$5:$E$852,'Raw Orders'!$B$5:$B$852,$A89,'Raw Orders'!$I$5:$I$852,$B89,'Raw Orders'!$J$5:$J$852,FALSE)</f>
        <v/>
      </c>
      <c r="E89" s="20">
        <f>IF(C89=0,"",D89/C89)</f>
        <v/>
      </c>
      <c r="F89" s="17">
        <f>D89-C89</f>
        <v/>
      </c>
      <c r="G89" s="17">
        <f>SUM($F$77:$F89)</f>
        <v/>
      </c>
    </row>
    <row r="90">
      <c r="A90" s="5" t="inlineStr">
        <is>
          <t>LATAM</t>
        </is>
      </c>
      <c r="B90" s="16" t="n">
        <v>45689</v>
      </c>
      <c r="C90" s="17">
        <f>SUMIFS('Raw Orders'!$E$5:$E$852,'Raw Orders'!$B$5:$B$852,$A90,'Raw Orders'!$H$5:$H$852,$B90)</f>
        <v/>
      </c>
      <c r="D90" s="17">
        <f>SUMIFS('Raw Orders'!$E$5:$E$852,'Raw Orders'!$B$5:$B$852,$A90,'Raw Orders'!$I$5:$I$852,$B90,'Raw Orders'!$J$5:$J$852,FALSE)</f>
        <v/>
      </c>
      <c r="E90" s="20">
        <f>IF(C90=0,"",D90/C90)</f>
        <v/>
      </c>
      <c r="F90" s="17">
        <f>D90-C90</f>
        <v/>
      </c>
      <c r="G90" s="17">
        <f>SUM($F$77:$F90)</f>
        <v/>
      </c>
    </row>
    <row r="91">
      <c r="A91" s="5" t="inlineStr">
        <is>
          <t>LATAM</t>
        </is>
      </c>
      <c r="B91" s="16" t="n">
        <v>45717</v>
      </c>
      <c r="C91" s="17">
        <f>SUMIFS('Raw Orders'!$E$5:$E$852,'Raw Orders'!$B$5:$B$852,$A91,'Raw Orders'!$H$5:$H$852,$B91)</f>
        <v/>
      </c>
      <c r="D91" s="17">
        <f>SUMIFS('Raw Orders'!$E$5:$E$852,'Raw Orders'!$B$5:$B$852,$A91,'Raw Orders'!$I$5:$I$852,$B91,'Raw Orders'!$J$5:$J$852,FALSE)</f>
        <v/>
      </c>
      <c r="E91" s="20">
        <f>IF(C91=0,"",D91/C91)</f>
        <v/>
      </c>
      <c r="F91" s="17">
        <f>D91-C91</f>
        <v/>
      </c>
      <c r="G91" s="17">
        <f>SUM($F$77:$F91)</f>
        <v/>
      </c>
    </row>
    <row r="92">
      <c r="A92" s="5" t="inlineStr">
        <is>
          <t>LATAM</t>
        </is>
      </c>
      <c r="B92" s="16" t="n">
        <v>45748</v>
      </c>
      <c r="C92" s="17">
        <f>SUMIFS('Raw Orders'!$E$5:$E$852,'Raw Orders'!$B$5:$B$852,$A92,'Raw Orders'!$H$5:$H$852,$B92)</f>
        <v/>
      </c>
      <c r="D92" s="17">
        <f>SUMIFS('Raw Orders'!$E$5:$E$852,'Raw Orders'!$B$5:$B$852,$A92,'Raw Orders'!$I$5:$I$852,$B92,'Raw Orders'!$J$5:$J$852,FALSE)</f>
        <v/>
      </c>
      <c r="E92" s="20">
        <f>IF(C92=0,"",D92/C92)</f>
        <v/>
      </c>
      <c r="F92" s="17">
        <f>D92-C92</f>
        <v/>
      </c>
      <c r="G92" s="17">
        <f>SUM($F$77:$F92)</f>
        <v/>
      </c>
    </row>
    <row r="93">
      <c r="A93" s="5" t="inlineStr">
        <is>
          <t>LATAM</t>
        </is>
      </c>
      <c r="B93" s="16" t="n">
        <v>45778</v>
      </c>
      <c r="C93" s="17">
        <f>SUMIFS('Raw Orders'!$E$5:$E$852,'Raw Orders'!$B$5:$B$852,$A93,'Raw Orders'!$H$5:$H$852,$B93)</f>
        <v/>
      </c>
      <c r="D93" s="17">
        <f>SUMIFS('Raw Orders'!$E$5:$E$852,'Raw Orders'!$B$5:$B$852,$A93,'Raw Orders'!$I$5:$I$852,$B93,'Raw Orders'!$J$5:$J$852,FALSE)</f>
        <v/>
      </c>
      <c r="E93" s="20">
        <f>IF(C93=0,"",D93/C93)</f>
        <v/>
      </c>
      <c r="F93" s="17">
        <f>D93-C93</f>
        <v/>
      </c>
      <c r="G93" s="17">
        <f>SUM($F$77:$F93)</f>
        <v/>
      </c>
    </row>
    <row r="94">
      <c r="A94" s="5" t="inlineStr">
        <is>
          <t>LATAM</t>
        </is>
      </c>
      <c r="B94" s="16" t="n">
        <v>45809</v>
      </c>
      <c r="C94" s="17">
        <f>SUMIFS('Raw Orders'!$E$5:$E$852,'Raw Orders'!$B$5:$B$852,$A94,'Raw Orders'!$H$5:$H$852,$B94)</f>
        <v/>
      </c>
      <c r="D94" s="17">
        <f>SUMIFS('Raw Orders'!$E$5:$E$852,'Raw Orders'!$B$5:$B$852,$A94,'Raw Orders'!$I$5:$I$852,$B94,'Raw Orders'!$J$5:$J$852,FALSE)</f>
        <v/>
      </c>
      <c r="E94" s="20">
        <f>IF(C94=0,"",D94/C94)</f>
        <v/>
      </c>
      <c r="F94" s="17">
        <f>D94-C94</f>
        <v/>
      </c>
      <c r="G94" s="17">
        <f>SUM($F$77:$F94)</f>
        <v/>
      </c>
    </row>
    <row r="95">
      <c r="A95" s="5" t="inlineStr">
        <is>
          <t>LATAM</t>
        </is>
      </c>
      <c r="B95" s="16" t="n">
        <v>45839</v>
      </c>
      <c r="C95" s="17">
        <f>SUMIFS('Raw Orders'!$E$5:$E$852,'Raw Orders'!$B$5:$B$852,$A95,'Raw Orders'!$H$5:$H$852,$B95)</f>
        <v/>
      </c>
      <c r="D95" s="17">
        <f>SUMIFS('Raw Orders'!$E$5:$E$852,'Raw Orders'!$B$5:$B$852,$A95,'Raw Orders'!$I$5:$I$852,$B95,'Raw Orders'!$J$5:$J$852,FALSE)</f>
        <v/>
      </c>
      <c r="E95" s="20">
        <f>IF(C95=0,"",D95/C95)</f>
        <v/>
      </c>
      <c r="F95" s="17">
        <f>D95-C95</f>
        <v/>
      </c>
      <c r="G95" s="17">
        <f>SUM($F$77:$F95)</f>
        <v/>
      </c>
    </row>
    <row r="96">
      <c r="A96" s="5" t="inlineStr">
        <is>
          <t>LATAM</t>
        </is>
      </c>
      <c r="B96" s="16" t="n">
        <v>45870</v>
      </c>
      <c r="C96" s="17">
        <f>SUMIFS('Raw Orders'!$E$5:$E$852,'Raw Orders'!$B$5:$B$852,$A96,'Raw Orders'!$H$5:$H$852,$B96)</f>
        <v/>
      </c>
      <c r="D96" s="17">
        <f>SUMIFS('Raw Orders'!$E$5:$E$852,'Raw Orders'!$B$5:$B$852,$A96,'Raw Orders'!$I$5:$I$852,$B96,'Raw Orders'!$J$5:$J$852,FALSE)</f>
        <v/>
      </c>
      <c r="E96" s="20">
        <f>IF(C96=0,"",D96/C96)</f>
        <v/>
      </c>
      <c r="F96" s="17">
        <f>D96-C96</f>
        <v/>
      </c>
      <c r="G96" s="17">
        <f>SUM($F$77:$F96)</f>
        <v/>
      </c>
    </row>
    <row r="97">
      <c r="A97" s="5" t="inlineStr">
        <is>
          <t>LATAM</t>
        </is>
      </c>
      <c r="B97" s="16" t="n">
        <v>45901</v>
      </c>
      <c r="C97" s="17">
        <f>SUMIFS('Raw Orders'!$E$5:$E$852,'Raw Orders'!$B$5:$B$852,$A97,'Raw Orders'!$H$5:$H$852,$B97)</f>
        <v/>
      </c>
      <c r="D97" s="17">
        <f>SUMIFS('Raw Orders'!$E$5:$E$852,'Raw Orders'!$B$5:$B$852,$A97,'Raw Orders'!$I$5:$I$852,$B97,'Raw Orders'!$J$5:$J$852,FALSE)</f>
        <v/>
      </c>
      <c r="E97" s="20">
        <f>IF(C97=0,"",D97/C97)</f>
        <v/>
      </c>
      <c r="F97" s="17">
        <f>D97-C97</f>
        <v/>
      </c>
      <c r="G97" s="17">
        <f>SUM($F$77:$F97)</f>
        <v/>
      </c>
    </row>
    <row r="98">
      <c r="A98" s="5" t="inlineStr">
        <is>
          <t>LATAM</t>
        </is>
      </c>
      <c r="B98" s="16" t="n">
        <v>45931</v>
      </c>
      <c r="C98" s="17">
        <f>SUMIFS('Raw Orders'!$E$5:$E$852,'Raw Orders'!$B$5:$B$852,$A98,'Raw Orders'!$H$5:$H$852,$B98)</f>
        <v/>
      </c>
      <c r="D98" s="17">
        <f>SUMIFS('Raw Orders'!$E$5:$E$852,'Raw Orders'!$B$5:$B$852,$A98,'Raw Orders'!$I$5:$I$852,$B98,'Raw Orders'!$J$5:$J$852,FALSE)</f>
        <v/>
      </c>
      <c r="E98" s="20">
        <f>IF(C98=0,"",D98/C98)</f>
        <v/>
      </c>
      <c r="F98" s="17">
        <f>D98-C98</f>
        <v/>
      </c>
      <c r="G98" s="17">
        <f>SUM($F$77:$F98)</f>
        <v/>
      </c>
    </row>
    <row r="99">
      <c r="A99" s="5" t="inlineStr">
        <is>
          <t>LATAM</t>
        </is>
      </c>
      <c r="B99" s="16" t="n">
        <v>45962</v>
      </c>
      <c r="C99" s="17">
        <f>SUMIFS('Raw Orders'!$E$5:$E$852,'Raw Orders'!$B$5:$B$852,$A99,'Raw Orders'!$H$5:$H$852,$B99)</f>
        <v/>
      </c>
      <c r="D99" s="17">
        <f>SUMIFS('Raw Orders'!$E$5:$E$852,'Raw Orders'!$B$5:$B$852,$A99,'Raw Orders'!$I$5:$I$852,$B99,'Raw Orders'!$J$5:$J$852,FALSE)</f>
        <v/>
      </c>
      <c r="E99" s="20">
        <f>IF(C99=0,"",D99/C99)</f>
        <v/>
      </c>
      <c r="F99" s="17">
        <f>D99-C99</f>
        <v/>
      </c>
      <c r="G99" s="17">
        <f>SUM($F$77:$F99)</f>
        <v/>
      </c>
    </row>
    <row r="100">
      <c r="A100" s="5" t="inlineStr">
        <is>
          <t>LATAM</t>
        </is>
      </c>
      <c r="B100" s="16" t="n">
        <v>45992</v>
      </c>
      <c r="C100" s="17">
        <f>SUMIFS('Raw Orders'!$E$5:$E$852,'Raw Orders'!$B$5:$B$852,$A100,'Raw Orders'!$H$5:$H$852,$B100)</f>
        <v/>
      </c>
      <c r="D100" s="17">
        <f>SUMIFS('Raw Orders'!$E$5:$E$852,'Raw Orders'!$B$5:$B$852,$A100,'Raw Orders'!$I$5:$I$852,$B100,'Raw Orders'!$J$5:$J$852,FALSE)</f>
        <v/>
      </c>
      <c r="E100" s="20">
        <f>IF(C100=0,"",D100/C100)</f>
        <v/>
      </c>
      <c r="F100" s="17">
        <f>D100-C100</f>
        <v/>
      </c>
      <c r="G100" s="17">
        <f>SUM($F$77:$F100)</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9"/>
  <sheetViews>
    <sheetView showGridLines="0" workbookViewId="0">
      <selection activeCell="A1" sqref="A1"/>
    </sheetView>
  </sheetViews>
  <sheetFormatPr baseColWidth="8" defaultRowHeight="15"/>
  <cols>
    <col width="16" customWidth="1" min="1" max="1"/>
    <col width="19" customWidth="1" min="2" max="2"/>
    <col width="12" customWidth="1" min="3" max="3"/>
    <col width="12" customWidth="1" min="4" max="4"/>
    <col width="12" customWidth="1" min="5" max="5"/>
    <col width="12" customWidth="1" min="6" max="6"/>
    <col width="12" customWidth="1" min="7" max="7"/>
    <col width="12" customWidth="1" min="8" max="8"/>
    <col width="12" customWidth="1" min="9" max="9"/>
    <col width="20" customWidth="1" min="10" max="10"/>
  </cols>
  <sheetData>
    <row r="1">
      <c r="A1" s="1" t="inlineStr">
        <is>
          <t>Material committed against backlog</t>
        </is>
      </c>
    </row>
    <row r="4" ht="30" customHeight="1">
      <c r="A4" s="3" t="inlineStr">
        <is>
          <t>region</t>
        </is>
      </c>
      <c r="B4" s="3" t="inlineStr">
        <is>
          <t>closing backlog ($)</t>
        </is>
      </c>
      <c r="C4" s="3" t="inlineStr">
        <is>
          <t>at 100%</t>
        </is>
      </c>
      <c r="D4" s="3" t="inlineStr">
        <is>
          <t>at 95%</t>
        </is>
      </c>
      <c r="E4" s="3" t="inlineStr">
        <is>
          <t>at 90%</t>
        </is>
      </c>
      <c r="F4" s="3" t="inlineStr">
        <is>
          <t>at 85%</t>
        </is>
      </c>
      <c r="G4" s="3" t="inlineStr">
        <is>
          <t>at 80%</t>
        </is>
      </c>
      <c r="H4" s="3" t="inlineStr">
        <is>
          <t>at 75%</t>
        </is>
      </c>
      <c r="I4" s="3" t="inlineStr">
        <is>
          <t>at 70%</t>
        </is>
      </c>
      <c r="J4" s="3" t="inlineStr">
        <is>
          <t>exposure 100% vs 70%</t>
        </is>
      </c>
    </row>
    <row r="5">
      <c r="A5" s="4" t="inlineStr">
        <is>
          <t>North America</t>
        </is>
      </c>
      <c r="B5" s="17">
        <f>SUMIFS('Raw Orders'!$F$5:$F$852,'Raw Orders'!$B$5:$B$852,$A5,'Raw Orders'!$D$5:$D$852,"&lt;="&amp;DATE(2025,12,1))-SUMIFS('Raw Orders'!$F$5:$F$852,'Raw Orders'!$B$5:$B$852,$A5,'Raw Orders'!$I$5:$I$852,"&lt;="&amp;DATE(2025,12,1),'Raw Orders'!$J$5:$J$852,FALSE)</f>
        <v/>
      </c>
      <c r="C5" s="17">
        <f>$B5*0.5*1.0</f>
        <v/>
      </c>
      <c r="D5" s="17">
        <f>$B5*0.5*0.95</f>
        <v/>
      </c>
      <c r="E5" s="17">
        <f>$B5*0.5*0.9</f>
        <v/>
      </c>
      <c r="F5" s="17">
        <f>$B5*0.5*0.85</f>
        <v/>
      </c>
      <c r="G5" s="17">
        <f>$B5*0.5*0.8</f>
        <v/>
      </c>
      <c r="H5" s="17">
        <f>$B5*0.5*0.75</f>
        <v/>
      </c>
      <c r="I5" s="17">
        <f>$B5*0.5*0.7</f>
        <v/>
      </c>
      <c r="J5" s="17">
        <f>C5-I5</f>
        <v/>
      </c>
    </row>
    <row r="6">
      <c r="A6" s="4" t="inlineStr">
        <is>
          <t>EMEA</t>
        </is>
      </c>
      <c r="B6" s="17">
        <f>SUMIFS('Raw Orders'!$F$5:$F$852,'Raw Orders'!$B$5:$B$852,$A6,'Raw Orders'!$D$5:$D$852,"&lt;="&amp;DATE(2025,12,1))-SUMIFS('Raw Orders'!$F$5:$F$852,'Raw Orders'!$B$5:$B$852,$A6,'Raw Orders'!$I$5:$I$852,"&lt;="&amp;DATE(2025,12,1),'Raw Orders'!$J$5:$J$852,FALSE)</f>
        <v/>
      </c>
      <c r="C6" s="17">
        <f>$B6*0.5*1.0</f>
        <v/>
      </c>
      <c r="D6" s="17">
        <f>$B6*0.5*0.95</f>
        <v/>
      </c>
      <c r="E6" s="17">
        <f>$B6*0.5*0.9</f>
        <v/>
      </c>
      <c r="F6" s="17">
        <f>$B6*0.5*0.85</f>
        <v/>
      </c>
      <c r="G6" s="17">
        <f>$B6*0.5*0.8</f>
        <v/>
      </c>
      <c r="H6" s="17">
        <f>$B6*0.5*0.75</f>
        <v/>
      </c>
      <c r="I6" s="17">
        <f>$B6*0.5*0.7</f>
        <v/>
      </c>
      <c r="J6" s="17">
        <f>C6-I6</f>
        <v/>
      </c>
    </row>
    <row r="7">
      <c r="A7" s="4" t="inlineStr">
        <is>
          <t>APAC</t>
        </is>
      </c>
      <c r="B7" s="17">
        <f>SUMIFS('Raw Orders'!$F$5:$F$852,'Raw Orders'!$B$5:$B$852,$A7,'Raw Orders'!$D$5:$D$852,"&lt;="&amp;DATE(2025,12,1))-SUMIFS('Raw Orders'!$F$5:$F$852,'Raw Orders'!$B$5:$B$852,$A7,'Raw Orders'!$I$5:$I$852,"&lt;="&amp;DATE(2025,12,1),'Raw Orders'!$J$5:$J$852,FALSE)</f>
        <v/>
      </c>
      <c r="C7" s="17">
        <f>$B7*0.5*1.0</f>
        <v/>
      </c>
      <c r="D7" s="17">
        <f>$B7*0.5*0.95</f>
        <v/>
      </c>
      <c r="E7" s="17">
        <f>$B7*0.5*0.9</f>
        <v/>
      </c>
      <c r="F7" s="17">
        <f>$B7*0.5*0.85</f>
        <v/>
      </c>
      <c r="G7" s="17">
        <f>$B7*0.5*0.8</f>
        <v/>
      </c>
      <c r="H7" s="17">
        <f>$B7*0.5*0.75</f>
        <v/>
      </c>
      <c r="I7" s="17">
        <f>$B7*0.5*0.7</f>
        <v/>
      </c>
      <c r="J7" s="17">
        <f>C7-I7</f>
        <v/>
      </c>
    </row>
    <row r="8">
      <c r="A8" s="4" t="inlineStr">
        <is>
          <t>LATAM</t>
        </is>
      </c>
      <c r="B8" s="17">
        <f>SUMIFS('Raw Orders'!$F$5:$F$852,'Raw Orders'!$B$5:$B$852,$A8,'Raw Orders'!$D$5:$D$852,"&lt;="&amp;DATE(2025,12,1))-SUMIFS('Raw Orders'!$F$5:$F$852,'Raw Orders'!$B$5:$B$852,$A8,'Raw Orders'!$I$5:$I$852,"&lt;="&amp;DATE(2025,12,1),'Raw Orders'!$J$5:$J$852,FALSE)</f>
        <v/>
      </c>
      <c r="C8" s="17">
        <f>$B8*0.5*1.0</f>
        <v/>
      </c>
      <c r="D8" s="17">
        <f>$B8*0.5*0.95</f>
        <v/>
      </c>
      <c r="E8" s="17">
        <f>$B8*0.5*0.9</f>
        <v/>
      </c>
      <c r="F8" s="17">
        <f>$B8*0.5*0.85</f>
        <v/>
      </c>
      <c r="G8" s="17">
        <f>$B8*0.5*0.8</f>
        <v/>
      </c>
      <c r="H8" s="17">
        <f>$B8*0.5*0.75</f>
        <v/>
      </c>
      <c r="I8" s="17">
        <f>$B8*0.5*0.7</f>
        <v/>
      </c>
      <c r="J8" s="17">
        <f>C8-I8</f>
        <v/>
      </c>
    </row>
    <row r="9">
      <c r="A9" s="10" t="inlineStr">
        <is>
          <t>Total</t>
        </is>
      </c>
      <c r="B9" s="21">
        <f>SUM(B5:B8)</f>
        <v/>
      </c>
      <c r="C9" s="21">
        <f>SUM(C5:C8)</f>
        <v/>
      </c>
      <c r="D9" s="21">
        <f>SUM(D5:D8)</f>
        <v/>
      </c>
      <c r="E9" s="21">
        <f>SUM(E5:E8)</f>
        <v/>
      </c>
      <c r="F9" s="21">
        <f>SUM(F5:F8)</f>
        <v/>
      </c>
      <c r="G9" s="21">
        <f>SUM(G5:G8)</f>
        <v/>
      </c>
      <c r="H9" s="21">
        <f>SUM(H5:H8)</f>
        <v/>
      </c>
      <c r="I9" s="21">
        <f>SUM(I5:I8)</f>
        <v/>
      </c>
      <c r="J9" s="21">
        <f>SUM(J5:J8)</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12" customWidth="1" min="1" max="1"/>
    <col width="18" customWidth="1" min="2" max="2"/>
    <col width="18" customWidth="1" min="3" max="3"/>
    <col width="17" customWidth="1" min="4" max="4"/>
    <col width="14" customWidth="1" min="5" max="5"/>
    <col width="14" customWidth="1" min="6" max="6"/>
    <col width="12" customWidth="1" min="7" max="7"/>
    <col width="12" customWidth="1" min="8" max="8"/>
  </cols>
  <sheetData>
    <row r="1">
      <c r="A1" s="1" t="inlineStr">
        <is>
          <t>Forward material requirement</t>
        </is>
      </c>
    </row>
    <row r="3">
      <c r="G3" s="15">
        <f> high - low, the width of the stated 80% interval</f>
        <v/>
      </c>
    </row>
    <row r="4" ht="30" customHeight="1">
      <c r="A4" s="3" t="inlineStr">
        <is>
          <t>month</t>
        </is>
      </c>
      <c r="B4" s="3" t="inlineStr">
        <is>
          <t>already booked ($)</t>
        </is>
      </c>
      <c r="C4" s="3" t="inlineStr">
        <is>
          <t>not yet booked ($)</t>
        </is>
      </c>
      <c r="D4" s="3" t="inlineStr">
        <is>
          <t>expected total ($)</t>
        </is>
      </c>
      <c r="E4" s="3" t="inlineStr">
        <is>
          <t>low (P10)</t>
        </is>
      </c>
      <c r="F4" s="3" t="inlineStr">
        <is>
          <t>high (P90)</t>
        </is>
      </c>
      <c r="G4" s="3" t="inlineStr">
        <is>
          <t>spread</t>
        </is>
      </c>
      <c r="H4" s="3" t="inlineStr">
        <is>
          <t>firm share</t>
        </is>
      </c>
    </row>
    <row r="5">
      <c r="A5" s="16" t="n">
        <v>46023</v>
      </c>
      <c r="B5" s="17" t="n">
        <v>25722250</v>
      </c>
      <c r="C5" s="17" t="n">
        <v>0</v>
      </c>
      <c r="D5" s="17" t="n">
        <v>25722250</v>
      </c>
      <c r="E5" s="17" t="n">
        <v>20862045</v>
      </c>
      <c r="F5" s="17" t="n">
        <v>30696345</v>
      </c>
      <c r="G5" s="17">
        <f>F5-E5</f>
        <v/>
      </c>
      <c r="H5" s="20">
        <f>IF(D5=0,"",B5/D5)</f>
        <v/>
      </c>
    </row>
    <row r="6">
      <c r="A6" s="16" t="n">
        <v>46054</v>
      </c>
      <c r="B6" s="17" t="n">
        <v>27842025</v>
      </c>
      <c r="C6" s="17" t="n">
        <v>0</v>
      </c>
      <c r="D6" s="17" t="n">
        <v>27842025</v>
      </c>
      <c r="E6" s="17" t="n">
        <v>22772185</v>
      </c>
      <c r="F6" s="17" t="n">
        <v>33049310</v>
      </c>
      <c r="G6" s="17">
        <f>F6-E6</f>
        <v/>
      </c>
      <c r="H6" s="20">
        <f>IF(D6=0,"",B6/D6)</f>
        <v/>
      </c>
    </row>
    <row r="7">
      <c r="A7" s="16" t="n">
        <v>46082</v>
      </c>
      <c r="B7" s="17" t="n">
        <v>26726925</v>
      </c>
      <c r="C7" s="17" t="n">
        <v>0</v>
      </c>
      <c r="D7" s="17" t="n">
        <v>26726925</v>
      </c>
      <c r="E7" s="17" t="n">
        <v>21698590</v>
      </c>
      <c r="F7" s="17" t="n">
        <v>32079240</v>
      </c>
      <c r="G7" s="17">
        <f>F7-E7</f>
        <v/>
      </c>
      <c r="H7" s="20">
        <f>IF(D7=0,"",B7/D7)</f>
        <v/>
      </c>
    </row>
    <row r="8">
      <c r="A8" s="16" t="n">
        <v>46113</v>
      </c>
      <c r="B8" s="17" t="n">
        <v>31557600</v>
      </c>
      <c r="C8" s="17" t="n">
        <v>0</v>
      </c>
      <c r="D8" s="17" t="n">
        <v>31557600</v>
      </c>
      <c r="E8" s="17" t="n">
        <v>25154060</v>
      </c>
      <c r="F8" s="17" t="n">
        <v>37821440</v>
      </c>
      <c r="G8" s="17">
        <f>F8-E8</f>
        <v/>
      </c>
      <c r="H8" s="20">
        <f>IF(D8=0,"",B8/D8)</f>
        <v/>
      </c>
    </row>
    <row r="9">
      <c r="A9" s="16" t="n">
        <v>46143</v>
      </c>
      <c r="B9" s="17" t="n">
        <v>27924400</v>
      </c>
      <c r="C9" s="17" t="n">
        <v>0</v>
      </c>
      <c r="D9" s="17" t="n">
        <v>27924400</v>
      </c>
      <c r="E9" s="17" t="n">
        <v>21925070</v>
      </c>
      <c r="F9" s="17" t="n">
        <v>34400165</v>
      </c>
      <c r="G9" s="17">
        <f>F9-E9</f>
        <v/>
      </c>
      <c r="H9" s="20">
        <f>IF(D9=0,"",B9/D9)</f>
        <v/>
      </c>
    </row>
    <row r="10">
      <c r="A10" s="16" t="n">
        <v>46174</v>
      </c>
      <c r="B10" s="17" t="n">
        <v>23644350</v>
      </c>
      <c r="C10" s="17" t="n">
        <v>6328700</v>
      </c>
      <c r="D10" s="17" t="n">
        <v>30413900</v>
      </c>
      <c r="E10" s="17" t="n">
        <v>24160670</v>
      </c>
      <c r="F10" s="17" t="n">
        <v>38386505</v>
      </c>
      <c r="G10" s="17">
        <f>F10-E10</f>
        <v/>
      </c>
      <c r="H10" s="20">
        <f>IF(D10=0,"",B10/D10)</f>
        <v/>
      </c>
    </row>
    <row r="11">
      <c r="A11" s="16" t="n">
        <v>46204</v>
      </c>
      <c r="B11" s="17" t="n">
        <v>23876950</v>
      </c>
      <c r="C11" s="17" t="n">
        <v>9974100</v>
      </c>
      <c r="D11" s="17" t="n">
        <v>34021800</v>
      </c>
      <c r="E11" s="17" t="n">
        <v>24824530</v>
      </c>
      <c r="F11" s="17" t="n">
        <v>42868480</v>
      </c>
      <c r="G11" s="17">
        <f>F11-E11</f>
        <v/>
      </c>
      <c r="H11" s="20">
        <f>IF(D11=0,"",B11/D11)</f>
        <v/>
      </c>
    </row>
    <row r="12">
      <c r="A12" s="16" t="n">
        <v>46235</v>
      </c>
      <c r="B12" s="17" t="n">
        <v>11650950</v>
      </c>
      <c r="C12" s="17" t="n">
        <v>13359400</v>
      </c>
      <c r="D12" s="17" t="n">
        <v>25754125</v>
      </c>
      <c r="E12" s="17" t="n">
        <v>18872265</v>
      </c>
      <c r="F12" s="17" t="n">
        <v>35212555</v>
      </c>
      <c r="G12" s="17">
        <f>F12-E12</f>
        <v/>
      </c>
      <c r="H12" s="20">
        <f>IF(D12=0,"",B12/D12)</f>
        <v/>
      </c>
    </row>
    <row r="13">
      <c r="A13" s="16" t="n">
        <v>46266</v>
      </c>
      <c r="B13" s="17" t="n">
        <v>11495400</v>
      </c>
      <c r="C13" s="17" t="n">
        <v>16164000</v>
      </c>
      <c r="D13" s="17" t="n">
        <v>28124675</v>
      </c>
      <c r="E13" s="17" t="n">
        <v>21182975</v>
      </c>
      <c r="F13" s="17" t="n">
        <v>37703520</v>
      </c>
      <c r="G13" s="17">
        <f>F13-E13</f>
        <v/>
      </c>
      <c r="H13" s="20">
        <f>IF(D13=0,"",B13/D13)</f>
        <v/>
      </c>
    </row>
    <row r="14">
      <c r="A14" s="16" t="n">
        <v>46296</v>
      </c>
      <c r="B14" s="17" t="n">
        <v>11058775</v>
      </c>
      <c r="C14" s="17" t="n">
        <v>18684650</v>
      </c>
      <c r="D14" s="17" t="n">
        <v>30392875</v>
      </c>
      <c r="E14" s="17" t="n">
        <v>22971730</v>
      </c>
      <c r="F14" s="17" t="n">
        <v>39756830</v>
      </c>
      <c r="G14" s="17">
        <f>F14-E14</f>
        <v/>
      </c>
      <c r="H14" s="20">
        <f>IF(D14=0,"",B14/D14)</f>
        <v/>
      </c>
    </row>
    <row r="15">
      <c r="A15" s="16" t="n">
        <v>46327</v>
      </c>
      <c r="B15" s="17" t="n">
        <v>11503225</v>
      </c>
      <c r="C15" s="17" t="n">
        <v>20760100</v>
      </c>
      <c r="D15" s="17" t="n">
        <v>32706625</v>
      </c>
      <c r="E15" s="17" t="n">
        <v>25005335</v>
      </c>
      <c r="F15" s="17" t="n">
        <v>42594825</v>
      </c>
      <c r="G15" s="17">
        <f>F15-E15</f>
        <v/>
      </c>
      <c r="H15" s="20">
        <f>IF(D15=0,"",B15/D15)</f>
        <v/>
      </c>
    </row>
    <row r="16">
      <c r="A16" s="16" t="n">
        <v>46357</v>
      </c>
      <c r="B16" s="17" t="n">
        <v>8886775</v>
      </c>
      <c r="C16" s="17" t="n">
        <v>22913000</v>
      </c>
      <c r="D16" s="17" t="n">
        <v>32155575</v>
      </c>
      <c r="E16" s="17" t="n">
        <v>24412585</v>
      </c>
      <c r="F16" s="17" t="n">
        <v>41988865</v>
      </c>
      <c r="G16" s="17">
        <f>F16-E16</f>
        <v/>
      </c>
      <c r="H16" s="20">
        <f>IF(D16=0,"",B16/D16)</f>
        <v/>
      </c>
    </row>
    <row r="18">
      <c r="A18" s="15" t="inlineStr">
        <is>
          <t>Already booked and not yet booked are medians of two separate simulations, so they do not sum exactly to the expected total, which is the median of the combined draw. Medians are not additive.</t>
        </is>
      </c>
    </row>
    <row r="19"/>
  </sheetData>
  <mergeCells count="1">
    <mergeCell ref="A18:H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7"/>
  <sheetViews>
    <sheetView showGridLines="0" workbookViewId="0">
      <selection activeCell="A1" sqref="A1"/>
    </sheetView>
  </sheetViews>
  <sheetFormatPr baseColWidth="8" defaultRowHeight="15"/>
  <cols>
    <col width="12" customWidth="1" min="1" max="1"/>
    <col width="12" customWidth="1" min="2" max="2"/>
    <col width="13" customWidth="1" min="3" max="3"/>
    <col width="14" customWidth="1" min="4" max="4"/>
    <col width="13" customWidth="1" min="5" max="5"/>
    <col width="13" customWidth="1" min="6" max="6"/>
    <col width="13" customWidth="1" min="7" max="7"/>
    <col width="13" customWidth="1" min="8" max="8"/>
    <col width="13" customWidth="1" min="9" max="9"/>
    <col width="16" customWidth="1" min="10" max="10"/>
    <col width="12" customWidth="1" min="11" max="11"/>
    <col width="12" customWidth="1" min="12" max="12"/>
  </cols>
  <sheetData>
    <row r="1">
      <c r="A1" s="1" t="inlineStr">
        <is>
          <t>Walk-forward interval coverage</t>
        </is>
      </c>
    </row>
    <row r="2">
      <c r="A2" s="15" t="inlineStr">
        <is>
          <t>Each row re-runs the model at a past cutoff, using only what was known at that cutoff, and scores the forecast against what the month turned out to be.</t>
        </is>
      </c>
    </row>
    <row r="4" ht="30" customHeight="1">
      <c r="A4" s="3" t="inlineStr">
        <is>
          <t>cutoff</t>
        </is>
      </c>
      <c r="B4" s="3" t="inlineStr">
        <is>
          <t>month</t>
        </is>
      </c>
      <c r="C4" s="3" t="inlineStr">
        <is>
          <t>months ahead</t>
        </is>
      </c>
      <c r="D4" s="3" t="inlineStr">
        <is>
          <t>actual ($)</t>
        </is>
      </c>
      <c r="E4" s="3" t="inlineStr">
        <is>
          <t>P10</t>
        </is>
      </c>
      <c r="F4" s="3" t="inlineStr">
        <is>
          <t>P25</t>
        </is>
      </c>
      <c r="G4" s="3" t="inlineStr">
        <is>
          <t>P50</t>
        </is>
      </c>
      <c r="H4" s="3" t="inlineStr">
        <is>
          <t>P75</t>
        </is>
      </c>
      <c r="I4" s="3" t="inlineStr">
        <is>
          <t>P90</t>
        </is>
      </c>
      <c r="J4" s="3" t="inlineStr">
        <is>
          <t>spread (P90-P10)</t>
        </is>
      </c>
      <c r="K4" s="3" t="inlineStr">
        <is>
          <t>inside 80%</t>
        </is>
      </c>
      <c r="L4" s="3" t="inlineStr">
        <is>
          <t>inside 50%</t>
        </is>
      </c>
    </row>
    <row r="5">
      <c r="A5" s="16" t="n">
        <v>45566</v>
      </c>
      <c r="B5" s="16" t="n">
        <v>45597</v>
      </c>
      <c r="C5" s="5" t="n">
        <v>1</v>
      </c>
      <c r="D5" s="17" t="n">
        <v>26443500</v>
      </c>
      <c r="E5" s="17" t="n">
        <v>25846990</v>
      </c>
      <c r="F5" s="17" t="n">
        <v>28271837.5</v>
      </c>
      <c r="G5" s="17" t="n">
        <v>31367650</v>
      </c>
      <c r="H5" s="17" t="n">
        <v>34047862.5</v>
      </c>
      <c r="I5" s="17" t="n">
        <v>36793645</v>
      </c>
      <c r="J5" s="17">
        <f>I5-E5</f>
        <v/>
      </c>
      <c r="K5" s="5">
        <f>IF(AND(D5&gt;=E5,D5&lt;=I5),1,0)</f>
        <v/>
      </c>
      <c r="L5" s="5">
        <f>IF(AND(D5&gt;=F5,D5&lt;=H5),1,0)</f>
        <v/>
      </c>
    </row>
    <row r="6">
      <c r="A6" s="16" t="n">
        <v>45566</v>
      </c>
      <c r="B6" s="16" t="n">
        <v>45627</v>
      </c>
      <c r="C6" s="5" t="n">
        <v>2</v>
      </c>
      <c r="D6" s="17" t="n">
        <v>26693350</v>
      </c>
      <c r="E6" s="17" t="n">
        <v>22177840</v>
      </c>
      <c r="F6" s="17" t="n">
        <v>25168312.5</v>
      </c>
      <c r="G6" s="17" t="n">
        <v>28067975</v>
      </c>
      <c r="H6" s="17" t="n">
        <v>31185287.5</v>
      </c>
      <c r="I6" s="17" t="n">
        <v>34008680</v>
      </c>
      <c r="J6" s="17">
        <f>I6-E6</f>
        <v/>
      </c>
      <c r="K6" s="5">
        <f>IF(AND(D6&gt;=E6,D6&lt;=I6),1,0)</f>
        <v/>
      </c>
      <c r="L6" s="5">
        <f>IF(AND(D6&gt;=F6,D6&lt;=H6),1,0)</f>
        <v/>
      </c>
    </row>
    <row r="7">
      <c r="A7" s="16" t="n">
        <v>45566</v>
      </c>
      <c r="B7" s="16" t="n">
        <v>45658</v>
      </c>
      <c r="C7" s="5" t="n">
        <v>3</v>
      </c>
      <c r="D7" s="17" t="n">
        <v>23339950</v>
      </c>
      <c r="E7" s="17" t="n">
        <v>22741925</v>
      </c>
      <c r="F7" s="17" t="n">
        <v>25133150</v>
      </c>
      <c r="G7" s="17" t="n">
        <v>27563725</v>
      </c>
      <c r="H7" s="17" t="n">
        <v>30288025</v>
      </c>
      <c r="I7" s="17" t="n">
        <v>32469990</v>
      </c>
      <c r="J7" s="17">
        <f>I7-E7</f>
        <v/>
      </c>
      <c r="K7" s="5">
        <f>IF(AND(D7&gt;=E7,D7&lt;=I7),1,0)</f>
        <v/>
      </c>
      <c r="L7" s="5">
        <f>IF(AND(D7&gt;=F7,D7&lt;=H7),1,0)</f>
        <v/>
      </c>
    </row>
    <row r="8">
      <c r="A8" s="16" t="n">
        <v>45566</v>
      </c>
      <c r="B8" s="16" t="n">
        <v>45689</v>
      </c>
      <c r="C8" s="5" t="n">
        <v>4</v>
      </c>
      <c r="D8" s="17" t="n">
        <v>17299300</v>
      </c>
      <c r="E8" s="17" t="n">
        <v>11687105</v>
      </c>
      <c r="F8" s="17" t="n">
        <v>13444087.5</v>
      </c>
      <c r="G8" s="17" t="n">
        <v>15699750</v>
      </c>
      <c r="H8" s="17" t="n">
        <v>18386062.5</v>
      </c>
      <c r="I8" s="17" t="n">
        <v>20719030</v>
      </c>
      <c r="J8" s="17">
        <f>I8-E8</f>
        <v/>
      </c>
      <c r="K8" s="5">
        <f>IF(AND(D8&gt;=E8,D8&lt;=I8),1,0)</f>
        <v/>
      </c>
      <c r="L8" s="5">
        <f>IF(AND(D8&gt;=F8,D8&lt;=H8),1,0)</f>
        <v/>
      </c>
    </row>
    <row r="9">
      <c r="A9" s="16" t="n">
        <v>45566</v>
      </c>
      <c r="B9" s="16" t="n">
        <v>45717</v>
      </c>
      <c r="C9" s="5" t="n">
        <v>5</v>
      </c>
      <c r="D9" s="17" t="n">
        <v>20974650</v>
      </c>
      <c r="E9" s="17" t="n">
        <v>14208260</v>
      </c>
      <c r="F9" s="17" t="n">
        <v>15819212.5</v>
      </c>
      <c r="G9" s="17" t="n">
        <v>17382175</v>
      </c>
      <c r="H9" s="17" t="n">
        <v>19295787.5</v>
      </c>
      <c r="I9" s="17" t="n">
        <v>20935610</v>
      </c>
      <c r="J9" s="17">
        <f>I9-E9</f>
        <v/>
      </c>
      <c r="K9" s="5">
        <f>IF(AND(D9&gt;=E9,D9&lt;=I9),1,0)</f>
        <v/>
      </c>
      <c r="L9" s="5">
        <f>IF(AND(D9&gt;=F9,D9&lt;=H9),1,0)</f>
        <v/>
      </c>
    </row>
    <row r="10">
      <c r="A10" s="16" t="n">
        <v>45566</v>
      </c>
      <c r="B10" s="16" t="n">
        <v>45748</v>
      </c>
      <c r="C10" s="5" t="n">
        <v>6</v>
      </c>
      <c r="D10" s="17" t="n">
        <v>20108700</v>
      </c>
      <c r="E10" s="17" t="n">
        <v>16054860</v>
      </c>
      <c r="F10" s="17" t="n">
        <v>17635075</v>
      </c>
      <c r="G10" s="17" t="n">
        <v>19486750</v>
      </c>
      <c r="H10" s="17" t="n">
        <v>21435625</v>
      </c>
      <c r="I10" s="17" t="n">
        <v>23242365</v>
      </c>
      <c r="J10" s="17">
        <f>I10-E10</f>
        <v/>
      </c>
      <c r="K10" s="5">
        <f>IF(AND(D10&gt;=E10,D10&lt;=I10),1,0)</f>
        <v/>
      </c>
      <c r="L10" s="5">
        <f>IF(AND(D10&gt;=F10,D10&lt;=H10),1,0)</f>
        <v/>
      </c>
    </row>
    <row r="11">
      <c r="A11" s="16" t="n">
        <v>45597</v>
      </c>
      <c r="B11" s="16" t="n">
        <v>45627</v>
      </c>
      <c r="C11" s="5" t="n">
        <v>1</v>
      </c>
      <c r="D11" s="17" t="n">
        <v>26693350</v>
      </c>
      <c r="E11" s="17" t="n">
        <v>23520885</v>
      </c>
      <c r="F11" s="17" t="n">
        <v>25411987.5</v>
      </c>
      <c r="G11" s="17" t="n">
        <v>27481400</v>
      </c>
      <c r="H11" s="17" t="n">
        <v>29392550</v>
      </c>
      <c r="I11" s="17" t="n">
        <v>31130250</v>
      </c>
      <c r="J11" s="17">
        <f>I11-E11</f>
        <v/>
      </c>
      <c r="K11" s="5">
        <f>IF(AND(D11&gt;=E11,D11&lt;=I11),1,0)</f>
        <v/>
      </c>
      <c r="L11" s="5">
        <f>IF(AND(D11&gt;=F11,D11&lt;=H11),1,0)</f>
        <v/>
      </c>
    </row>
    <row r="12">
      <c r="A12" s="16" t="n">
        <v>45597</v>
      </c>
      <c r="B12" s="16" t="n">
        <v>45658</v>
      </c>
      <c r="C12" s="5" t="n">
        <v>2</v>
      </c>
      <c r="D12" s="17" t="n">
        <v>23339950</v>
      </c>
      <c r="E12" s="17" t="n">
        <v>26486200</v>
      </c>
      <c r="F12" s="17" t="n">
        <v>28702875</v>
      </c>
      <c r="G12" s="17" t="n">
        <v>31301000</v>
      </c>
      <c r="H12" s="17" t="n">
        <v>33877125</v>
      </c>
      <c r="I12" s="17" t="n">
        <v>36422825</v>
      </c>
      <c r="J12" s="17">
        <f>I12-E12</f>
        <v/>
      </c>
      <c r="K12" s="5">
        <f>IF(AND(D12&gt;=E12,D12&lt;=I12),1,0)</f>
        <v/>
      </c>
      <c r="L12" s="5">
        <f>IF(AND(D12&gt;=F12,D12&lt;=H12),1,0)</f>
        <v/>
      </c>
    </row>
    <row r="13">
      <c r="A13" s="16" t="n">
        <v>45597</v>
      </c>
      <c r="B13" s="16" t="n">
        <v>45689</v>
      </c>
      <c r="C13" s="5" t="n">
        <v>3</v>
      </c>
      <c r="D13" s="17" t="n">
        <v>17299300</v>
      </c>
      <c r="E13" s="17" t="n">
        <v>12725925</v>
      </c>
      <c r="F13" s="17" t="n">
        <v>14855037.5</v>
      </c>
      <c r="G13" s="17" t="n">
        <v>16885175</v>
      </c>
      <c r="H13" s="17" t="n">
        <v>18912062.5</v>
      </c>
      <c r="I13" s="17" t="n">
        <v>21293820</v>
      </c>
      <c r="J13" s="17">
        <f>I13-E13</f>
        <v/>
      </c>
      <c r="K13" s="5">
        <f>IF(AND(D13&gt;=E13,D13&lt;=I13),1,0)</f>
        <v/>
      </c>
      <c r="L13" s="5">
        <f>IF(AND(D13&gt;=F13,D13&lt;=H13),1,0)</f>
        <v/>
      </c>
    </row>
    <row r="14">
      <c r="A14" s="16" t="n">
        <v>45597</v>
      </c>
      <c r="B14" s="16" t="n">
        <v>45717</v>
      </c>
      <c r="C14" s="5" t="n">
        <v>4</v>
      </c>
      <c r="D14" s="17" t="n">
        <v>20974650</v>
      </c>
      <c r="E14" s="17" t="n">
        <v>15710290</v>
      </c>
      <c r="F14" s="17" t="n">
        <v>17301625</v>
      </c>
      <c r="G14" s="17" t="n">
        <v>19068400</v>
      </c>
      <c r="H14" s="17" t="n">
        <v>20945125</v>
      </c>
      <c r="I14" s="17" t="n">
        <v>22597140</v>
      </c>
      <c r="J14" s="17">
        <f>I14-E14</f>
        <v/>
      </c>
      <c r="K14" s="5">
        <f>IF(AND(D14&gt;=E14,D14&lt;=I14),1,0)</f>
        <v/>
      </c>
      <c r="L14" s="5">
        <f>IF(AND(D14&gt;=F14,D14&lt;=H14),1,0)</f>
        <v/>
      </c>
    </row>
    <row r="15">
      <c r="A15" s="16" t="n">
        <v>45597</v>
      </c>
      <c r="B15" s="16" t="n">
        <v>45748</v>
      </c>
      <c r="C15" s="5" t="n">
        <v>5</v>
      </c>
      <c r="D15" s="17" t="n">
        <v>22132100</v>
      </c>
      <c r="E15" s="17" t="n">
        <v>16847575</v>
      </c>
      <c r="F15" s="17" t="n">
        <v>18347437.5</v>
      </c>
      <c r="G15" s="17" t="n">
        <v>20305275</v>
      </c>
      <c r="H15" s="17" t="n">
        <v>22412087.5</v>
      </c>
      <c r="I15" s="17" t="n">
        <v>24175330</v>
      </c>
      <c r="J15" s="17">
        <f>I15-E15</f>
        <v/>
      </c>
      <c r="K15" s="5">
        <f>IF(AND(D15&gt;=E15,D15&lt;=I15),1,0)</f>
        <v/>
      </c>
      <c r="L15" s="5">
        <f>IF(AND(D15&gt;=F15,D15&lt;=H15),1,0)</f>
        <v/>
      </c>
    </row>
    <row r="16">
      <c r="A16" s="16" t="n">
        <v>45597</v>
      </c>
      <c r="B16" s="16" t="n">
        <v>45778</v>
      </c>
      <c r="C16" s="5" t="n">
        <v>6</v>
      </c>
      <c r="D16" s="17" t="n">
        <v>20321950</v>
      </c>
      <c r="E16" s="17" t="n">
        <v>15994160</v>
      </c>
      <c r="F16" s="17" t="n">
        <v>17894175</v>
      </c>
      <c r="G16" s="17" t="n">
        <v>19790150</v>
      </c>
      <c r="H16" s="17" t="n">
        <v>21854550</v>
      </c>
      <c r="I16" s="17" t="n">
        <v>23495310</v>
      </c>
      <c r="J16" s="17">
        <f>I16-E16</f>
        <v/>
      </c>
      <c r="K16" s="5">
        <f>IF(AND(D16&gt;=E16,D16&lt;=I16),1,0)</f>
        <v/>
      </c>
      <c r="L16" s="5">
        <f>IF(AND(D16&gt;=F16,D16&lt;=H16),1,0)</f>
        <v/>
      </c>
    </row>
    <row r="17">
      <c r="A17" s="16" t="n">
        <v>45627</v>
      </c>
      <c r="B17" s="16" t="n">
        <v>45658</v>
      </c>
      <c r="C17" s="5" t="n">
        <v>1</v>
      </c>
      <c r="D17" s="17" t="n">
        <v>23339950</v>
      </c>
      <c r="E17" s="17" t="n">
        <v>21983880</v>
      </c>
      <c r="F17" s="17" t="n">
        <v>24221500</v>
      </c>
      <c r="G17" s="17" t="n">
        <v>26714950</v>
      </c>
      <c r="H17" s="17" t="n">
        <v>28924275</v>
      </c>
      <c r="I17" s="17" t="n">
        <v>30868105</v>
      </c>
      <c r="J17" s="17">
        <f>I17-E17</f>
        <v/>
      </c>
      <c r="K17" s="5">
        <f>IF(AND(D17&gt;=E17,D17&lt;=I17),1,0)</f>
        <v/>
      </c>
      <c r="L17" s="5">
        <f>IF(AND(D17&gt;=F17,D17&lt;=H17),1,0)</f>
        <v/>
      </c>
    </row>
    <row r="18">
      <c r="A18" s="16" t="n">
        <v>45627</v>
      </c>
      <c r="B18" s="16" t="n">
        <v>45689</v>
      </c>
      <c r="C18" s="5" t="n">
        <v>2</v>
      </c>
      <c r="D18" s="17" t="n">
        <v>17299300</v>
      </c>
      <c r="E18" s="17" t="n">
        <v>14592230</v>
      </c>
      <c r="F18" s="17" t="n">
        <v>16722900</v>
      </c>
      <c r="G18" s="17" t="n">
        <v>18971300</v>
      </c>
      <c r="H18" s="17" t="n">
        <v>21350212.5</v>
      </c>
      <c r="I18" s="17" t="n">
        <v>23863145</v>
      </c>
      <c r="J18" s="17">
        <f>I18-E18</f>
        <v/>
      </c>
      <c r="K18" s="5">
        <f>IF(AND(D18&gt;=E18,D18&lt;=I18),1,0)</f>
        <v/>
      </c>
      <c r="L18" s="5">
        <f>IF(AND(D18&gt;=F18,D18&lt;=H18),1,0)</f>
        <v/>
      </c>
    </row>
    <row r="19">
      <c r="A19" s="16" t="n">
        <v>45627</v>
      </c>
      <c r="B19" s="16" t="n">
        <v>45717</v>
      </c>
      <c r="C19" s="5" t="n">
        <v>3</v>
      </c>
      <c r="D19" s="17" t="n">
        <v>20974650</v>
      </c>
      <c r="E19" s="17" t="n">
        <v>17406420</v>
      </c>
      <c r="F19" s="17" t="n">
        <v>19060550</v>
      </c>
      <c r="G19" s="17" t="n">
        <v>20885625</v>
      </c>
      <c r="H19" s="17" t="n">
        <v>22689875</v>
      </c>
      <c r="I19" s="17" t="n">
        <v>24503990</v>
      </c>
      <c r="J19" s="17">
        <f>I19-E19</f>
        <v/>
      </c>
      <c r="K19" s="5">
        <f>IF(AND(D19&gt;=E19,D19&lt;=I19),1,0)</f>
        <v/>
      </c>
      <c r="L19" s="5">
        <f>IF(AND(D19&gt;=F19,D19&lt;=H19),1,0)</f>
        <v/>
      </c>
    </row>
    <row r="20">
      <c r="A20" s="16" t="n">
        <v>45627</v>
      </c>
      <c r="B20" s="16" t="n">
        <v>45748</v>
      </c>
      <c r="C20" s="5" t="n">
        <v>4</v>
      </c>
      <c r="D20" s="17" t="n">
        <v>22132100</v>
      </c>
      <c r="E20" s="17" t="n">
        <v>15559045</v>
      </c>
      <c r="F20" s="17" t="n">
        <v>17388775</v>
      </c>
      <c r="G20" s="17" t="n">
        <v>19368100</v>
      </c>
      <c r="H20" s="17" t="n">
        <v>21590450</v>
      </c>
      <c r="I20" s="17" t="n">
        <v>23759665</v>
      </c>
      <c r="J20" s="17">
        <f>I20-E20</f>
        <v/>
      </c>
      <c r="K20" s="5">
        <f>IF(AND(D20&gt;=E20,D20&lt;=I20),1,0)</f>
        <v/>
      </c>
      <c r="L20" s="5">
        <f>IF(AND(D20&gt;=F20,D20&lt;=H20),1,0)</f>
        <v/>
      </c>
    </row>
    <row r="21">
      <c r="A21" s="16" t="n">
        <v>45627</v>
      </c>
      <c r="B21" s="16" t="n">
        <v>45778</v>
      </c>
      <c r="C21" s="5" t="n">
        <v>5</v>
      </c>
      <c r="D21" s="17" t="n">
        <v>23070950</v>
      </c>
      <c r="E21" s="17" t="n">
        <v>18711695</v>
      </c>
      <c r="F21" s="17" t="n">
        <v>20586862.5</v>
      </c>
      <c r="G21" s="17" t="n">
        <v>23196725</v>
      </c>
      <c r="H21" s="17" t="n">
        <v>25408062.5</v>
      </c>
      <c r="I21" s="17" t="n">
        <v>27454440</v>
      </c>
      <c r="J21" s="17">
        <f>I21-E21</f>
        <v/>
      </c>
      <c r="K21" s="5">
        <f>IF(AND(D21&gt;=E21,D21&lt;=I21),1,0)</f>
        <v/>
      </c>
      <c r="L21" s="5">
        <f>IF(AND(D21&gt;=F21,D21&lt;=H21),1,0)</f>
        <v/>
      </c>
    </row>
    <row r="22">
      <c r="A22" s="16" t="n">
        <v>45627</v>
      </c>
      <c r="B22" s="16" t="n">
        <v>45809</v>
      </c>
      <c r="C22" s="5" t="n">
        <v>6</v>
      </c>
      <c r="D22" s="17" t="n">
        <v>20903950</v>
      </c>
      <c r="E22" s="17" t="n">
        <v>13712365</v>
      </c>
      <c r="F22" s="17" t="n">
        <v>15915587.5</v>
      </c>
      <c r="G22" s="17" t="n">
        <v>18540675</v>
      </c>
      <c r="H22" s="17" t="n">
        <v>21437500</v>
      </c>
      <c r="I22" s="17" t="n">
        <v>23976465</v>
      </c>
      <c r="J22" s="17">
        <f>I22-E22</f>
        <v/>
      </c>
      <c r="K22" s="5">
        <f>IF(AND(D22&gt;=E22,D22&lt;=I22),1,0)</f>
        <v/>
      </c>
      <c r="L22" s="5">
        <f>IF(AND(D22&gt;=F22,D22&lt;=H22),1,0)</f>
        <v/>
      </c>
    </row>
    <row r="23">
      <c r="A23" s="16" t="n">
        <v>45658</v>
      </c>
      <c r="B23" s="16" t="n">
        <v>45689</v>
      </c>
      <c r="C23" s="5" t="n">
        <v>1</v>
      </c>
      <c r="D23" s="17" t="n">
        <v>17299300</v>
      </c>
      <c r="E23" s="17" t="n">
        <v>16504325</v>
      </c>
      <c r="F23" s="17" t="n">
        <v>17927675</v>
      </c>
      <c r="G23" s="17" t="n">
        <v>19407800</v>
      </c>
      <c r="H23" s="17" t="n">
        <v>20921987.5</v>
      </c>
      <c r="I23" s="17" t="n">
        <v>22327475</v>
      </c>
      <c r="J23" s="17">
        <f>I23-E23</f>
        <v/>
      </c>
      <c r="K23" s="5">
        <f>IF(AND(D23&gt;=E23,D23&lt;=I23),1,0)</f>
        <v/>
      </c>
      <c r="L23" s="5">
        <f>IF(AND(D23&gt;=F23,D23&lt;=H23),1,0)</f>
        <v/>
      </c>
    </row>
    <row r="24">
      <c r="A24" s="16" t="n">
        <v>45658</v>
      </c>
      <c r="B24" s="16" t="n">
        <v>45717</v>
      </c>
      <c r="C24" s="5" t="n">
        <v>2</v>
      </c>
      <c r="D24" s="17" t="n">
        <v>20974650</v>
      </c>
      <c r="E24" s="17" t="n">
        <v>17894520</v>
      </c>
      <c r="F24" s="17" t="n">
        <v>19568850</v>
      </c>
      <c r="G24" s="17" t="n">
        <v>21687875</v>
      </c>
      <c r="H24" s="17" t="n">
        <v>23735925</v>
      </c>
      <c r="I24" s="17" t="n">
        <v>25543665</v>
      </c>
      <c r="J24" s="17">
        <f>I24-E24</f>
        <v/>
      </c>
      <c r="K24" s="5">
        <f>IF(AND(D24&gt;=E24,D24&lt;=I24),1,0)</f>
        <v/>
      </c>
      <c r="L24" s="5">
        <f>IF(AND(D24&gt;=F24,D24&lt;=H24),1,0)</f>
        <v/>
      </c>
    </row>
    <row r="25">
      <c r="A25" s="16" t="n">
        <v>45658</v>
      </c>
      <c r="B25" s="16" t="n">
        <v>45748</v>
      </c>
      <c r="C25" s="5" t="n">
        <v>3</v>
      </c>
      <c r="D25" s="17" t="n">
        <v>22132100</v>
      </c>
      <c r="E25" s="17" t="n">
        <v>16219315</v>
      </c>
      <c r="F25" s="17" t="n">
        <v>18117387.5</v>
      </c>
      <c r="G25" s="17" t="n">
        <v>20086250</v>
      </c>
      <c r="H25" s="17" t="n">
        <v>21947037.5</v>
      </c>
      <c r="I25" s="17" t="n">
        <v>23702370</v>
      </c>
      <c r="J25" s="17">
        <f>I25-E25</f>
        <v/>
      </c>
      <c r="K25" s="5">
        <f>IF(AND(D25&gt;=E25,D25&lt;=I25),1,0)</f>
        <v/>
      </c>
      <c r="L25" s="5">
        <f>IF(AND(D25&gt;=F25,D25&lt;=H25),1,0)</f>
        <v/>
      </c>
    </row>
    <row r="26">
      <c r="A26" s="16" t="n">
        <v>45658</v>
      </c>
      <c r="B26" s="16" t="n">
        <v>45778</v>
      </c>
      <c r="C26" s="5" t="n">
        <v>4</v>
      </c>
      <c r="D26" s="17" t="n">
        <v>23070950</v>
      </c>
      <c r="E26" s="17" t="n">
        <v>19661020</v>
      </c>
      <c r="F26" s="17" t="n">
        <v>21839625</v>
      </c>
      <c r="G26" s="17" t="n">
        <v>24161525</v>
      </c>
      <c r="H26" s="17" t="n">
        <v>26655437.5</v>
      </c>
      <c r="I26" s="17" t="n">
        <v>28863310</v>
      </c>
      <c r="J26" s="17">
        <f>I26-E26</f>
        <v/>
      </c>
      <c r="K26" s="5">
        <f>IF(AND(D26&gt;=E26,D26&lt;=I26),1,0)</f>
        <v/>
      </c>
      <c r="L26" s="5">
        <f>IF(AND(D26&gt;=F26,D26&lt;=H26),1,0)</f>
        <v/>
      </c>
    </row>
    <row r="27">
      <c r="A27" s="16" t="n">
        <v>45658</v>
      </c>
      <c r="B27" s="16" t="n">
        <v>45809</v>
      </c>
      <c r="C27" s="5" t="n">
        <v>5</v>
      </c>
      <c r="D27" s="17" t="n">
        <v>27145550</v>
      </c>
      <c r="E27" s="17" t="n">
        <v>19216560</v>
      </c>
      <c r="F27" s="17" t="n">
        <v>21625637.5</v>
      </c>
      <c r="G27" s="17" t="n">
        <v>24759700</v>
      </c>
      <c r="H27" s="17" t="n">
        <v>27300487.5</v>
      </c>
      <c r="I27" s="17" t="n">
        <v>29884720</v>
      </c>
      <c r="J27" s="17">
        <f>I27-E27</f>
        <v/>
      </c>
      <c r="K27" s="5">
        <f>IF(AND(D27&gt;=E27,D27&lt;=I27),1,0)</f>
        <v/>
      </c>
      <c r="L27" s="5">
        <f>IF(AND(D27&gt;=F27,D27&lt;=H27),1,0)</f>
        <v/>
      </c>
    </row>
    <row r="28">
      <c r="A28" s="16" t="n">
        <v>45658</v>
      </c>
      <c r="B28" s="16" t="n">
        <v>45839</v>
      </c>
      <c r="C28" s="5" t="n">
        <v>6</v>
      </c>
      <c r="D28" s="17" t="n">
        <v>13598000</v>
      </c>
      <c r="E28" s="17" t="n">
        <v>11486255</v>
      </c>
      <c r="F28" s="17" t="n">
        <v>13059000</v>
      </c>
      <c r="G28" s="17" t="n">
        <v>15469100</v>
      </c>
      <c r="H28" s="17" t="n">
        <v>18164200</v>
      </c>
      <c r="I28" s="17" t="n">
        <v>20602005</v>
      </c>
      <c r="J28" s="17">
        <f>I28-E28</f>
        <v/>
      </c>
      <c r="K28" s="5">
        <f>IF(AND(D28&gt;=E28,D28&lt;=I28),1,0)</f>
        <v/>
      </c>
      <c r="L28" s="5">
        <f>IF(AND(D28&gt;=F28,D28&lt;=H28),1,0)</f>
        <v/>
      </c>
    </row>
    <row r="29">
      <c r="A29" s="16" t="n">
        <v>45689</v>
      </c>
      <c r="B29" s="16" t="n">
        <v>45717</v>
      </c>
      <c r="C29" s="5" t="n">
        <v>1</v>
      </c>
      <c r="D29" s="17" t="n">
        <v>20974650</v>
      </c>
      <c r="E29" s="17" t="n">
        <v>16685910</v>
      </c>
      <c r="F29" s="17" t="n">
        <v>18179775</v>
      </c>
      <c r="G29" s="17" t="n">
        <v>19814800</v>
      </c>
      <c r="H29" s="17" t="n">
        <v>21215237.5</v>
      </c>
      <c r="I29" s="17" t="n">
        <v>22486950</v>
      </c>
      <c r="J29" s="17">
        <f>I29-E29</f>
        <v/>
      </c>
      <c r="K29" s="5">
        <f>IF(AND(D29&gt;=E29,D29&lt;=I29),1,0)</f>
        <v/>
      </c>
      <c r="L29" s="5">
        <f>IF(AND(D29&gt;=F29,D29&lt;=H29),1,0)</f>
        <v/>
      </c>
    </row>
    <row r="30">
      <c r="A30" s="16" t="n">
        <v>45689</v>
      </c>
      <c r="B30" s="16" t="n">
        <v>45748</v>
      </c>
      <c r="C30" s="5" t="n">
        <v>2</v>
      </c>
      <c r="D30" s="17" t="n">
        <v>22132100</v>
      </c>
      <c r="E30" s="17" t="n">
        <v>19798885</v>
      </c>
      <c r="F30" s="17" t="n">
        <v>21689875</v>
      </c>
      <c r="G30" s="17" t="n">
        <v>23650925</v>
      </c>
      <c r="H30" s="17" t="n">
        <v>25722475</v>
      </c>
      <c r="I30" s="17" t="n">
        <v>27970875</v>
      </c>
      <c r="J30" s="17">
        <f>I30-E30</f>
        <v/>
      </c>
      <c r="K30" s="5">
        <f>IF(AND(D30&gt;=E30,D30&lt;=I30),1,0)</f>
        <v/>
      </c>
      <c r="L30" s="5">
        <f>IF(AND(D30&gt;=F30,D30&lt;=H30),1,0)</f>
        <v/>
      </c>
    </row>
    <row r="31">
      <c r="A31" s="16" t="n">
        <v>45689</v>
      </c>
      <c r="B31" s="16" t="n">
        <v>45778</v>
      </c>
      <c r="C31" s="5" t="n">
        <v>3</v>
      </c>
      <c r="D31" s="17" t="n">
        <v>23070950</v>
      </c>
      <c r="E31" s="17" t="n">
        <v>20721025</v>
      </c>
      <c r="F31" s="17" t="n">
        <v>22824150</v>
      </c>
      <c r="G31" s="17" t="n">
        <v>25194800</v>
      </c>
      <c r="H31" s="17" t="n">
        <v>27520937.5</v>
      </c>
      <c r="I31" s="17" t="n">
        <v>29586745</v>
      </c>
      <c r="J31" s="17">
        <f>I31-E31</f>
        <v/>
      </c>
      <c r="K31" s="5">
        <f>IF(AND(D31&gt;=E31,D31&lt;=I31),1,0)</f>
        <v/>
      </c>
      <c r="L31" s="5">
        <f>IF(AND(D31&gt;=F31,D31&lt;=H31),1,0)</f>
        <v/>
      </c>
    </row>
    <row r="32">
      <c r="A32" s="16" t="n">
        <v>45689</v>
      </c>
      <c r="B32" s="16" t="n">
        <v>45809</v>
      </c>
      <c r="C32" s="5" t="n">
        <v>4</v>
      </c>
      <c r="D32" s="17" t="n">
        <v>27145550</v>
      </c>
      <c r="E32" s="17" t="n">
        <v>19494570</v>
      </c>
      <c r="F32" s="17" t="n">
        <v>21900625</v>
      </c>
      <c r="G32" s="17" t="n">
        <v>24734550</v>
      </c>
      <c r="H32" s="17" t="n">
        <v>27439787.5</v>
      </c>
      <c r="I32" s="17" t="n">
        <v>29999250</v>
      </c>
      <c r="J32" s="17">
        <f>I32-E32</f>
        <v/>
      </c>
      <c r="K32" s="5">
        <f>IF(AND(D32&gt;=E32,D32&lt;=I32),1,0)</f>
        <v/>
      </c>
      <c r="L32" s="5">
        <f>IF(AND(D32&gt;=F32,D32&lt;=H32),1,0)</f>
        <v/>
      </c>
    </row>
    <row r="33">
      <c r="A33" s="16" t="n">
        <v>45689</v>
      </c>
      <c r="B33" s="16" t="n">
        <v>45839</v>
      </c>
      <c r="C33" s="5" t="n">
        <v>5</v>
      </c>
      <c r="D33" s="17" t="n">
        <v>19053900</v>
      </c>
      <c r="E33" s="17" t="n">
        <v>15861685</v>
      </c>
      <c r="F33" s="17" t="n">
        <v>17864050</v>
      </c>
      <c r="G33" s="17" t="n">
        <v>20246300</v>
      </c>
      <c r="H33" s="17" t="n">
        <v>22879537.5</v>
      </c>
      <c r="I33" s="17" t="n">
        <v>25497100</v>
      </c>
      <c r="J33" s="17">
        <f>I33-E33</f>
        <v/>
      </c>
      <c r="K33" s="5">
        <f>IF(AND(D33&gt;=E33,D33&lt;=I33),1,0)</f>
        <v/>
      </c>
      <c r="L33" s="5">
        <f>IF(AND(D33&gt;=F33,D33&lt;=H33),1,0)</f>
        <v/>
      </c>
    </row>
    <row r="34">
      <c r="A34" s="16" t="n">
        <v>45689</v>
      </c>
      <c r="B34" s="16" t="n">
        <v>45870</v>
      </c>
      <c r="C34" s="5" t="n">
        <v>6</v>
      </c>
      <c r="D34" s="17" t="n">
        <v>15366900</v>
      </c>
      <c r="E34" s="17" t="n">
        <v>12750385</v>
      </c>
      <c r="F34" s="17" t="n">
        <v>14486475</v>
      </c>
      <c r="G34" s="17" t="n">
        <v>16379700</v>
      </c>
      <c r="H34" s="17" t="n">
        <v>18436237.5</v>
      </c>
      <c r="I34" s="17" t="n">
        <v>20120095</v>
      </c>
      <c r="J34" s="17">
        <f>I34-E34</f>
        <v/>
      </c>
      <c r="K34" s="5">
        <f>IF(AND(D34&gt;=E34,D34&lt;=I34),1,0)</f>
        <v/>
      </c>
      <c r="L34" s="5">
        <f>IF(AND(D34&gt;=F34,D34&lt;=H34),1,0)</f>
        <v/>
      </c>
    </row>
    <row r="35">
      <c r="A35" s="16" t="n">
        <v>45717</v>
      </c>
      <c r="B35" s="16" t="n">
        <v>45748</v>
      </c>
      <c r="C35" s="5" t="n">
        <v>1</v>
      </c>
      <c r="D35" s="17" t="n">
        <v>22132100</v>
      </c>
      <c r="E35" s="17" t="n">
        <v>14239295</v>
      </c>
      <c r="F35" s="17" t="n">
        <v>15562250</v>
      </c>
      <c r="G35" s="17" t="n">
        <v>17280250</v>
      </c>
      <c r="H35" s="17" t="n">
        <v>18939512.5</v>
      </c>
      <c r="I35" s="17" t="n">
        <v>20162450</v>
      </c>
      <c r="J35" s="17">
        <f>I35-E35</f>
        <v/>
      </c>
      <c r="K35" s="5">
        <f>IF(AND(D35&gt;=E35,D35&lt;=I35),1,0)</f>
        <v/>
      </c>
      <c r="L35" s="5">
        <f>IF(AND(D35&gt;=F35,D35&lt;=H35),1,0)</f>
        <v/>
      </c>
    </row>
    <row r="36">
      <c r="A36" s="16" t="n">
        <v>45717</v>
      </c>
      <c r="B36" s="16" t="n">
        <v>45778</v>
      </c>
      <c r="C36" s="5" t="n">
        <v>2</v>
      </c>
      <c r="D36" s="17" t="n">
        <v>23070950</v>
      </c>
      <c r="E36" s="17" t="n">
        <v>24350085</v>
      </c>
      <c r="F36" s="17" t="n">
        <v>26525937.5</v>
      </c>
      <c r="G36" s="17" t="n">
        <v>28818225</v>
      </c>
      <c r="H36" s="17" t="n">
        <v>30951512.5</v>
      </c>
      <c r="I36" s="17" t="n">
        <v>32978960</v>
      </c>
      <c r="J36" s="17">
        <f>I36-E36</f>
        <v/>
      </c>
      <c r="K36" s="5">
        <f>IF(AND(D36&gt;=E36,D36&lt;=I36),1,0)</f>
        <v/>
      </c>
      <c r="L36" s="5">
        <f>IF(AND(D36&gt;=F36,D36&lt;=H36),1,0)</f>
        <v/>
      </c>
    </row>
    <row r="37">
      <c r="A37" s="16" t="n">
        <v>45717</v>
      </c>
      <c r="B37" s="16" t="n">
        <v>45809</v>
      </c>
      <c r="C37" s="5" t="n">
        <v>3</v>
      </c>
      <c r="D37" s="17" t="n">
        <v>27145550</v>
      </c>
      <c r="E37" s="17" t="n">
        <v>19270195</v>
      </c>
      <c r="F37" s="17" t="n">
        <v>21593912.5</v>
      </c>
      <c r="G37" s="17" t="n">
        <v>24444575</v>
      </c>
      <c r="H37" s="17" t="n">
        <v>27400662.5</v>
      </c>
      <c r="I37" s="17" t="n">
        <v>30050160</v>
      </c>
      <c r="J37" s="17">
        <f>I37-E37</f>
        <v/>
      </c>
      <c r="K37" s="5">
        <f>IF(AND(D37&gt;=E37,D37&lt;=I37),1,0)</f>
        <v/>
      </c>
      <c r="L37" s="5">
        <f>IF(AND(D37&gt;=F37,D37&lt;=H37),1,0)</f>
        <v/>
      </c>
    </row>
    <row r="38">
      <c r="A38" s="16" t="n">
        <v>45717</v>
      </c>
      <c r="B38" s="16" t="n">
        <v>45839</v>
      </c>
      <c r="C38" s="5" t="n">
        <v>4</v>
      </c>
      <c r="D38" s="17" t="n">
        <v>19053900</v>
      </c>
      <c r="E38" s="17" t="n">
        <v>15777710</v>
      </c>
      <c r="F38" s="17" t="n">
        <v>17847650</v>
      </c>
      <c r="G38" s="17" t="n">
        <v>20386150</v>
      </c>
      <c r="H38" s="17" t="n">
        <v>23159975</v>
      </c>
      <c r="I38" s="17" t="n">
        <v>25591240</v>
      </c>
      <c r="J38" s="17">
        <f>I38-E38</f>
        <v/>
      </c>
      <c r="K38" s="5">
        <f>IF(AND(D38&gt;=E38,D38&lt;=I38),1,0)</f>
        <v/>
      </c>
      <c r="L38" s="5">
        <f>IF(AND(D38&gt;=F38,D38&lt;=H38),1,0)</f>
        <v/>
      </c>
    </row>
    <row r="39">
      <c r="A39" s="16" t="n">
        <v>45717</v>
      </c>
      <c r="B39" s="16" t="n">
        <v>45870</v>
      </c>
      <c r="C39" s="5" t="n">
        <v>5</v>
      </c>
      <c r="D39" s="17" t="n">
        <v>20209200</v>
      </c>
      <c r="E39" s="17" t="n">
        <v>16950075</v>
      </c>
      <c r="F39" s="17" t="n">
        <v>18715300</v>
      </c>
      <c r="G39" s="17" t="n">
        <v>20813475</v>
      </c>
      <c r="H39" s="17" t="n">
        <v>23276887.5</v>
      </c>
      <c r="I39" s="17" t="n">
        <v>25512260</v>
      </c>
      <c r="J39" s="17">
        <f>I39-E39</f>
        <v/>
      </c>
      <c r="K39" s="5">
        <f>IF(AND(D39&gt;=E39,D39&lt;=I39),1,0)</f>
        <v/>
      </c>
      <c r="L39" s="5">
        <f>IF(AND(D39&gt;=F39,D39&lt;=H39),1,0)</f>
        <v/>
      </c>
    </row>
    <row r="40">
      <c r="A40" s="16" t="n">
        <v>45717</v>
      </c>
      <c r="B40" s="16" t="n">
        <v>45901</v>
      </c>
      <c r="C40" s="5" t="n">
        <v>6</v>
      </c>
      <c r="D40" s="17" t="n">
        <v>26502000</v>
      </c>
      <c r="E40" s="17" t="n">
        <v>22677215</v>
      </c>
      <c r="F40" s="17" t="n">
        <v>25029187.5</v>
      </c>
      <c r="G40" s="17" t="n">
        <v>27917925</v>
      </c>
      <c r="H40" s="17" t="n">
        <v>30617575</v>
      </c>
      <c r="I40" s="17" t="n">
        <v>33052320</v>
      </c>
      <c r="J40" s="17">
        <f>I40-E40</f>
        <v/>
      </c>
      <c r="K40" s="5">
        <f>IF(AND(D40&gt;=E40,D40&lt;=I40),1,0)</f>
        <v/>
      </c>
      <c r="L40" s="5">
        <f>IF(AND(D40&gt;=F40,D40&lt;=H40),1,0)</f>
        <v/>
      </c>
    </row>
    <row r="41">
      <c r="A41" s="16" t="n">
        <v>45748</v>
      </c>
      <c r="B41" s="16" t="n">
        <v>45778</v>
      </c>
      <c r="C41" s="5" t="n">
        <v>1</v>
      </c>
      <c r="D41" s="17" t="n">
        <v>23070950</v>
      </c>
      <c r="E41" s="17" t="n">
        <v>15990105</v>
      </c>
      <c r="F41" s="17" t="n">
        <v>17502375</v>
      </c>
      <c r="G41" s="17" t="n">
        <v>19424850</v>
      </c>
      <c r="H41" s="17" t="n">
        <v>21320762.5</v>
      </c>
      <c r="I41" s="17" t="n">
        <v>22843325</v>
      </c>
      <c r="J41" s="17">
        <f>I41-E41</f>
        <v/>
      </c>
      <c r="K41" s="5">
        <f>IF(AND(D41&gt;=E41,D41&lt;=I41),1,0)</f>
        <v/>
      </c>
      <c r="L41" s="5">
        <f>IF(AND(D41&gt;=F41,D41&lt;=H41),1,0)</f>
        <v/>
      </c>
    </row>
    <row r="42">
      <c r="A42" s="16" t="n">
        <v>45748</v>
      </c>
      <c r="B42" s="16" t="n">
        <v>45809</v>
      </c>
      <c r="C42" s="5" t="n">
        <v>2</v>
      </c>
      <c r="D42" s="17" t="n">
        <v>27145550</v>
      </c>
      <c r="E42" s="17" t="n">
        <v>19410065</v>
      </c>
      <c r="F42" s="17" t="n">
        <v>22109250</v>
      </c>
      <c r="G42" s="17" t="n">
        <v>24794625</v>
      </c>
      <c r="H42" s="17" t="n">
        <v>27541562.5</v>
      </c>
      <c r="I42" s="17" t="n">
        <v>29779960</v>
      </c>
      <c r="J42" s="17">
        <f>I42-E42</f>
        <v/>
      </c>
      <c r="K42" s="5">
        <f>IF(AND(D42&gt;=E42,D42&lt;=I42),1,0)</f>
        <v/>
      </c>
      <c r="L42" s="5">
        <f>IF(AND(D42&gt;=F42,D42&lt;=H42),1,0)</f>
        <v/>
      </c>
    </row>
    <row r="43">
      <c r="A43" s="16" t="n">
        <v>45748</v>
      </c>
      <c r="B43" s="16" t="n">
        <v>45839</v>
      </c>
      <c r="C43" s="5" t="n">
        <v>3</v>
      </c>
      <c r="D43" s="17" t="n">
        <v>19053900</v>
      </c>
      <c r="E43" s="17" t="n">
        <v>16491085</v>
      </c>
      <c r="F43" s="17" t="n">
        <v>18457987.5</v>
      </c>
      <c r="G43" s="17" t="n">
        <v>20869150</v>
      </c>
      <c r="H43" s="17" t="n">
        <v>23495062.5</v>
      </c>
      <c r="I43" s="17" t="n">
        <v>26101745</v>
      </c>
      <c r="J43" s="17">
        <f>I43-E43</f>
        <v/>
      </c>
      <c r="K43" s="5">
        <f>IF(AND(D43&gt;=E43,D43&lt;=I43),1,0)</f>
        <v/>
      </c>
      <c r="L43" s="5">
        <f>IF(AND(D43&gt;=F43,D43&lt;=H43),1,0)</f>
        <v/>
      </c>
    </row>
    <row r="44">
      <c r="A44" s="16" t="n">
        <v>45748</v>
      </c>
      <c r="B44" s="16" t="n">
        <v>45870</v>
      </c>
      <c r="C44" s="5" t="n">
        <v>4</v>
      </c>
      <c r="D44" s="17" t="n">
        <v>20209200</v>
      </c>
      <c r="E44" s="17" t="n">
        <v>18028455</v>
      </c>
      <c r="F44" s="17" t="n">
        <v>19871650</v>
      </c>
      <c r="G44" s="17" t="n">
        <v>22081450</v>
      </c>
      <c r="H44" s="17" t="n">
        <v>24391337.5</v>
      </c>
      <c r="I44" s="17" t="n">
        <v>26541460</v>
      </c>
      <c r="J44" s="17">
        <f>I44-E44</f>
        <v/>
      </c>
      <c r="K44" s="5">
        <f>IF(AND(D44&gt;=E44,D44&lt;=I44),1,0)</f>
        <v/>
      </c>
      <c r="L44" s="5">
        <f>IF(AND(D44&gt;=F44,D44&lt;=H44),1,0)</f>
        <v/>
      </c>
    </row>
    <row r="45">
      <c r="A45" s="16" t="n">
        <v>45748</v>
      </c>
      <c r="B45" s="16" t="n">
        <v>45901</v>
      </c>
      <c r="C45" s="5" t="n">
        <v>5</v>
      </c>
      <c r="D45" s="17" t="n">
        <v>29555000</v>
      </c>
      <c r="E45" s="17" t="n">
        <v>24780285</v>
      </c>
      <c r="F45" s="17" t="n">
        <v>27464075</v>
      </c>
      <c r="G45" s="17" t="n">
        <v>30616650</v>
      </c>
      <c r="H45" s="17" t="n">
        <v>33521037.5</v>
      </c>
      <c r="I45" s="17" t="n">
        <v>36132425</v>
      </c>
      <c r="J45" s="17">
        <f>I45-E45</f>
        <v/>
      </c>
      <c r="K45" s="5">
        <f>IF(AND(D45&gt;=E45,D45&lt;=I45),1,0)</f>
        <v/>
      </c>
      <c r="L45" s="5">
        <f>IF(AND(D45&gt;=F45,D45&lt;=H45),1,0)</f>
        <v/>
      </c>
    </row>
    <row r="46">
      <c r="A46" s="16" t="n">
        <v>45748</v>
      </c>
      <c r="B46" s="16" t="n">
        <v>45931</v>
      </c>
      <c r="C46" s="5" t="n">
        <v>6</v>
      </c>
      <c r="D46" s="17" t="n">
        <v>17019600</v>
      </c>
      <c r="E46" s="17" t="n">
        <v>16536465</v>
      </c>
      <c r="F46" s="17" t="n">
        <v>18822537.5</v>
      </c>
      <c r="G46" s="17" t="n">
        <v>21319500</v>
      </c>
      <c r="H46" s="17" t="n">
        <v>23879975</v>
      </c>
      <c r="I46" s="17" t="n">
        <v>25770195</v>
      </c>
      <c r="J46" s="17">
        <f>I46-E46</f>
        <v/>
      </c>
      <c r="K46" s="5">
        <f>IF(AND(D46&gt;=E46,D46&lt;=I46),1,0)</f>
        <v/>
      </c>
      <c r="L46" s="5">
        <f>IF(AND(D46&gt;=F46,D46&lt;=H46),1,0)</f>
        <v/>
      </c>
    </row>
    <row r="47">
      <c r="A47" s="16" t="n">
        <v>45778</v>
      </c>
      <c r="B47" s="16" t="n">
        <v>45809</v>
      </c>
      <c r="C47" s="5" t="n">
        <v>1</v>
      </c>
      <c r="D47" s="17" t="n">
        <v>27145550</v>
      </c>
      <c r="E47" s="17" t="n">
        <v>15910250</v>
      </c>
      <c r="F47" s="17" t="n">
        <v>18510150</v>
      </c>
      <c r="G47" s="17" t="n">
        <v>21037825</v>
      </c>
      <c r="H47" s="17" t="n">
        <v>22958762.5</v>
      </c>
      <c r="I47" s="17" t="n">
        <v>24644415</v>
      </c>
      <c r="J47" s="17">
        <f>I47-E47</f>
        <v/>
      </c>
      <c r="K47" s="5">
        <f>IF(AND(D47&gt;=E47,D47&lt;=I47),1,0)</f>
        <v/>
      </c>
      <c r="L47" s="5">
        <f>IF(AND(D47&gt;=F47,D47&lt;=H47),1,0)</f>
        <v/>
      </c>
    </row>
    <row r="48">
      <c r="A48" s="16" t="n">
        <v>45778</v>
      </c>
      <c r="B48" s="16" t="n">
        <v>45839</v>
      </c>
      <c r="C48" s="5" t="n">
        <v>2</v>
      </c>
      <c r="D48" s="17" t="n">
        <v>19053900</v>
      </c>
      <c r="E48" s="17" t="n">
        <v>16410230</v>
      </c>
      <c r="F48" s="17" t="n">
        <v>18370512.5</v>
      </c>
      <c r="G48" s="17" t="n">
        <v>20854525</v>
      </c>
      <c r="H48" s="17" t="n">
        <v>23499350</v>
      </c>
      <c r="I48" s="17" t="n">
        <v>25971525</v>
      </c>
      <c r="J48" s="17">
        <f>I48-E48</f>
        <v/>
      </c>
      <c r="K48" s="5">
        <f>IF(AND(D48&gt;=E48,D48&lt;=I48),1,0)</f>
        <v/>
      </c>
      <c r="L48" s="5">
        <f>IF(AND(D48&gt;=F48,D48&lt;=H48),1,0)</f>
        <v/>
      </c>
    </row>
    <row r="49">
      <c r="A49" s="16" t="n">
        <v>45778</v>
      </c>
      <c r="B49" s="16" t="n">
        <v>45870</v>
      </c>
      <c r="C49" s="5" t="n">
        <v>3</v>
      </c>
      <c r="D49" s="17" t="n">
        <v>20209200</v>
      </c>
      <c r="E49" s="17" t="n">
        <v>18387840</v>
      </c>
      <c r="F49" s="17" t="n">
        <v>20194750</v>
      </c>
      <c r="G49" s="17" t="n">
        <v>22123600</v>
      </c>
      <c r="H49" s="17" t="n">
        <v>24587037.5</v>
      </c>
      <c r="I49" s="17" t="n">
        <v>26967900</v>
      </c>
      <c r="J49" s="17">
        <f>I49-E49</f>
        <v/>
      </c>
      <c r="K49" s="5">
        <f>IF(AND(D49&gt;=E49,D49&lt;=I49),1,0)</f>
        <v/>
      </c>
      <c r="L49" s="5">
        <f>IF(AND(D49&gt;=F49,D49&lt;=H49),1,0)</f>
        <v/>
      </c>
    </row>
    <row r="50">
      <c r="A50" s="16" t="n">
        <v>45778</v>
      </c>
      <c r="B50" s="16" t="n">
        <v>45901</v>
      </c>
      <c r="C50" s="5" t="n">
        <v>4</v>
      </c>
      <c r="D50" s="17" t="n">
        <v>29555000</v>
      </c>
      <c r="E50" s="17" t="n">
        <v>25491790</v>
      </c>
      <c r="F50" s="17" t="n">
        <v>27850637.5</v>
      </c>
      <c r="G50" s="17" t="n">
        <v>30562100</v>
      </c>
      <c r="H50" s="17" t="n">
        <v>33103350</v>
      </c>
      <c r="I50" s="17" t="n">
        <v>35911470</v>
      </c>
      <c r="J50" s="17">
        <f>I50-E50</f>
        <v/>
      </c>
      <c r="K50" s="5">
        <f>IF(AND(D50&gt;=E50,D50&lt;=I50),1,0)</f>
        <v/>
      </c>
      <c r="L50" s="5">
        <f>IF(AND(D50&gt;=F50,D50&lt;=H50),1,0)</f>
        <v/>
      </c>
    </row>
    <row r="51">
      <c r="A51" s="16" t="n">
        <v>45778</v>
      </c>
      <c r="B51" s="16" t="n">
        <v>45931</v>
      </c>
      <c r="C51" s="5" t="n">
        <v>5</v>
      </c>
      <c r="D51" s="17" t="n">
        <v>23088250</v>
      </c>
      <c r="E51" s="17" t="n">
        <v>21287250</v>
      </c>
      <c r="F51" s="17" t="n">
        <v>23702937.5</v>
      </c>
      <c r="G51" s="17" t="n">
        <v>26597725</v>
      </c>
      <c r="H51" s="17" t="n">
        <v>29268900</v>
      </c>
      <c r="I51" s="17" t="n">
        <v>31819765</v>
      </c>
      <c r="J51" s="17">
        <f>I51-E51</f>
        <v/>
      </c>
      <c r="K51" s="5">
        <f>IF(AND(D51&gt;=E51,D51&lt;=I51),1,0)</f>
        <v/>
      </c>
      <c r="L51" s="5">
        <f>IF(AND(D51&gt;=F51,D51&lt;=H51),1,0)</f>
        <v/>
      </c>
    </row>
    <row r="52">
      <c r="A52" s="16" t="n">
        <v>45778</v>
      </c>
      <c r="B52" s="16" t="n">
        <v>45962</v>
      </c>
      <c r="C52" s="5" t="n">
        <v>6</v>
      </c>
      <c r="D52" s="17" t="n">
        <v>17684700</v>
      </c>
      <c r="E52" s="17" t="n">
        <v>14317050</v>
      </c>
      <c r="F52" s="17" t="n">
        <v>16683462.5</v>
      </c>
      <c r="G52" s="17" t="n">
        <v>19416900</v>
      </c>
      <c r="H52" s="17" t="n">
        <v>22083225</v>
      </c>
      <c r="I52" s="17" t="n">
        <v>25013575</v>
      </c>
      <c r="J52" s="17">
        <f>I52-E52</f>
        <v/>
      </c>
      <c r="K52" s="5">
        <f>IF(AND(D52&gt;=E52,D52&lt;=I52),1,0)</f>
        <v/>
      </c>
      <c r="L52" s="5">
        <f>IF(AND(D52&gt;=F52,D52&lt;=H52),1,0)</f>
        <v/>
      </c>
    </row>
    <row r="55">
      <c r="A55" s="8" t="inlineStr">
        <is>
          <t>What the test measures</t>
        </is>
      </c>
    </row>
    <row r="56">
      <c r="A56" s="15" t="inlineStr">
        <is>
          <t>Eight cutoffs, six months forward from each. That is 48 scored forecasts but only 13 distinct outcome months, because overlapping windows score the same month more than once. Everything below is measurement. No multiplier is fitted here and none is applied to the forward tab, because a sample this size would not support one.</t>
        </is>
      </c>
    </row>
    <row r="57"/>
    <row r="59">
      <c r="A59" s="10" t="inlineStr">
        <is>
          <t>forecasts scored (n)</t>
        </is>
      </c>
      <c r="C59" s="14">
        <f>COUNT($K$5:$K$52)</f>
        <v/>
      </c>
    </row>
    <row r="60">
      <c r="A60" s="10" t="inlineStr">
        <is>
          <t>distinct outcome months</t>
        </is>
      </c>
      <c r="C60" s="14">
        <f>SUMPRODUCT(($B$5:$B$52&lt;&gt;"")/COUNTIF($B$5:$B$52,$B$5:$B$52&amp;""))</f>
        <v/>
      </c>
    </row>
    <row r="61">
      <c r="A61" s="8" t="inlineStr">
        <is>
          <t>stated 80% interval, coverage achieved</t>
        </is>
      </c>
      <c r="C61" s="11">
        <f>AVERAGE($K$5:$K$52)</f>
        <v/>
      </c>
    </row>
    <row r="62">
      <c r="A62" s="8" t="inlineStr">
        <is>
          <t>stated 50% interval, coverage achieved</t>
        </is>
      </c>
      <c r="C62" s="11">
        <f>AVERAGE($L$5:$L$52)</f>
        <v/>
      </c>
    </row>
    <row r="63">
      <c r="A63" s="10" t="inlineStr">
        <is>
          <t>misses above the interval</t>
        </is>
      </c>
      <c r="C63" s="14">
        <f>SUMPRODUCT(--($D$5:$D$52&gt;$I$5:$I$52))</f>
        <v/>
      </c>
    </row>
    <row r="64">
      <c r="A64" s="10" t="inlineStr">
        <is>
          <t>misses below the interval</t>
        </is>
      </c>
      <c r="C64" s="14">
        <f>SUMPRODUCT(--($D$5:$D$52&lt;$E$5:$E$52))</f>
        <v/>
      </c>
    </row>
    <row r="67">
      <c r="A67" s="8" t="inlineStr">
        <is>
          <t>Coverage by how far ahead the call was made</t>
        </is>
      </c>
    </row>
    <row r="68">
      <c r="A68" s="15" t="inlineStr">
        <is>
          <t>The interval is weakest one month out and holds further out, which is the reverse of the usual shape. Near-in months are dominated by a handful of large orders, and a single one moving is enough to put the month outside the band.</t>
        </is>
      </c>
    </row>
    <row r="69"/>
    <row r="71" ht="30" customHeight="1">
      <c r="A71" s="3" t="inlineStr">
        <is>
          <t>months ahead</t>
        </is>
      </c>
      <c r="B71" s="3" t="inlineStr">
        <is>
          <t>forecasts</t>
        </is>
      </c>
      <c r="C71" s="3" t="inlineStr">
        <is>
          <t>inside 80%</t>
        </is>
      </c>
    </row>
    <row r="72">
      <c r="A72" s="5" t="n">
        <v>1</v>
      </c>
      <c r="B72" s="17">
        <f>COUNTIFS($C$5:$C$52,A72)</f>
        <v/>
      </c>
      <c r="C72" s="20">
        <f>AVERAGEIFS($K$5:$K$52,$C$5:$C$52,A72)</f>
        <v/>
      </c>
    </row>
    <row r="73">
      <c r="A73" s="5" t="n">
        <v>2</v>
      </c>
      <c r="B73" s="17">
        <f>COUNTIFS($C$5:$C$52,A73)</f>
        <v/>
      </c>
      <c r="C73" s="20">
        <f>AVERAGEIFS($K$5:$K$52,$C$5:$C$52,A73)</f>
        <v/>
      </c>
    </row>
    <row r="74">
      <c r="A74" s="5" t="n">
        <v>3</v>
      </c>
      <c r="B74" s="17">
        <f>COUNTIFS($C$5:$C$52,A74)</f>
        <v/>
      </c>
      <c r="C74" s="20">
        <f>AVERAGEIFS($K$5:$K$52,$C$5:$C$52,A74)</f>
        <v/>
      </c>
    </row>
    <row r="75">
      <c r="A75" s="5" t="n">
        <v>4</v>
      </c>
      <c r="B75" s="17">
        <f>COUNTIFS($C$5:$C$52,A75)</f>
        <v/>
      </c>
      <c r="C75" s="20">
        <f>AVERAGEIFS($K$5:$K$52,$C$5:$C$52,A75)</f>
        <v/>
      </c>
    </row>
    <row r="76">
      <c r="A76" s="5" t="n">
        <v>5</v>
      </c>
      <c r="B76" s="17">
        <f>COUNTIFS($C$5:$C$52,A76)</f>
        <v/>
      </c>
      <c r="C76" s="20">
        <f>AVERAGEIFS($K$5:$K$52,$C$5:$C$52,A76)</f>
        <v/>
      </c>
    </row>
    <row r="77">
      <c r="A77" s="5" t="n">
        <v>6</v>
      </c>
      <c r="B77" s="17">
        <f>COUNTIFS($C$5:$C$52,A77)</f>
        <v/>
      </c>
      <c r="C77" s="20">
        <f>AVERAGEIFS($K$5:$K$52,$C$5:$C$52,A77)</f>
        <v/>
      </c>
    </row>
  </sheetData>
  <mergeCells count="3">
    <mergeCell ref="A68:I69"/>
    <mergeCell ref="A56:I57"/>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2026-09-20T23:28:41Z</dcterms:created>
  <dcterms:modified xmlns:dcterms="http://purl.org/dc/terms/" xmlns:xsi="http://www.w3.org/2001/XMLSchema-instance" xsi:type="dcterms:W3CDTF">2026-09-20T23:28:41Z</dcterms:modified>
</cp:coreProperties>
</file>